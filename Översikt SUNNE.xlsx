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45742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45742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45742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45742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45742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45742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45742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45742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45742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45742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45742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HYPERLINK("https://klasma.github.io/Logging_1766/artfynd/A 13181-2025 artfynd.xlsx", "A 13181-2025")</f>
        <v/>
      </c>
      <c r="T12">
        <f>HYPERLINK("https://klasma.github.io/Logging_1766/kartor/A 13181-2025 karta.png", "A 13181-2025")</f>
        <v/>
      </c>
      <c r="V12">
        <f>HYPERLINK("https://klasma.github.io/Logging_1766/klagomål/A 13181-2025 FSC-klagomål.docx", "A 13181-2025")</f>
        <v/>
      </c>
      <c r="W12">
        <f>HYPERLINK("https://klasma.github.io/Logging_1766/klagomålsmail/A 13181-2025 FSC-klagomål mail.docx", "A 13181-2025")</f>
        <v/>
      </c>
      <c r="X12">
        <f>HYPERLINK("https://klasma.github.io/Logging_1766/tillsyn/A 13181-2025 tillsynsbegäran.docx", "A 13181-2025")</f>
        <v/>
      </c>
      <c r="Y12">
        <f>HYPERLINK("https://klasma.github.io/Logging_1766/tillsynsmail/A 13181-2025 tillsynsbegäran mail.docx", "A 13181-2025")</f>
        <v/>
      </c>
      <c r="Z12">
        <f>HYPERLINK("https://klasma.github.io/Logging_1766/fåglar/A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45742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45742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45742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45742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45742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45742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45742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45742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45742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45742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45742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45742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45742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45742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45742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45742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45742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45742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45742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45742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45742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45742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45742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45742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45742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45742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45742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45742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45742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45742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45742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45742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45742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45742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45742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45742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45742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45742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45742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45742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45742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45742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45742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45742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45742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45742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45742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45742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45742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45742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45742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45742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45742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45742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45742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45742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45742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45742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45742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45742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45742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45742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45742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45742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45742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45742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45742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45742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45742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45742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45742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45742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45742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45742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45742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45742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45742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45742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45742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45742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45742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45742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45742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45742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45742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45742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45742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45742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45742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45742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45742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45742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45742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45742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45742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45742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45742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45742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45742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45742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45742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45742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45742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45742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45742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45742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45742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45742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45742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45742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45742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45742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45742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45742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45742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45742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45742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45742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45742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45742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45742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45742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45742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45742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45742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45742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45742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45742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45742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45742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45742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45742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45742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45742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45742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45742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45742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45742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45742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45742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45742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45742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45742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45742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45742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45742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45742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45742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45742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45742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45742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45742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45742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45742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45742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45742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45742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45742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45742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45742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45742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45742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45742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45742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45742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45742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45742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45742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45742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45742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45742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45742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45742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45742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45742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45742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45742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45742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45742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45742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45742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45742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45742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45742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45742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45742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45742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45742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45742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45742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45742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45742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45742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45742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45742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45742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45742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45742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45742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45742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45742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45742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45742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45742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45742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45742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45742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45742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45742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45742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45742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45742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45742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45742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45742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45742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45742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45742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45742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45742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45742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45742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45742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45742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45742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45742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45742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45742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45742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45742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45742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45742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45742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45742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45742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45742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45742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45742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45742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45742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45742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45742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45742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45742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45742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45742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45742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45742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45742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45742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45742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45742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45742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45742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45742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45742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45742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45742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45742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45742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45742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45742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45742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45742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45742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45742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45742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45742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45742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45742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45742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45742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45742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45742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45742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45742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45742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45742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45742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45742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45742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45742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45742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45742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45742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45742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45742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45742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45742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45742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45742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45742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45742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45742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45742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45742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45742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45742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45742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45742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45742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45742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45742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45742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45742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45742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45742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45742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45742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45742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45742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45742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45742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45742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45742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45742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45742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45742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45742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45742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45742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45742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45742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45742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45742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45742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45742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45742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45742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45742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45742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45742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45742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45742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45742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45742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45742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45742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45742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45742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45742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45742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45742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45742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45742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45742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45742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45742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45742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45742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45742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45742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45742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45742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45742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45742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45742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45742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45742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45742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45742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45742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45742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45742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45742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45742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45742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45742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45742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45742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45742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45742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45742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45742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45742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45742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45742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45742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45742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45742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45742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45742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45742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45742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45742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45742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45742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45742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45742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45742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45742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45742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45742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45742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45742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45742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45742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45742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45742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45742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45742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45742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45742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45742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45742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45742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45742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45742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45742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45742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45742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45742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45742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45742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45742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45742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45742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45742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45742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45742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45742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45742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45742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45742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45742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45742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45742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45742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45742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45742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45742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45742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45742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45742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45742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45742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45742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45742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45742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45742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45742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45742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45742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45742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45742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45742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45742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45742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45742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45742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45742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45742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45742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45742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45742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45742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45742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45742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45742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45742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45742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45742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45742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45742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45742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45742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45742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45742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45742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45742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45742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45742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45742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45742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45742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45742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45742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45742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45742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45742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45742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45742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45742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45742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45742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45742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45742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45742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45742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45742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45742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45742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45742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45742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45742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45742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45742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45742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45742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45742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45742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45742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45742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45742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45742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45742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45742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45742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45742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45742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45742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45742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45742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45742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45742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45742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45742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45742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45742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45742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45742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45742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45742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45742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45742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45742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45742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45742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45742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45742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45742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45742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45742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45742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45742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45742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45742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45742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45742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45742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45742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45742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45742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45742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45742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45742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45742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45742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45742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45742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45742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45742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45742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45742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45742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45742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45742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45742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45742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45742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45742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45742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45742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45742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45742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45742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45742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45742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45742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45742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45742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45742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45742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45742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45742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45742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45742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45742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45742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45742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45742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45742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45742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45742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45742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45742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45742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45742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45742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45742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45742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45742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45742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45742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45742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45742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45742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45742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45742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45742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45742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45742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45742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45742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45742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45742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45742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45742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45742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45742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45742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45742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45742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45742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45742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45742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45742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45742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45742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45742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45742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45742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45742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45742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45742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45742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45742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45742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45742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45742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45742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45742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45742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45742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45742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45742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45742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45742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45742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45742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45742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45742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45742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45742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45742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45742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45742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45742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45742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45742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45742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45742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45742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45742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45742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45742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45742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45742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45742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45742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45742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45742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45742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45742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45742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45742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45742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45742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45742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45742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45742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45742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45742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45742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45742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45742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45742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45742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45742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45742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45742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45742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45742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45742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45742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45742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45742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45742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45742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45742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45742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45742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45742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45742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45742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45742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45742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45742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45742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45742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45742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45742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45742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45742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45742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45742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45742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45742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45742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45742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45742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45742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45742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45742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45742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45742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45742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45742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45742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45742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45742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45742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45742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45742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45742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45742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45742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45742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45742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45742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45742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45742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45742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45742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45742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45742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45742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45742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45742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45742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45742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45742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45742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45742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45742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45742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45742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45742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45742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45742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45742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45742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45742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45742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45742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45742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45742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45742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45742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45742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45742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45742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45742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45742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45742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45742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45742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45742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45742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45742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45742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45742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45742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45742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45742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45742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45742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45742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45742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45742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45742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45742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45742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45742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45742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45742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45742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45742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45742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45742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45742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45742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45742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45742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45742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45742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45742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45742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45742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45742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45742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45742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45742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45742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45742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45742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45742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45742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45742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45742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45742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45742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45742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45742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45742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45742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45742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45742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45742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45742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45742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45742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45742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45742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45742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45742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45742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45742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45742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45742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45742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45742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45742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45742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45742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45742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45742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45742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45742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45742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45742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45742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45742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45742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45742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45742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45742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45742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45742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45742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45742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45742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45742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45742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45742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45742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45742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45742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45742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45742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45742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45742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45742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45742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45742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45742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45742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45742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45742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45742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45742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45742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45742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45742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45742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45742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45742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45742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45742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45742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45742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45742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45742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45742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45742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45742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45742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45742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45742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45742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45742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45742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45742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45742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45742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45742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45742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45742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45742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45742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45742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45742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45742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45742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45742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45742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45742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45742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45742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45742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45742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45742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45742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45742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45742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45742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45742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45742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45742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45742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45742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45742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45742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45742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45742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45742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45742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45742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45742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45742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45742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45742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45742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45742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45742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45742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45742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45742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45742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45742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45742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45742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45742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45742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45742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45742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45742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45742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45742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45742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45742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45742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45742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45742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45742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45742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45742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45742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45742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45742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45742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45742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45742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45742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45742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45742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45742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45742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45742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45742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45742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45742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45742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45742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45742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45742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45742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45742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45742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45742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45742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45742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45742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45742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45742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45742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45742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45742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45742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45742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45742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45742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45742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45742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45742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45742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45742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45742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45742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45742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45742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45742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45742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45742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45742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45742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45742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45742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45742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45742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45742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45742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45742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45742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45742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45742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45742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45742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45742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45742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45742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45742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45742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45742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45742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45742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45742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45742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45742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45742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45742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45742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45742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45742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45742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45742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45742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45742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45742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45742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45742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45742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45742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45742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45742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45742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45742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45742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45742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45742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45742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45742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45742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45742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45742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45742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45742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45742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45742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45742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45742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45742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45742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45742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45742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45742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45742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45742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45742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45742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45742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45742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45742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45742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45742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45742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45742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45742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45742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45742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45742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45742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45742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45742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45742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45742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45742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45742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45742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45742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45742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45742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45742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45742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45742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45742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45742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45742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45742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45742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45742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45742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45742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45742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45742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45742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45742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45742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45742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45742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45742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45742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45742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45742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45742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45742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45742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45742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45742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45742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45742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45742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45742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45742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45742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45742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45742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45742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45742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45742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45742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45742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45742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45742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45742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45742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45742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45742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45742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45742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45742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45742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45742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45742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45742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45742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45742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45742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45742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45742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45742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45742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45742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45742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45742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45742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45742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45742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45742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45742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45742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45742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45742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45742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45742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45742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45742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45742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45742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45742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45742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45742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45742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45742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45742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45742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45742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45742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45742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45742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45742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45742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45742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45742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45742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45742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45742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45742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45742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45742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45742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45742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45742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45742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45742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45742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45742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45742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45742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45742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45742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45742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45742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45742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45742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45742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45742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45742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45742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45742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45742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45742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45742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45742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45742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45742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45742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45742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45742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45742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45742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45742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45742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45742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45742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45742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45742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45742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45742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45742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45742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45742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45742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45742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45742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45742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45742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45742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45742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45742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45742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45742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45742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45742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45742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45742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45742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45742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45742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45742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45742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45742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45742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45742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45742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45742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45742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45742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45742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45742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45742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45742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45742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45742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45742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45742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45742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45742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45742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45742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45742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45742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45742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45742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45742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45742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45742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45742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45742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45742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45742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45742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45742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45742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45742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45742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45742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45742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45742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45742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45742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45742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45742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45742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45742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45742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45742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45742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45742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45742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45742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45742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45742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45742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45742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45742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45742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45742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45742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45742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45742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45742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45742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45742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45742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45742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45742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45742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45742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45742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45742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45742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45742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45742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45742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45742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45742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45742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45742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45742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45742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45742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45742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45742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45742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45742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45742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45742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45742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45742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45742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45742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45742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45742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45742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45742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45742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45742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45742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45742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45742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45742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45742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45742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45742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45742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45742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45742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45742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45742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45742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45742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45742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45742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45742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45742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45742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45742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45742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45742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45742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45742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45742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45742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45742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45742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45742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45742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45742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45742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45742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45742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45742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45742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45742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45742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45742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45742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45742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45742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45742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45742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45742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45742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45742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45742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45742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45742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45742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45742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45742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45742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45742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45742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45742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45742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45742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45742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45742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45742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45742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45742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45742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45742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45742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45742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45742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45742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45742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45742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45742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45742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45742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45742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45742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45742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45742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45742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45742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45742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45742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45742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45742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45742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45742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45742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45742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45742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45742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45742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45742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45742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45742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45742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45742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45742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45742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45742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45742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45742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45742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45742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45742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45742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45742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45742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45742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45742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45742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45742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45742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45742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45742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45742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45742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45742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45742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45742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45742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45742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45742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45742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45742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45742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45742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45742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45742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45742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45742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45742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45742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45742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45742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45742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45742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45742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45742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45742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45742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45742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45742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45742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45742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45742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45742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45742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45742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45742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45742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45742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45742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45742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45742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45742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45742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45742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45742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45742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45742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45742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45742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45742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45742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45742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45742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45742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45742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45742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45742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45742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45742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45742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45742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45742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45742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45742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45742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45742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45742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45742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45742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45742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45742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45742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45742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45742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45742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45742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45742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45742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45742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45742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45742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45742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45742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45742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45742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45742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45742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45742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45742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45742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45742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45742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45742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45742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45742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45742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45742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45742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45742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45742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45742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45742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45742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45742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45742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45742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45742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45742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45742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45742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45742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45742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45742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45742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45742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45742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45742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45742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45742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45742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45742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45742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45742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45742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45742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45742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45742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45742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45742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45742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45742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45742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45742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45742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45742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45742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45742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45742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45742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45742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45742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45742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45742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45742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45742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45742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45742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45742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45742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45742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45742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45742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45742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45742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45742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45742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45742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45742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45742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45742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45742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45742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45742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45742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45742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45742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45742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45742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45742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45742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45742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45742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45742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45742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45742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45742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45742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45742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45742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45742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45742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45742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45742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45742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45742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45742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45742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45742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45742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45742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45742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45742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45742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45742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45742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45742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45742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45742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45742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45742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45742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45742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45742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45742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45742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45742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45742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45742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45742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45742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45742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45742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45742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45742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45742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45742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45742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45742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45742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45742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45742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45742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45742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45742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45742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45742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45742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45742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45742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45742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45742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45742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45742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45742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45742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45742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45742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45742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45742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45742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45742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45742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45742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45742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45742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45742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45742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45742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45742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45742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45742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45742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45742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45742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45742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45742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45742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45742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45742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45742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45742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45742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45742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45742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45742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45742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45742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45742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45742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45742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45742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45742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45742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45742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45742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45742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45742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45742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45742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45742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45742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45742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45742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45742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45742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45742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45742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45742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45742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45742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45742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45742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45742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45742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45742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45742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45742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45742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45742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45742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45742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45742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45742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45742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45742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45742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45742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45742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45742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45742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45742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45742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45742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45742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45742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45742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45742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45742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45742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45742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45742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45742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45742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45742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45742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45742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45742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45742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45742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45742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45742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45742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45742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45742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45742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45742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45742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45742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45742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45742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45742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45742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45742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45742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45742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45742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45742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45742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45742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45742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45742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45742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45742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45742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45742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45742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45742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45742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45742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45742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45742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45742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45742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45742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45742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45742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45742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45742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45742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45742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45742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45742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45742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45742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45742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45742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45742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45742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45742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45742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45742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45742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45742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45742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45742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45742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45742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45742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45742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45742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45742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45742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45742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45742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45742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45742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45742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45742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45742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45742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45742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45742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45742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45742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45742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45742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45742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45742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45742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45742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45742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45742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45742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45742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45742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45742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45742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45742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45742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45742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45742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45742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45742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45742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45742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45742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45742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45742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45742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45742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45742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45742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45742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45742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45742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45742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45742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45742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45742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45742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45742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45742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45742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45742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45742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45742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45742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45742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45742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45742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45742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45742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45742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45742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45742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45742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45742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45742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45742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45742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45742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45742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45742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45742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45742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45742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45742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45742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45742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45742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45742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45742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45742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45742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45742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45742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45742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45742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45742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45742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45742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45742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45742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45742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45742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45742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45742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45742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45742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45742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45742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45742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45742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45742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45742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45742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45742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45742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45742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45742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45742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45742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45742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45742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45742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45742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45742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45742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45742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45742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45742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45742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45742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45742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45742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45742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45742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45742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45742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45742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45742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45742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45742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45742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45742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45742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45742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45742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45742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45742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45742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45742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45742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45742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45742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45742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45742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45742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45742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45742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45742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45742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45742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45742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45742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45742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45742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45742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45742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45742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45742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45742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45742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45742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45742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45742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45742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45742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45742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45742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45742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45742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45742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45742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45742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45742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45742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45742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45742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45742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45742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45742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45742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45742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45742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45742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45742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45742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45742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45742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45742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45742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45742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45742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45742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45742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45742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45742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45742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45742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45742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45742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45742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45742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45742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45742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45742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45742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45742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45742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45742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45742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45742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45742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45742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45742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45742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45742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45742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45742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45742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45742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45742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45742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45742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45742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45742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45742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45742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45742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45742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45742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45742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45742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45742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45742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45742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45742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45742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45742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45742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45742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45742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45742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45742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45742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45742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45742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45742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45742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45742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45742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45742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45742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45742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45742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45742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45742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45742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45742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45742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45742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45742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45742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45742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45742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45742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45742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45742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45742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45742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45742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45742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45742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45742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45742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45742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45742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45742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45742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45742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45742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45742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45742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45742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45742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45742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45742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45742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45742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45742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45742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45742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45742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45742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45742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45742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45742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45742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45742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45742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45742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45742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45742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45742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45742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45742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45742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45742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45742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45742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45742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45742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45742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45742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45742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45742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45742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45742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45742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45742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45742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45742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45742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45742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45742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45742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45742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45742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45742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45742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45742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45742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45742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45742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45742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45742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45742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45742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45742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45742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45742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45742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45742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45742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45742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45742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45742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45742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45742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45742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45742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45742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45742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45742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45742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45742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45742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45742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45742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45742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45742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45742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45742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45742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45742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45742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45742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45742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45742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45742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45742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45742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45742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45742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45742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45742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45742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45742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45742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45742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45742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45742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45742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45742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45742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45742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45742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45742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45742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45742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45742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45742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45742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45742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45742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45742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45742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45742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45742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45742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45742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45742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45742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45742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45742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45742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45742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45742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45742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45742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45742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45742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45742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45742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45742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45742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45742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45742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45742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45742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45742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45742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45742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45742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45742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45742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45742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45742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9742-2025</t>
        </is>
      </c>
      <c r="B2294" s="1" t="n">
        <v>45716</v>
      </c>
      <c r="C2294" s="1" t="n">
        <v>45742</v>
      </c>
      <c r="D2294" t="inlineStr">
        <is>
          <t>VÄRMLANDS LÄN</t>
        </is>
      </c>
      <c r="E2294" t="inlineStr">
        <is>
          <t>SUNNE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45742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45742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10347-2025</t>
        </is>
      </c>
      <c r="B2297" s="1" t="n">
        <v>45720</v>
      </c>
      <c r="C2297" s="1" t="n">
        <v>45742</v>
      </c>
      <c r="D2297" t="inlineStr">
        <is>
          <t>VÄRMLANDS LÄN</t>
        </is>
      </c>
      <c r="E2297" t="inlineStr">
        <is>
          <t>SUNNE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45742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10261-2025</t>
        </is>
      </c>
      <c r="B2299" s="1" t="n">
        <v>45720</v>
      </c>
      <c r="C2299" s="1" t="n">
        <v>45742</v>
      </c>
      <c r="D2299" t="inlineStr">
        <is>
          <t>VÄRMLANDS LÄN</t>
        </is>
      </c>
      <c r="E2299" t="inlineStr">
        <is>
          <t>SUNNE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45742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45742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10548-2025</t>
        </is>
      </c>
      <c r="B2302" s="1" t="n">
        <v>45721</v>
      </c>
      <c r="C2302" s="1" t="n">
        <v>45742</v>
      </c>
      <c r="D2302" t="inlineStr">
        <is>
          <t>VÄRMLANDS LÄN</t>
        </is>
      </c>
      <c r="E2302" t="inlineStr">
        <is>
          <t>SUNNE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45742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45742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45742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45742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11242-2025</t>
        </is>
      </c>
      <c r="B2307" s="1" t="n">
        <v>45726</v>
      </c>
      <c r="C2307" s="1" t="n">
        <v>45742</v>
      </c>
      <c r="D2307" t="inlineStr">
        <is>
          <t>VÄRMLANDS LÄN</t>
        </is>
      </c>
      <c r="E2307" t="inlineStr">
        <is>
          <t>SUNNE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45742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45742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45742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45742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12241-2025</t>
        </is>
      </c>
      <c r="B2312" s="1" t="n">
        <v>45729</v>
      </c>
      <c r="C2312" s="1" t="n">
        <v>45742</v>
      </c>
      <c r="D2312" t="inlineStr">
        <is>
          <t>VÄRMLANDS LÄN</t>
        </is>
      </c>
      <c r="E2312" t="inlineStr">
        <is>
          <t>SUNNE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45742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45742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45742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45742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45742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13275-2025</t>
        </is>
      </c>
      <c r="B2318" s="1" t="n">
        <v>45735</v>
      </c>
      <c r="C2318" s="1" t="n">
        <v>45742</v>
      </c>
      <c r="D2318" t="inlineStr">
        <is>
          <t>VÄRMLANDS LÄN</t>
        </is>
      </c>
      <c r="E2318" t="inlineStr">
        <is>
          <t>SUNNE</t>
        </is>
      </c>
      <c r="F2318" t="inlineStr">
        <is>
          <t>Bergvik skog väst AB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13305-2025</t>
        </is>
      </c>
      <c r="B2319" s="1" t="n">
        <v>45735</v>
      </c>
      <c r="C2319" s="1" t="n">
        <v>45742</v>
      </c>
      <c r="D2319" t="inlineStr">
        <is>
          <t>VÄRMLANDS LÄN</t>
        </is>
      </c>
      <c r="E2319" t="inlineStr">
        <is>
          <t>SUNNE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45742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45742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13306-2025</t>
        </is>
      </c>
      <c r="B2322" s="1" t="n">
        <v>45735</v>
      </c>
      <c r="C2322" s="1" t="n">
        <v>45742</v>
      </c>
      <c r="D2322" t="inlineStr">
        <is>
          <t>VÄRMLANDS LÄN</t>
        </is>
      </c>
      <c r="E2322" t="inlineStr">
        <is>
          <t>SUNNE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13646-2025</t>
        </is>
      </c>
      <c r="B2323" s="1" t="n">
        <v>45736</v>
      </c>
      <c r="C2323" s="1" t="n">
        <v>45742</v>
      </c>
      <c r="D2323" t="inlineStr">
        <is>
          <t>VÄRMLANDS LÄN</t>
        </is>
      </c>
      <c r="E2323" t="inlineStr">
        <is>
          <t>SUNNE</t>
        </is>
      </c>
      <c r="G2323" t="n">
        <v>5.5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45742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45742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13643-2025</t>
        </is>
      </c>
      <c r="B2326" s="1" t="n">
        <v>45736</v>
      </c>
      <c r="C2326" s="1" t="n">
        <v>45742</v>
      </c>
      <c r="D2326" t="inlineStr">
        <is>
          <t>VÄRMLANDS LÄN</t>
        </is>
      </c>
      <c r="E2326" t="inlineStr">
        <is>
          <t>SUNNE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13846-2025</t>
        </is>
      </c>
      <c r="B2327" s="1" t="n">
        <v>45737</v>
      </c>
      <c r="C2327" s="1" t="n">
        <v>45742</v>
      </c>
      <c r="D2327" t="inlineStr">
        <is>
          <t>VÄRMLANDS LÄN</t>
        </is>
      </c>
      <c r="E2327" t="inlineStr">
        <is>
          <t>SUNNE</t>
        </is>
      </c>
      <c r="F2327" t="inlineStr">
        <is>
          <t>Bergvik skog väst AB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45742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45742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45742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14042-2025</t>
        </is>
      </c>
      <c r="B2331" s="1" t="n">
        <v>45740</v>
      </c>
      <c r="C2331" s="1" t="n">
        <v>45742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14061-2025</t>
        </is>
      </c>
      <c r="B2332" s="1" t="n">
        <v>45740</v>
      </c>
      <c r="C2332" s="1" t="n">
        <v>45742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14078-2025</t>
        </is>
      </c>
      <c r="B2333" s="1" t="n">
        <v>45740</v>
      </c>
      <c r="C2333" s="1" t="n">
        <v>45742</v>
      </c>
      <c r="D2333" t="inlineStr">
        <is>
          <t>VÄRMLANDS LÄN</t>
        </is>
      </c>
      <c r="E2333" t="inlineStr">
        <is>
          <t>SUNNE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14060-2025</t>
        </is>
      </c>
      <c r="B2334" s="1" t="n">
        <v>45740</v>
      </c>
      <c r="C2334" s="1" t="n">
        <v>45742</v>
      </c>
      <c r="D2334" t="inlineStr">
        <is>
          <t>VÄRMLANDS LÄN</t>
        </is>
      </c>
      <c r="E2334" t="inlineStr">
        <is>
          <t>SUNNE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45742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14285-2025</t>
        </is>
      </c>
      <c r="B2336" s="1" t="n">
        <v>45740</v>
      </c>
      <c r="C2336" s="1" t="n">
        <v>45742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13.9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14099-2025</t>
        </is>
      </c>
      <c r="B2337" s="1" t="n">
        <v>45740</v>
      </c>
      <c r="C2337" s="1" t="n">
        <v>45742</v>
      </c>
      <c r="D2337" t="inlineStr">
        <is>
          <t>VÄRMLANDS LÄN</t>
        </is>
      </c>
      <c r="E2337" t="inlineStr">
        <is>
          <t>SUNNE</t>
        </is>
      </c>
      <c r="F2337" t="inlineStr">
        <is>
          <t>Bergvik skog väst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14360-2025</t>
        </is>
      </c>
      <c r="B2338" s="1" t="n">
        <v>45741</v>
      </c>
      <c r="C2338" s="1" t="n">
        <v>45742</v>
      </c>
      <c r="D2338" t="inlineStr">
        <is>
          <t>VÄRMLANDS LÄN</t>
        </is>
      </c>
      <c r="E2338" t="inlineStr">
        <is>
          <t>SUNNE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14364-2025</t>
        </is>
      </c>
      <c r="B2339" s="1" t="n">
        <v>45741</v>
      </c>
      <c r="C2339" s="1" t="n">
        <v>45742</v>
      </c>
      <c r="D2339" t="inlineStr">
        <is>
          <t>VÄRMLANDS LÄN</t>
        </is>
      </c>
      <c r="E2339" t="inlineStr">
        <is>
          <t>SUNNE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45742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14506-2025</t>
        </is>
      </c>
      <c r="B2341" s="1" t="n">
        <v>45741</v>
      </c>
      <c r="C2341" s="1" t="n">
        <v>45742</v>
      </c>
      <c r="D2341" t="inlineStr">
        <is>
          <t>VÄRMLANDS LÄN</t>
        </is>
      </c>
      <c r="E2341" t="inlineStr">
        <is>
          <t>SUNNE</t>
        </is>
      </c>
      <c r="F2341" t="inlineStr">
        <is>
          <t>Bergvik skog väst AB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45742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45742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>
      <c r="A2344" t="inlineStr">
        <is>
          <t>A 14499-2025</t>
        </is>
      </c>
      <c r="B2344" s="1" t="n">
        <v>45741</v>
      </c>
      <c r="C2344" s="1" t="n">
        <v>45742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2025-03-26T17:39:09Z</dcterms:created>
  <dcterms:modified xmlns:dcterms="http://purl.org/dc/terms/" xmlns:xsi="http://www.w3.org/2001/XMLSchema-instance" xsi:type="dcterms:W3CDTF">2025-03-26T17:39:11Z</dcterms:modified>
</cp:coreProperties>
</file>