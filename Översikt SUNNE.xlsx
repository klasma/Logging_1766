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45740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45740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45740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45740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45740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45740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45740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45740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45740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45740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45740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HYPERLINK("https://klasma.github.io/Logging_1766/artfynd/A 13181-2025 artfynd.xlsx", "A 13181-2025")</f>
        <v/>
      </c>
      <c r="T12">
        <f>HYPERLINK("https://klasma.github.io/Logging_1766/kartor/A 13181-2025 karta.png", "A 13181-2025")</f>
        <v/>
      </c>
      <c r="V12">
        <f>HYPERLINK("https://klasma.github.io/Logging_1766/klagomål/A 13181-2025 FSC-klagomål.docx", "A 13181-2025")</f>
        <v/>
      </c>
      <c r="W12">
        <f>HYPERLINK("https://klasma.github.io/Logging_1766/klagomålsmail/A 13181-2025 FSC-klagomål mail.docx", "A 13181-2025")</f>
        <v/>
      </c>
      <c r="X12">
        <f>HYPERLINK("https://klasma.github.io/Logging_1766/tillsyn/A 13181-2025 tillsynsbegäran.docx", "A 13181-2025")</f>
        <v/>
      </c>
      <c r="Y12">
        <f>HYPERLINK("https://klasma.github.io/Logging_1766/tillsynsmail/A 13181-2025 tillsynsbegäran mail.docx", "A 13181-2025")</f>
        <v/>
      </c>
      <c r="Z12">
        <f>HYPERLINK("https://klasma.github.io/Logging_1766/fåglar/A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45740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45740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45740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45740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45740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45740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45740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45740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45740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45740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45740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45740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45740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45740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45740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45740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45740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45740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45740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45740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45740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45740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45740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45740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45740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45740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45740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45740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45740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45740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45740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45740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45740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45740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45740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45740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45740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45740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45740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45740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45740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45740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45740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45740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45740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45740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45740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45740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45740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45740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45740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45740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45740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45740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45740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45740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45740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45740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45740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45740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45740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45740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45740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45740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45740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45740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45740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45740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45740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45740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45740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45740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45740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45740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45740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45740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45740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45740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45740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45740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45740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45740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45740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45740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45740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45740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45740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45740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45740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45740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45740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45740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45740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45740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45740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45740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45740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45740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45740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45740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45740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45740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45740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45740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45740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45740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45740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45740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45740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45740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45740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45740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45740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45740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45740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45740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45740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45740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45740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45740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45740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45740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45740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45740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45740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45740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45740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45740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45740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45740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45740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45740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45740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45740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45740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45740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45740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45740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45740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45740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45740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45740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45740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45740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45740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45740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45740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45740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45740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45740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45740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45740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45740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45740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45740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45740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45740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45740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45740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45740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45740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45740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45740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45740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45740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45740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45740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45740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45740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45740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45740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45740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45740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45740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45740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45740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45740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45740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45740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45740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45740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45740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45740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45740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45740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45740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45740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45740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45740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45740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45740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45740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45740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45740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45740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45740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45740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45740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45740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45740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45740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45740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45740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45740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45740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45740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45740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45740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45740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45740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45740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45740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45740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45740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45740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45740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45740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45740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45740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45740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45740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45740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45740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45740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45740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45740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45740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45740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45740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45740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45740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45740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45740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45740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45740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45740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45740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45740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45740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45740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45740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45740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45740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45740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45740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45740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45740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45740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45740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45740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45740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45740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45740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45740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45740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45740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45740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45740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45740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45740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45740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45740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45740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45740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45740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45740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45740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45740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45740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45740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45740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45740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45740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45740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45740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45740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45740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45740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45740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45740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45740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45740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45740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45740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45740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45740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45740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45740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45740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45740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45740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45740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45740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45740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45740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45740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45740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45740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45740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45740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45740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45740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45740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45740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45740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45740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45740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45740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45740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45740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45740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45740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45740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45740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45740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45740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45740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45740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45740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45740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45740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45740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45740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45740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45740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45740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45740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45740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45740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45740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45740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45740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45740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45740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45740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45740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45740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45740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45740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45740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45740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45740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45740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45740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45740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45740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45740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45740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45740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45740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45740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45740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45740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45740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45740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45740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45740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45740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45740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45740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45740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45740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45740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45740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45740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45740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45740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45740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45740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45740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45740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45740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45740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45740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45740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45740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45740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45740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45740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45740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45740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45740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45740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45740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45740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45740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45740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45740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45740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45740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45740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45740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45740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45740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45740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45740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45740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45740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45740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45740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45740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45740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45740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45740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45740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45740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45740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45740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45740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45740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45740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45740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45740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45740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45740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45740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45740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45740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45740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45740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45740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45740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45740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45740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45740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45740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45740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45740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45740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45740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45740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45740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45740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45740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45740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45740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45740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45740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45740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45740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45740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45740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45740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45740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45740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45740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45740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45740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45740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45740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45740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45740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45740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45740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45740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45740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45740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45740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45740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45740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45740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45740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45740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45740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45740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45740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45740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45740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45740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45740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45740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45740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45740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45740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45740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45740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45740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45740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45740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45740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45740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45740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45740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45740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45740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45740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45740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45740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45740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45740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45740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45740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45740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45740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45740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45740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45740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45740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45740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45740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45740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45740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45740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45740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45740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45740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45740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45740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45740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45740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45740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45740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45740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45740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45740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45740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45740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45740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45740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45740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45740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45740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45740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45740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45740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45740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45740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45740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45740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45740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45740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45740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45740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45740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45740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45740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45740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45740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45740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45740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45740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45740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45740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45740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45740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45740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45740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45740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45740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45740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45740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45740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45740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45740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45740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45740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45740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45740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45740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45740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45740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45740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45740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45740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45740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45740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45740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45740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45740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45740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45740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45740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45740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45740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45740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45740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45740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45740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45740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45740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45740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45740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45740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45740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45740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45740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45740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45740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45740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45740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45740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45740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45740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45740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45740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45740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45740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45740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45740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45740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45740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45740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45740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45740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45740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45740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45740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45740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45740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45740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45740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45740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45740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45740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45740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45740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45740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45740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45740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45740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45740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45740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45740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45740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45740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45740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45740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45740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45740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45740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45740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45740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45740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45740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45740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45740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45740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45740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45740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45740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45740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45740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45740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45740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45740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45740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45740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45740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45740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45740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45740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45740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45740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45740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45740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45740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45740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45740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45740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45740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45740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45740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45740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45740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45740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45740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45740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45740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45740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45740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45740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45740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45740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45740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45740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45740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45740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45740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45740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45740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45740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45740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45740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45740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45740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45740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45740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45740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45740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45740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45740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45740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45740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45740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45740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45740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45740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45740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45740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45740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45740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45740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45740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45740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45740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45740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45740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45740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45740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45740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45740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45740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45740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45740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45740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45740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45740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45740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45740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45740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45740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45740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45740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45740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45740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45740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45740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45740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45740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45740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45740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45740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45740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45740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45740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45740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45740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45740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45740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45740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45740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45740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45740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45740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45740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45740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45740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45740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45740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45740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45740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45740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45740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45740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45740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45740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45740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45740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45740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45740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45740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45740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45740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45740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45740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45740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45740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45740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45740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45740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45740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45740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45740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45740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45740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45740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45740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45740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45740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45740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45740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45740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45740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45740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45740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45740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45740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45740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45740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45740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45740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45740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45740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45740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45740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45740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45740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45740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45740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45740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45740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45740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45740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45740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45740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45740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45740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45740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45740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45740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45740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45740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45740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45740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45740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45740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45740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45740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45740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45740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45740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45740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45740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45740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45740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45740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45740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45740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45740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45740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45740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45740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45740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45740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45740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45740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45740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45740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45740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45740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45740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45740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45740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45740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45740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45740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45740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45740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45740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45740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45740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45740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45740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45740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45740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45740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45740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45740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45740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45740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45740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45740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45740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45740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45740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45740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45740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45740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45740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45740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45740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45740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45740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45740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45740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45740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45740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45740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45740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45740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45740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45740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45740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45740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45740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45740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45740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45740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45740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45740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45740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45740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45740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45740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45740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45740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45740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45740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45740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45740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45740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45740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45740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45740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45740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45740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45740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45740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45740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45740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45740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45740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45740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45740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45740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45740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45740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45740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45740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45740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45740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45740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45740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45740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45740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45740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45740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45740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45740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45740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45740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45740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45740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45740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45740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45740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45740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45740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45740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45740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45740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45740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45740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45740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45740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45740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45740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45740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45740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45740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45740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45740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45740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45740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45740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45740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45740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45740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45740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45740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45740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45740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45740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45740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45740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45740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45740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45740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45740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45740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45740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45740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45740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45740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45740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45740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45740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45740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45740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45740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45740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45740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45740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45740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45740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45740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45740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45740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45740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45740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45740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45740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45740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45740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45740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45740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45740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45740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45740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45740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45740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45740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45740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45740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45740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45740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45740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45740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45740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45740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45740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45740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45740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45740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45740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45740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45740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45740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45740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45740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45740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45740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45740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45740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45740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45740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45740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45740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45740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45740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45740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45740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45740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45740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45740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45740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45740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45740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45740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45740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45740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45740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45740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45740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45740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45740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45740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45740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45740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45740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45740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45740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45740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45740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45740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45740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45740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45740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45740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45740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45740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45740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45740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45740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45740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45740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45740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45740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45740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45740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45740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45740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45740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45740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45740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45740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45740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45740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45740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45740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45740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45740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45740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45740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45740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45740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45740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45740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45740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45740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45740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45740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45740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45740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45740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45740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45740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45740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45740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45740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45740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45740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45740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45740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45740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45740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45740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45740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45740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45740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45740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45740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45740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45740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45740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45740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45740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45740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45740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45740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45740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45740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45740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45740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45740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45740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45740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45740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45740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45740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45740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45740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45740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45740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45740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45740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45740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45740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45740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45740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45740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45740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45740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45740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45740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45740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45740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45740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45740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45740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45740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45740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45740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45740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45740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45740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45740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45740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45740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45740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45740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45740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45740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45740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45740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45740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45740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45740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45740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45740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45740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45740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45740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45740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45740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45740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45740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45740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45740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45740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45740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45740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45740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45740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45740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45740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45740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45740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45740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45740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45740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45740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45740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45740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45740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45740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45740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45740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45740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45740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45740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45740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45740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45740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45740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45740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45740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45740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45740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45740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45740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45740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45740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45740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45740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45740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45740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45740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45740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45740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45740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45740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45740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45740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45740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45740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45740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45740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45740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45740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45740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45740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45740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45740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45740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45740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45740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45740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45740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45740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45740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45740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45740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45740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45740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45740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45740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45740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45740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45740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45740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45740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45740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45740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45740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45740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45740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45740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45740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45740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45740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45740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45740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45740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45740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45740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45740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45740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45740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45740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45740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45740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45740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45740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45740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45740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45740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45740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45740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45740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45740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45740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45740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45740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45740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45740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45740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45740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45740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45740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45740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45740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45740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45740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45740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45740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45740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45740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45740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45740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45740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45740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45740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45740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45740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45740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45740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45740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45740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45740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45740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45740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45740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45740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45740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45740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45740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45740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45740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45740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45740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45740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45740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45740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45740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45740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45740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45740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45740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45740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45740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45740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45740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45740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45740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45740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45740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45740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45740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45740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45740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45740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45740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45740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45740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45740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45740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45740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45740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45740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45740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45740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45740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45740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45740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45740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45740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45740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45740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45740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45740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45740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45740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45740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45740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45740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45740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45740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45740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45740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45740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45740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45740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45740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45740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45740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45740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45740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45740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45740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45740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45740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45740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45740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45740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45740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45740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45740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45740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45740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45740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45740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45740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45740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45740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45740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45740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45740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45740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45740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45740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45740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45740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45740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45740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45740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45740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45740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45740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45740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45740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45740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45740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45740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45740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45740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45740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45740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45740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45740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45740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45740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45740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45740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45740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45740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45740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45740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45740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45740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45740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45740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45740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45740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45740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45740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45740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45740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45740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45740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45740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45740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45740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45740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45740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45740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45740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45740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45740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45740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45740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45740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45740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45740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45740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45740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45740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45740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45740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45740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45740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45740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45740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45740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45740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45740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45740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45740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45740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45740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45740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45740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45740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45740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45740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45740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45740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45740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45740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45740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45740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45740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45740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45740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45740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45740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45740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45740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45740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45740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45740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45740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45740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45740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45740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45740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45740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45740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45740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45740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45740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45740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45740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45740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45740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45740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45740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45740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45740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45740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45740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45740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45740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45740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45740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45740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45740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45740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45740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45740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45740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45740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45740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45740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45740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45740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45740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45740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45740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45740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45740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45740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45740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45740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45740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45740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45740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45740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45740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45740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45740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45740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45740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45740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45740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45740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45740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45740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45740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45740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45740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45740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45740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45740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45740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45740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45740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45740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45740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45740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45740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45740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45740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45740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45740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45740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45740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45740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45740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45740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45740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45740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45740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45740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45740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45740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45740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45740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45740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45740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45740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45740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45740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45740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45740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45740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45740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45740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45740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45740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45740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45740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45740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45740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45740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45740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45740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45740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45740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45740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45740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45740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45740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45740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45740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45740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45740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45740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45740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45740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45740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45740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45740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45740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45740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45740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45740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45740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45740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45740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45740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45740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45740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45740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45740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45740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45740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45740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45740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45740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45740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45740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45740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45740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45740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45740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45740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45740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45740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45740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45740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45740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45740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45740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45740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45740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45740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45740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45740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45740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45740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45740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45740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45740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45740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45740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45740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45740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45740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45740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45740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45740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45740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45740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45740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45740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45740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45740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45740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45740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45740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45740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45740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45740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45740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45740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45740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45740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45740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45740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45740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45740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45740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45740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45740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45740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45740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45740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45740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45740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45740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45740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45740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45740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45740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45740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45740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45740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45740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45740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45740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45740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45740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45740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45740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45740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45740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45740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45740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45740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45740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45740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45740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45740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45740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45740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45740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45740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45740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45740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45740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45740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45740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45740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45740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45740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45740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45740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45740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45740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45740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45740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45740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45740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45740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45740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45740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45740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45740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45740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45740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45740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45740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45740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45740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45740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45740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45740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45740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45740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45740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45740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45740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45740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45740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45740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45740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45740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45740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45740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45740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45740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45740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45740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45740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45740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45740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45740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45740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45740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45740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45740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45740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45740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45740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45740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45740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45740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45740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45740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45740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45740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45740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45740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45740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45740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45740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45740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45740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45740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45740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45740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45740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45740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45740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45740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45740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45740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45740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45740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45740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45740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45740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45740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45740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45740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45740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45740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45740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45740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45740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45740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45740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45740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45740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45740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45740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45740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45740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45740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45740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45740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45740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45740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45740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45740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45740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45740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45740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45740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45740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45740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45740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45740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45740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45740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45740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45740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45740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45740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45740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45740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45740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45740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45740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45740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45740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45740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45740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45740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45740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45740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45740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45740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45740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45740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45740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45740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45740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45740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45740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45740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45740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45740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45740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45740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45740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45740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45740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45740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45740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45740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45740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45740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45740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45740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45740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45740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45740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45740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45740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45740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45740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45740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45740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45740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45740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45740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45740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45740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45740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45740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45740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45740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45740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45740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45740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45740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45740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45740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45740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45740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45740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45740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45740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45740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45740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45740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45740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45740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45740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45740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45740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45740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45740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45740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45740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45740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45740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45740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45740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45740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45740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45740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45740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45740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45740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45740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45740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45740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45740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45740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45740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45740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45740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45740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45740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45740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45740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45740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45740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45740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45740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45740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45740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45740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45740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45740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45740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45740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45740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45740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45740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45740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45740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45740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45740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45740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45740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45740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45740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45740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45740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45740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45740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45740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45740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45740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45740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45740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45740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45740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45740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45740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45740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45740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45740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45740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45740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45740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45740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45740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45740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45740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45740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45740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45740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45740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45740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45740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45740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45740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45740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45740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45740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45740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45740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45740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45740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45740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45740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45740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45740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45740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45740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45740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45740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45740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45740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45740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45740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45740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45740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45740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45740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45740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45740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45740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45740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45740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45740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45740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45740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45740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45740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45740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45740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45740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45740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45740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45740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45740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45740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45740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45740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45740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45740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45740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45740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45740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45740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45740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45740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45740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45740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45740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45740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45740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45740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45740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45740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45740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45740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45740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45740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45740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45740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45740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45740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45740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45740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45740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45740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45740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45740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45740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45740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45740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45740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45740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45740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45740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45740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45740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45740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45740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45740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45740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45740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45740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45740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45740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45740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45740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45740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45740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45740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45740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45740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45740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45740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45740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45740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45740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45740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45740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45740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45740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45740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45740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45740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45740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45740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45740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45740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45740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45740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45740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45740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45740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45740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45740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45740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45740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45740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45740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45740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45740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45740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45740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45740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45740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45740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45740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45740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45740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45740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45740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45740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45740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45740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45740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45740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45740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45740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45740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45740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45740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45740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45740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45740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45740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45740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45740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45740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45740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45740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45740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45740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45740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45740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45740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45740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45740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45740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45740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45740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45740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45740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45740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45740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45740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45740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45740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45740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45740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45740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45740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45740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45740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45740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45740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45740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45740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45740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45740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45740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45740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45740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45740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45740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45740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45740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45740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45740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45740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45740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45740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45740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45740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45740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45740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45740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45740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45740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45740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45740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45740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45740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45740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45740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45740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45740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45740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45740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45740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45740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45740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45740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45740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45740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45740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45740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45740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45740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45740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45740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45740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45740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45740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45740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45740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45740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45740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45740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45740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45740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45740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45740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45740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45740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45740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45740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45740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45740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45740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45740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45740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45740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45740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45740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45740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45740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45740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45740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45740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45740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45740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45740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45740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45740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45740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45740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45740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45740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45740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45740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45740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45740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45740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45740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45740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45740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45740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45740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45740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45740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45740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45740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45740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45740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45740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45740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45740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45740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45740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9593-2025</t>
        </is>
      </c>
      <c r="B2289" s="1" t="n">
        <v>45714</v>
      </c>
      <c r="C2289" s="1" t="n">
        <v>45740</v>
      </c>
      <c r="D2289" t="inlineStr">
        <is>
          <t>VÄRMLANDS LÄN</t>
        </is>
      </c>
      <c r="E2289" t="inlineStr">
        <is>
          <t>SUNNE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45740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45740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45740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45740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9753-2025</t>
        </is>
      </c>
      <c r="B2294" s="1" t="n">
        <v>45716</v>
      </c>
      <c r="C2294" s="1" t="n">
        <v>45740</v>
      </c>
      <c r="D2294" t="inlineStr">
        <is>
          <t>VÄRMLANDS LÄN</t>
        </is>
      </c>
      <c r="E2294" t="inlineStr">
        <is>
          <t>SUNNE</t>
        </is>
      </c>
      <c r="G2294" t="n">
        <v>13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45740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45740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45740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10261-2025</t>
        </is>
      </c>
      <c r="B2298" s="1" t="n">
        <v>45720</v>
      </c>
      <c r="C2298" s="1" t="n">
        <v>45740</v>
      </c>
      <c r="D2298" t="inlineStr">
        <is>
          <t>VÄRMLANDS LÄN</t>
        </is>
      </c>
      <c r="E2298" t="inlineStr">
        <is>
          <t>SUNNE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10349-2025</t>
        </is>
      </c>
      <c r="B2299" s="1" t="n">
        <v>45720</v>
      </c>
      <c r="C2299" s="1" t="n">
        <v>45740</v>
      </c>
      <c r="D2299" t="inlineStr">
        <is>
          <t>VÄRMLANDS LÄN</t>
        </is>
      </c>
      <c r="E2299" t="inlineStr">
        <is>
          <t>SUNNE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45740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45740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10615-2025</t>
        </is>
      </c>
      <c r="B2302" s="1" t="n">
        <v>45721</v>
      </c>
      <c r="C2302" s="1" t="n">
        <v>45740</v>
      </c>
      <c r="D2302" t="inlineStr">
        <is>
          <t>VÄRMLANDS LÄN</t>
        </is>
      </c>
      <c r="E2302" t="inlineStr">
        <is>
          <t>SUNNE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10548-2025</t>
        </is>
      </c>
      <c r="B2303" s="1" t="n">
        <v>45721</v>
      </c>
      <c r="C2303" s="1" t="n">
        <v>45740</v>
      </c>
      <c r="D2303" t="inlineStr">
        <is>
          <t>VÄRMLANDS LÄN</t>
        </is>
      </c>
      <c r="E2303" t="inlineStr">
        <is>
          <t>SUNNE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45740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45740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45740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11242-2025</t>
        </is>
      </c>
      <c r="B2307" s="1" t="n">
        <v>45726</v>
      </c>
      <c r="C2307" s="1" t="n">
        <v>45740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11709-2025</t>
        </is>
      </c>
      <c r="B2308" s="1" t="n">
        <v>45727</v>
      </c>
      <c r="C2308" s="1" t="n">
        <v>45740</v>
      </c>
      <c r="D2308" t="inlineStr">
        <is>
          <t>VÄRMLANDS LÄN</t>
        </is>
      </c>
      <c r="E2308" t="inlineStr">
        <is>
          <t>SUNNE</t>
        </is>
      </c>
      <c r="G2308" t="n">
        <v>11.6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12271-2025</t>
        </is>
      </c>
      <c r="B2309" s="1" t="n">
        <v>45729</v>
      </c>
      <c r="C2309" s="1" t="n">
        <v>45740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12241-2025</t>
        </is>
      </c>
      <c r="B2310" s="1" t="n">
        <v>45729</v>
      </c>
      <c r="C2310" s="1" t="n">
        <v>45740</v>
      </c>
      <c r="D2310" t="inlineStr">
        <is>
          <t>VÄRMLANDS LÄN</t>
        </is>
      </c>
      <c r="E2310" t="inlineStr">
        <is>
          <t>SUNNE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12273-2025</t>
        </is>
      </c>
      <c r="B2311" s="1" t="n">
        <v>45729</v>
      </c>
      <c r="C2311" s="1" t="n">
        <v>45740</v>
      </c>
      <c r="D2311" t="inlineStr">
        <is>
          <t>VÄRMLANDS LÄN</t>
        </is>
      </c>
      <c r="E2311" t="inlineStr">
        <is>
          <t>SUNNE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12813-2025</t>
        </is>
      </c>
      <c r="B2312" s="1" t="n">
        <v>45733</v>
      </c>
      <c r="C2312" s="1" t="n">
        <v>45740</v>
      </c>
      <c r="D2312" t="inlineStr">
        <is>
          <t>VÄRMLANDS LÄN</t>
        </is>
      </c>
      <c r="E2312" t="inlineStr">
        <is>
          <t>SUNNE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13099-2025</t>
        </is>
      </c>
      <c r="B2313" s="1" t="n">
        <v>45734</v>
      </c>
      <c r="C2313" s="1" t="n">
        <v>45740</v>
      </c>
      <c r="D2313" t="inlineStr">
        <is>
          <t>VÄRMLANDS LÄN</t>
        </is>
      </c>
      <c r="E2313" t="inlineStr">
        <is>
          <t>SUNNE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13035-2025</t>
        </is>
      </c>
      <c r="B2314" s="1" t="n">
        <v>45734</v>
      </c>
      <c r="C2314" s="1" t="n">
        <v>45740</v>
      </c>
      <c r="D2314" t="inlineStr">
        <is>
          <t>VÄRMLANDS LÄN</t>
        </is>
      </c>
      <c r="E2314" t="inlineStr">
        <is>
          <t>SUNNE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13275-2025</t>
        </is>
      </c>
      <c r="B2315" s="1" t="n">
        <v>45735</v>
      </c>
      <c r="C2315" s="1" t="n">
        <v>45740</v>
      </c>
      <c r="D2315" t="inlineStr">
        <is>
          <t>VÄRMLANDS LÄN</t>
        </is>
      </c>
      <c r="E2315" t="inlineStr">
        <is>
          <t>SUNNE</t>
        </is>
      </c>
      <c r="F2315" t="inlineStr">
        <is>
          <t>Bergvik skog väst AB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13305-2025</t>
        </is>
      </c>
      <c r="B2316" s="1" t="n">
        <v>45735</v>
      </c>
      <c r="C2316" s="1" t="n">
        <v>45740</v>
      </c>
      <c r="D2316" t="inlineStr">
        <is>
          <t>VÄRMLANDS LÄN</t>
        </is>
      </c>
      <c r="E2316" t="inlineStr">
        <is>
          <t>SUNNE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13325-2025</t>
        </is>
      </c>
      <c r="B2317" s="1" t="n">
        <v>45735</v>
      </c>
      <c r="C2317" s="1" t="n">
        <v>45740</v>
      </c>
      <c r="D2317" t="inlineStr">
        <is>
          <t>VÄRMLANDS LÄN</t>
        </is>
      </c>
      <c r="E2317" t="inlineStr">
        <is>
          <t>SUNNE</t>
        </is>
      </c>
      <c r="F2317" t="inlineStr">
        <is>
          <t>Bergvik skog väst AB</t>
        </is>
      </c>
      <c r="G2317" t="n">
        <v>6.2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45740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45740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13610-2025</t>
        </is>
      </c>
      <c r="B2320" s="1" t="n">
        <v>45736</v>
      </c>
      <c r="C2320" s="1" t="n">
        <v>45740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13643-2025</t>
        </is>
      </c>
      <c r="B2321" s="1" t="n">
        <v>45736</v>
      </c>
      <c r="C2321" s="1" t="n">
        <v>45740</v>
      </c>
      <c r="D2321" t="inlineStr">
        <is>
          <t>VÄRMLANDS LÄN</t>
        </is>
      </c>
      <c r="E2321" t="inlineStr">
        <is>
          <t>SUNNE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13646-2025</t>
        </is>
      </c>
      <c r="B2322" s="1" t="n">
        <v>45736</v>
      </c>
      <c r="C2322" s="1" t="n">
        <v>45740</v>
      </c>
      <c r="D2322" t="inlineStr">
        <is>
          <t>VÄRMLANDS LÄN</t>
        </is>
      </c>
      <c r="E2322" t="inlineStr">
        <is>
          <t>SUNNE</t>
        </is>
      </c>
      <c r="G2322" t="n">
        <v>5.5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45740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13846-2025</t>
        </is>
      </c>
      <c r="B2324" s="1" t="n">
        <v>45737</v>
      </c>
      <c r="C2324" s="1" t="n">
        <v>45740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13807-2025</t>
        </is>
      </c>
      <c r="B2325" s="1" t="n">
        <v>45737</v>
      </c>
      <c r="C2325" s="1" t="n">
        <v>45740</v>
      </c>
      <c r="D2325" t="inlineStr">
        <is>
          <t>VÄRMLANDS LÄN</t>
        </is>
      </c>
      <c r="E2325" t="inlineStr">
        <is>
          <t>SUNNE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>
      <c r="A2326" t="inlineStr">
        <is>
          <t>A 13880-2025</t>
        </is>
      </c>
      <c r="B2326" s="1" t="n">
        <v>45737</v>
      </c>
      <c r="C2326" s="1" t="n">
        <v>45740</v>
      </c>
      <c r="D2326" t="inlineStr">
        <is>
          <t>VÄRMLANDS LÄN</t>
        </is>
      </c>
      <c r="E2326" t="inlineStr">
        <is>
          <t>SUNNE</t>
        </is>
      </c>
      <c r="F2326" t="inlineStr">
        <is>
          <t>Kommuner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2025-03-24T18:07:14Z</dcterms:created>
  <dcterms:modified xmlns:dcterms="http://purl.org/dc/terms/" xmlns:xsi="http://www.w3.org/2001/XMLSchema-instance" xsi:type="dcterms:W3CDTF">2025-03-24T18:07:16Z</dcterms:modified>
</cp:coreProperties>
</file>