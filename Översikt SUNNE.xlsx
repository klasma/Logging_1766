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45894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45894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45894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45894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45894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45894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Tallticka
Tjäder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45894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45894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45894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45894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45894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45894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13846-2025</t>
        </is>
      </c>
      <c r="B16" s="1" t="n">
        <v>45737.56318287037</v>
      </c>
      <c r="C16" s="1" t="n">
        <v>45894</v>
      </c>
      <c r="D16" t="inlineStr">
        <is>
          <t>VÄRMLANDS LÄN</t>
        </is>
      </c>
      <c r="E16" t="inlineStr">
        <is>
          <t>SUNNE</t>
        </is>
      </c>
      <c r="F16" t="inlineStr">
        <is>
          <t>Bergvik skog väst AB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HYPERLINK("https://klasma.github.io/Logging_1766/artfynd/A 13846-2025 artfynd.xlsx", "A 13846-2025")</f>
        <v/>
      </c>
      <c r="T16">
        <f>HYPERLINK("https://klasma.github.io/Logging_1766/kartor/A 13846-2025 karta.png", "A 13846-2025")</f>
        <v/>
      </c>
      <c r="V16">
        <f>HYPERLINK("https://klasma.github.io/Logging_1766/klagomål/A 13846-2025 FSC-klagomål.docx", "A 13846-2025")</f>
        <v/>
      </c>
      <c r="W16">
        <f>HYPERLINK("https://klasma.github.io/Logging_1766/klagomålsmail/A 13846-2025 FSC-klagomål mail.docx", "A 13846-2025")</f>
        <v/>
      </c>
      <c r="X16">
        <f>HYPERLINK("https://klasma.github.io/Logging_1766/tillsyn/A 13846-2025 tillsynsbegäran.docx", "A 13846-2025")</f>
        <v/>
      </c>
      <c r="Y16">
        <f>HYPERLINK("https://klasma.github.io/Logging_1766/tillsynsmail/A 13846-2025 tillsynsbegäran mail.docx", "A 13846-2025")</f>
        <v/>
      </c>
      <c r="Z16">
        <f>HYPERLINK("https://klasma.github.io/Logging_1766/fåglar/A 13846-2025 prioriterade fågelarter.docx", "A 13846-2025")</f>
        <v/>
      </c>
    </row>
    <row r="17" ht="15" customHeight="1">
      <c r="A17" t="inlineStr">
        <is>
          <t>A 59323-2022</t>
        </is>
      </c>
      <c r="B17" s="1" t="n">
        <v>44904</v>
      </c>
      <c r="C17" s="1" t="n">
        <v>45894</v>
      </c>
      <c r="D17" t="inlineStr">
        <is>
          <t>VÄRMLANDS LÄN</t>
        </is>
      </c>
      <c r="E17" t="inlineStr">
        <is>
          <t>SUNNE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HYPERLINK("https://klasma.github.io/Logging_1766/artfynd/A 59323-2022 artfynd.xlsx", "A 59323-2022")</f>
        <v/>
      </c>
      <c r="T17">
        <f>HYPERLINK("https://klasma.github.io/Logging_1766/kartor/A 59323-2022 karta.png", "A 59323-2022")</f>
        <v/>
      </c>
      <c r="V17">
        <f>HYPERLINK("https://klasma.github.io/Logging_1766/klagomål/A 59323-2022 FSC-klagomål.docx", "A 59323-2022")</f>
        <v/>
      </c>
      <c r="W17">
        <f>HYPERLINK("https://klasma.github.io/Logging_1766/klagomålsmail/A 59323-2022 FSC-klagomål mail.docx", "A 59323-2022")</f>
        <v/>
      </c>
      <c r="X17">
        <f>HYPERLINK("https://klasma.github.io/Logging_1766/tillsyn/A 59323-2022 tillsynsbegäran.docx", "A 59323-2022")</f>
        <v/>
      </c>
      <c r="Y17">
        <f>HYPERLINK("https://klasma.github.io/Logging_1766/tillsynsmail/A 59323-2022 tillsynsbegäran mail.docx", "A 59323-2022")</f>
        <v/>
      </c>
      <c r="Z17">
        <f>HYPERLINK("https://klasma.github.io/Logging_1766/fåglar/A 59323-2022 prioriterade fågelarter.docx", "A 59323-2022")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45894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45894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45894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45894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25485-2025</t>
        </is>
      </c>
      <c r="B22" s="1" t="n">
        <v>45803</v>
      </c>
      <c r="C22" s="1" t="n">
        <v>45894</v>
      </c>
      <c r="D22" t="inlineStr">
        <is>
          <t>VÄRMLANDS LÄN</t>
        </is>
      </c>
      <c r="E22" t="inlineStr">
        <is>
          <t>SUNNE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25485-2025 artfynd.xlsx", "A 25485-2025")</f>
        <v/>
      </c>
      <c r="T22">
        <f>HYPERLINK("https://klasma.github.io/Logging_1766/kartor/A 25485-2025 karta.png", "A 25485-2025")</f>
        <v/>
      </c>
      <c r="V22">
        <f>HYPERLINK("https://klasma.github.io/Logging_1766/klagomål/A 25485-2025 FSC-klagomål.docx", "A 25485-2025")</f>
        <v/>
      </c>
      <c r="W22">
        <f>HYPERLINK("https://klasma.github.io/Logging_1766/klagomålsmail/A 25485-2025 FSC-klagomål mail.docx", "A 25485-2025")</f>
        <v/>
      </c>
      <c r="X22">
        <f>HYPERLINK("https://klasma.github.io/Logging_1766/tillsyn/A 25485-2025 tillsynsbegäran.docx", "A 25485-2025")</f>
        <v/>
      </c>
      <c r="Y22">
        <f>HYPERLINK("https://klasma.github.io/Logging_1766/tillsynsmail/A 25485-2025 tillsynsbegäran mail.docx", "A 25485-2025")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45894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45894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45894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54160-2020</t>
        </is>
      </c>
      <c r="B26" s="1" t="n">
        <v>44125</v>
      </c>
      <c r="C26" s="1" t="n">
        <v>45894</v>
      </c>
      <c r="D26" t="inlineStr">
        <is>
          <t>VÄRMLANDS LÄN</t>
        </is>
      </c>
      <c r="E26" t="inlineStr">
        <is>
          <t>SUNNE</t>
        </is>
      </c>
      <c r="G26" t="n">
        <v>4.1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HYPERLINK("https://klasma.github.io/Logging_1766/artfynd/A 54160-2020 artfynd.xlsx", "A 54160-2020")</f>
        <v/>
      </c>
      <c r="T26">
        <f>HYPERLINK("https://klasma.github.io/Logging_1766/kartor/A 54160-2020 karta.png", "A 54160-2020")</f>
        <v/>
      </c>
      <c r="V26">
        <f>HYPERLINK("https://klasma.github.io/Logging_1766/klagomål/A 54160-2020 FSC-klagomål.docx", "A 54160-2020")</f>
        <v/>
      </c>
      <c r="W26">
        <f>HYPERLINK("https://klasma.github.io/Logging_1766/klagomålsmail/A 54160-2020 FSC-klagomål mail.docx", "A 54160-2020")</f>
        <v/>
      </c>
      <c r="X26">
        <f>HYPERLINK("https://klasma.github.io/Logging_1766/tillsyn/A 54160-2020 tillsynsbegäran.docx", "A 54160-2020")</f>
        <v/>
      </c>
      <c r="Y26">
        <f>HYPERLINK("https://klasma.github.io/Logging_1766/tillsynsmail/A 54160-2020 tillsynsbegäran mail.docx", "A 54160-2020")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45894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45894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45894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45894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45894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45894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45894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45894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45894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45894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45894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45894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45894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45894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45894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45894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45894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45894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45894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45894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45894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45894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45894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45894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45894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45894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45894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45894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45894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45894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45894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45894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45894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45894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45894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45894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45894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45894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45894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45894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45894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45894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45894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49876-2020</t>
        </is>
      </c>
      <c r="B70" s="1" t="n">
        <v>44107</v>
      </c>
      <c r="C70" s="1" t="n">
        <v>45894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45894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45894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34900-2022</t>
        </is>
      </c>
      <c r="B73" s="1" t="n">
        <v>44796</v>
      </c>
      <c r="C73" s="1" t="n">
        <v>45894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45894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45894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45894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45894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45894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45894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45894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45894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45937-2021</t>
        </is>
      </c>
      <c r="B82" s="1" t="n">
        <v>44441</v>
      </c>
      <c r="C82" s="1" t="n">
        <v>45894</v>
      </c>
      <c r="D82" t="inlineStr">
        <is>
          <t>VÄRMLANDS LÄN</t>
        </is>
      </c>
      <c r="E82" t="inlineStr">
        <is>
          <t>SUNNE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45894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45894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45894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45894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45894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45894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45894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45894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23656-2021</t>
        </is>
      </c>
      <c r="B91" s="1" t="n">
        <v>44334.5983449074</v>
      </c>
      <c r="C91" s="1" t="n">
        <v>45894</v>
      </c>
      <c r="D91" t="inlineStr">
        <is>
          <t>VÄRMLANDS LÄN</t>
        </is>
      </c>
      <c r="E91" t="inlineStr">
        <is>
          <t>SUNNE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45894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45894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45894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45894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25792-2021</t>
        </is>
      </c>
      <c r="B96" s="1" t="n">
        <v>44343.85006944444</v>
      </c>
      <c r="C96" s="1" t="n">
        <v>45894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45894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45894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45894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45894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45894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45894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45894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45894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45894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45894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45894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45894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45894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41117-2020</t>
        </is>
      </c>
      <c r="B110" s="1" t="n">
        <v>44071</v>
      </c>
      <c r="C110" s="1" t="n">
        <v>45894</v>
      </c>
      <c r="D110" t="inlineStr">
        <is>
          <t>VÄRMLANDS LÄN</t>
        </is>
      </c>
      <c r="E110" t="inlineStr">
        <is>
          <t>SUNNE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45894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45894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45894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45894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45894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45894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45894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45894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45894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45894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66208-2020</t>
        </is>
      </c>
      <c r="B121" s="1" t="n">
        <v>44175</v>
      </c>
      <c r="C121" s="1" t="n">
        <v>45894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45894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45894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45894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45894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47959-2021</t>
        </is>
      </c>
      <c r="B126" s="1" t="n">
        <v>44449</v>
      </c>
      <c r="C126" s="1" t="n">
        <v>45894</v>
      </c>
      <c r="D126" t="inlineStr">
        <is>
          <t>VÄRMLANDS LÄN</t>
        </is>
      </c>
      <c r="E126" t="inlineStr">
        <is>
          <t>SUNNE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45894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45894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44815-2020</t>
        </is>
      </c>
      <c r="B129" s="1" t="n">
        <v>44085</v>
      </c>
      <c r="C129" s="1" t="n">
        <v>45894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45894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3482-2022</t>
        </is>
      </c>
      <c r="B131" s="1" t="n">
        <v>44585.63393518519</v>
      </c>
      <c r="C131" s="1" t="n">
        <v>45894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39573-2021</t>
        </is>
      </c>
      <c r="B132" s="1" t="n">
        <v>44416.78027777778</v>
      </c>
      <c r="C132" s="1" t="n">
        <v>45894</v>
      </c>
      <c r="D132" t="inlineStr">
        <is>
          <t>VÄRMLANDS LÄN</t>
        </is>
      </c>
      <c r="E132" t="inlineStr">
        <is>
          <t>SUNNE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49008-2021</t>
        </is>
      </c>
      <c r="B133" s="1" t="n">
        <v>44453</v>
      </c>
      <c r="C133" s="1" t="n">
        <v>45894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40985-2020</t>
        </is>
      </c>
      <c r="B134" s="1" t="n">
        <v>44070</v>
      </c>
      <c r="C134" s="1" t="n">
        <v>45894</v>
      </c>
      <c r="D134" t="inlineStr">
        <is>
          <t>VÄRMLANDS LÄN</t>
        </is>
      </c>
      <c r="E134" t="inlineStr">
        <is>
          <t>SUNNE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71180-2021</t>
        </is>
      </c>
      <c r="B135" s="1" t="n">
        <v>44539.4802662037</v>
      </c>
      <c r="C135" s="1" t="n">
        <v>45894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43092-2022</t>
        </is>
      </c>
      <c r="B136" s="1" t="n">
        <v>44833</v>
      </c>
      <c r="C136" s="1" t="n">
        <v>45894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63669-2020</t>
        </is>
      </c>
      <c r="B137" s="1" t="n">
        <v>44166</v>
      </c>
      <c r="C137" s="1" t="n">
        <v>45894</v>
      </c>
      <c r="D137" t="inlineStr">
        <is>
          <t>VÄRMLANDS LÄN</t>
        </is>
      </c>
      <c r="E137" t="inlineStr">
        <is>
          <t>SUNNE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37585-2021</t>
        </is>
      </c>
      <c r="B138" s="1" t="n">
        <v>44399.63003472222</v>
      </c>
      <c r="C138" s="1" t="n">
        <v>45894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41739-2021</t>
        </is>
      </c>
      <c r="B139" s="1" t="n">
        <v>44425</v>
      </c>
      <c r="C139" s="1" t="n">
        <v>45894</v>
      </c>
      <c r="D139" t="inlineStr">
        <is>
          <t>VÄRMLANDS LÄN</t>
        </is>
      </c>
      <c r="E139" t="inlineStr">
        <is>
          <t>SUNNE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48847-2020</t>
        </is>
      </c>
      <c r="B140" s="1" t="n">
        <v>44099</v>
      </c>
      <c r="C140" s="1" t="n">
        <v>45894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10957-2021</t>
        </is>
      </c>
      <c r="B141" s="1" t="n">
        <v>44260</v>
      </c>
      <c r="C141" s="1" t="n">
        <v>45894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39115-2021</t>
        </is>
      </c>
      <c r="B142" s="1" t="n">
        <v>44412</v>
      </c>
      <c r="C142" s="1" t="n">
        <v>45894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59643-2020</t>
        </is>
      </c>
      <c r="B143" s="1" t="n">
        <v>44150</v>
      </c>
      <c r="C143" s="1" t="n">
        <v>45894</v>
      </c>
      <c r="D143" t="inlineStr">
        <is>
          <t>VÄRMLANDS LÄN</t>
        </is>
      </c>
      <c r="E143" t="inlineStr">
        <is>
          <t>SUNNE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30766-2021</t>
        </is>
      </c>
      <c r="B144" s="1" t="n">
        <v>44365.47783564815</v>
      </c>
      <c r="C144" s="1" t="n">
        <v>45894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67193-2021</t>
        </is>
      </c>
      <c r="B145" s="1" t="n">
        <v>44523.45299768518</v>
      </c>
      <c r="C145" s="1" t="n">
        <v>45894</v>
      </c>
      <c r="D145" t="inlineStr">
        <is>
          <t>VÄRMLANDS LÄN</t>
        </is>
      </c>
      <c r="E145" t="inlineStr">
        <is>
          <t>SUNNE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36969-2022</t>
        </is>
      </c>
      <c r="B146" s="1" t="n">
        <v>44805</v>
      </c>
      <c r="C146" s="1" t="n">
        <v>45894</v>
      </c>
      <c r="D146" t="inlineStr">
        <is>
          <t>VÄRMLANDS LÄN</t>
        </is>
      </c>
      <c r="E146" t="inlineStr">
        <is>
          <t>SUNNE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51401-2021</t>
        </is>
      </c>
      <c r="B147" s="1" t="n">
        <v>44461</v>
      </c>
      <c r="C147" s="1" t="n">
        <v>45894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58630-2021</t>
        </is>
      </c>
      <c r="B148" s="1" t="n">
        <v>44489</v>
      </c>
      <c r="C148" s="1" t="n">
        <v>45894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37338-2022</t>
        </is>
      </c>
      <c r="B149" s="1" t="n">
        <v>44809.35336805556</v>
      </c>
      <c r="C149" s="1" t="n">
        <v>45894</v>
      </c>
      <c r="D149" t="inlineStr">
        <is>
          <t>VÄRMLANDS LÄN</t>
        </is>
      </c>
      <c r="E149" t="inlineStr">
        <is>
          <t>SUNNE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37182-2021</t>
        </is>
      </c>
      <c r="B150" s="1" t="n">
        <v>44396.60315972222</v>
      </c>
      <c r="C150" s="1" t="n">
        <v>45894</v>
      </c>
      <c r="D150" t="inlineStr">
        <is>
          <t>VÄRMLANDS LÄN</t>
        </is>
      </c>
      <c r="E150" t="inlineStr">
        <is>
          <t>SUNNE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32348-2021</t>
        </is>
      </c>
      <c r="B151" s="1" t="n">
        <v>44371</v>
      </c>
      <c r="C151" s="1" t="n">
        <v>45894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36099-2021</t>
        </is>
      </c>
      <c r="B152" s="1" t="n">
        <v>44389</v>
      </c>
      <c r="C152" s="1" t="n">
        <v>45894</v>
      </c>
      <c r="D152" t="inlineStr">
        <is>
          <t>VÄRMLANDS LÄN</t>
        </is>
      </c>
      <c r="E152" t="inlineStr">
        <is>
          <t>SUNNE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47961-2021</t>
        </is>
      </c>
      <c r="B153" s="1" t="n">
        <v>44449</v>
      </c>
      <c r="C153" s="1" t="n">
        <v>45894</v>
      </c>
      <c r="D153" t="inlineStr">
        <is>
          <t>VÄRMLANDS LÄN</t>
        </is>
      </c>
      <c r="E153" t="inlineStr">
        <is>
          <t>SUNNE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45894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74513-2021</t>
        </is>
      </c>
      <c r="B155" s="1" t="n">
        <v>44561.47615740741</v>
      </c>
      <c r="C155" s="1" t="n">
        <v>45894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47313-2021</t>
        </is>
      </c>
      <c r="B156" s="1" t="n">
        <v>44447.46856481482</v>
      </c>
      <c r="C156" s="1" t="n">
        <v>45894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72407-2021</t>
        </is>
      </c>
      <c r="B157" s="1" t="n">
        <v>44545.61767361111</v>
      </c>
      <c r="C157" s="1" t="n">
        <v>45894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2985-2022</t>
        </is>
      </c>
      <c r="B158" s="1" t="n">
        <v>44581</v>
      </c>
      <c r="C158" s="1" t="n">
        <v>45894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36093-2021</t>
        </is>
      </c>
      <c r="B159" s="1" t="n">
        <v>44389</v>
      </c>
      <c r="C159" s="1" t="n">
        <v>45894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41241-2020</t>
        </is>
      </c>
      <c r="B160" s="1" t="n">
        <v>44071</v>
      </c>
      <c r="C160" s="1" t="n">
        <v>45894</v>
      </c>
      <c r="D160" t="inlineStr">
        <is>
          <t>VÄRMLANDS LÄN</t>
        </is>
      </c>
      <c r="E160" t="inlineStr">
        <is>
          <t>SUNNE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48241-2020</t>
        </is>
      </c>
      <c r="B161" s="1" t="n">
        <v>44102</v>
      </c>
      <c r="C161" s="1" t="n">
        <v>45894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49794-2020</t>
        </is>
      </c>
      <c r="B162" s="1" t="n">
        <v>44106</v>
      </c>
      <c r="C162" s="1" t="n">
        <v>45894</v>
      </c>
      <c r="D162" t="inlineStr">
        <is>
          <t>VÄRMLANDS LÄN</t>
        </is>
      </c>
      <c r="E162" t="inlineStr">
        <is>
          <t>SUNNE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50350-2021</t>
        </is>
      </c>
      <c r="B163" s="1" t="n">
        <v>44456</v>
      </c>
      <c r="C163" s="1" t="n">
        <v>45894</v>
      </c>
      <c r="D163" t="inlineStr">
        <is>
          <t>VÄRMLANDS LÄN</t>
        </is>
      </c>
      <c r="E163" t="inlineStr">
        <is>
          <t>SUNNE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43058-2021</t>
        </is>
      </c>
      <c r="B164" s="1" t="n">
        <v>44431</v>
      </c>
      <c r="C164" s="1" t="n">
        <v>45894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2461-2022</t>
        </is>
      </c>
      <c r="B165" s="1" t="n">
        <v>44579</v>
      </c>
      <c r="C165" s="1" t="n">
        <v>45894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65314-2020</t>
        </is>
      </c>
      <c r="B166" s="1" t="n">
        <v>44173</v>
      </c>
      <c r="C166" s="1" t="n">
        <v>45894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68014-2021</t>
        </is>
      </c>
      <c r="B167" s="1" t="n">
        <v>44525</v>
      </c>
      <c r="C167" s="1" t="n">
        <v>45894</v>
      </c>
      <c r="D167" t="inlineStr">
        <is>
          <t>VÄRMLANDS LÄN</t>
        </is>
      </c>
      <c r="E167" t="inlineStr">
        <is>
          <t>SUNNE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24332-2021</t>
        </is>
      </c>
      <c r="B168" s="1" t="n">
        <v>44337</v>
      </c>
      <c r="C168" s="1" t="n">
        <v>45894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45894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675-2022</t>
        </is>
      </c>
      <c r="B170" s="1" t="n">
        <v>44568</v>
      </c>
      <c r="C170" s="1" t="n">
        <v>45894</v>
      </c>
      <c r="D170" t="inlineStr">
        <is>
          <t>VÄRMLANDS LÄN</t>
        </is>
      </c>
      <c r="E170" t="inlineStr">
        <is>
          <t>SUNNE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259-2022</t>
        </is>
      </c>
      <c r="B171" s="1" t="n">
        <v>44565</v>
      </c>
      <c r="C171" s="1" t="n">
        <v>45894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40411-2022</t>
        </is>
      </c>
      <c r="B172" s="1" t="n">
        <v>44823</v>
      </c>
      <c r="C172" s="1" t="n">
        <v>45894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20041-2022</t>
        </is>
      </c>
      <c r="B173" s="1" t="n">
        <v>44697.70008101852</v>
      </c>
      <c r="C173" s="1" t="n">
        <v>45894</v>
      </c>
      <c r="D173" t="inlineStr">
        <is>
          <t>VÄRMLANDS LÄN</t>
        </is>
      </c>
      <c r="E173" t="inlineStr">
        <is>
          <t>SUNNE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41525-2021</t>
        </is>
      </c>
      <c r="B174" s="1" t="n">
        <v>44425</v>
      </c>
      <c r="C174" s="1" t="n">
        <v>45894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39000-2021</t>
        </is>
      </c>
      <c r="B175" s="1" t="n">
        <v>44412</v>
      </c>
      <c r="C175" s="1" t="n">
        <v>45894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50241-2021</t>
        </is>
      </c>
      <c r="B176" s="1" t="n">
        <v>44458</v>
      </c>
      <c r="C176" s="1" t="n">
        <v>45894</v>
      </c>
      <c r="D176" t="inlineStr">
        <is>
          <t>VÄRMLANDS LÄN</t>
        </is>
      </c>
      <c r="E176" t="inlineStr">
        <is>
          <t>SUNNE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16940-2021</t>
        </is>
      </c>
      <c r="B177" s="1" t="n">
        <v>44295.54856481482</v>
      </c>
      <c r="C177" s="1" t="n">
        <v>45894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53495-2021</t>
        </is>
      </c>
      <c r="B178" s="1" t="n">
        <v>44468</v>
      </c>
      <c r="C178" s="1" t="n">
        <v>45894</v>
      </c>
      <c r="D178" t="inlineStr">
        <is>
          <t>VÄRMLANDS LÄN</t>
        </is>
      </c>
      <c r="E178" t="inlineStr">
        <is>
          <t>SUNNE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6937-2021</t>
        </is>
      </c>
      <c r="B179" s="1" t="n">
        <v>44237.55291666667</v>
      </c>
      <c r="C179" s="1" t="n">
        <v>45894</v>
      </c>
      <c r="D179" t="inlineStr">
        <is>
          <t>VÄRMLANDS LÄN</t>
        </is>
      </c>
      <c r="E179" t="inlineStr">
        <is>
          <t>SUNNE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45894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45928-2022</t>
        </is>
      </c>
      <c r="B181" s="1" t="n">
        <v>44846.63113425926</v>
      </c>
      <c r="C181" s="1" t="n">
        <v>45894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25616-2022</t>
        </is>
      </c>
      <c r="B182" s="1" t="n">
        <v>44732</v>
      </c>
      <c r="C182" s="1" t="n">
        <v>45894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49899-2020</t>
        </is>
      </c>
      <c r="B183" s="1" t="n">
        <v>44108</v>
      </c>
      <c r="C183" s="1" t="n">
        <v>45894</v>
      </c>
      <c r="D183" t="inlineStr">
        <is>
          <t>VÄRMLANDS LÄN</t>
        </is>
      </c>
      <c r="E183" t="inlineStr">
        <is>
          <t>SUNNE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37334-2022</t>
        </is>
      </c>
      <c r="B184" s="1" t="n">
        <v>44809.34965277778</v>
      </c>
      <c r="C184" s="1" t="n">
        <v>45894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49334-2021</t>
        </is>
      </c>
      <c r="B185" s="1" t="n">
        <v>44454</v>
      </c>
      <c r="C185" s="1" t="n">
        <v>45894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45894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51194-2021</t>
        </is>
      </c>
      <c r="B187" s="1" t="n">
        <v>44461</v>
      </c>
      <c r="C187" s="1" t="n">
        <v>45894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48994-2021</t>
        </is>
      </c>
      <c r="B188" s="1" t="n">
        <v>44453</v>
      </c>
      <c r="C188" s="1" t="n">
        <v>45894</v>
      </c>
      <c r="D188" t="inlineStr">
        <is>
          <t>VÄRMLANDS LÄN</t>
        </is>
      </c>
      <c r="E188" t="inlineStr">
        <is>
          <t>SUNNE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3582-2022</t>
        </is>
      </c>
      <c r="B189" s="1" t="n">
        <v>44586</v>
      </c>
      <c r="C189" s="1" t="n">
        <v>45894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53629-2021</t>
        </is>
      </c>
      <c r="B190" s="1" t="n">
        <v>44469.39340277778</v>
      </c>
      <c r="C190" s="1" t="n">
        <v>45894</v>
      </c>
      <c r="D190" t="inlineStr">
        <is>
          <t>VÄRMLANDS LÄN</t>
        </is>
      </c>
      <c r="E190" t="inlineStr">
        <is>
          <t>SUNNE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39947-2020</t>
        </is>
      </c>
      <c r="B191" s="1" t="n">
        <v>44067</v>
      </c>
      <c r="C191" s="1" t="n">
        <v>45894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37927-2021</t>
        </is>
      </c>
      <c r="B192" s="1" t="n">
        <v>44403</v>
      </c>
      <c r="C192" s="1" t="n">
        <v>45894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61597-2020</t>
        </is>
      </c>
      <c r="B193" s="1" t="n">
        <v>44158</v>
      </c>
      <c r="C193" s="1" t="n">
        <v>45894</v>
      </c>
      <c r="D193" t="inlineStr">
        <is>
          <t>VÄRMLANDS LÄN</t>
        </is>
      </c>
      <c r="E193" t="inlineStr">
        <is>
          <t>SUNNE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68948-2020</t>
        </is>
      </c>
      <c r="B194" s="1" t="n">
        <v>44187</v>
      </c>
      <c r="C194" s="1" t="n">
        <v>45894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45894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40900-2020</t>
        </is>
      </c>
      <c r="B196" s="1" t="n">
        <v>44070</v>
      </c>
      <c r="C196" s="1" t="n">
        <v>45894</v>
      </c>
      <c r="D196" t="inlineStr">
        <is>
          <t>VÄRMLANDS LÄN</t>
        </is>
      </c>
      <c r="E196" t="inlineStr">
        <is>
          <t>SUNNE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45894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71818-2021</t>
        </is>
      </c>
      <c r="B198" s="1" t="n">
        <v>44543</v>
      </c>
      <c r="C198" s="1" t="n">
        <v>45894</v>
      </c>
      <c r="D198" t="inlineStr">
        <is>
          <t>VÄRMLANDS LÄN</t>
        </is>
      </c>
      <c r="E198" t="inlineStr">
        <is>
          <t>SUNNE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50557-2021</t>
        </is>
      </c>
      <c r="B199" s="1" t="n">
        <v>44459</v>
      </c>
      <c r="C199" s="1" t="n">
        <v>45894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45894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68858-2020</t>
        </is>
      </c>
      <c r="B201" s="1" t="n">
        <v>44187</v>
      </c>
      <c r="C201" s="1" t="n">
        <v>45894</v>
      </c>
      <c r="D201" t="inlineStr">
        <is>
          <t>VÄRMLANDS LÄN</t>
        </is>
      </c>
      <c r="E201" t="inlineStr">
        <is>
          <t>SUNNE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17033-2022</t>
        </is>
      </c>
      <c r="B202" s="1" t="n">
        <v>44676</v>
      </c>
      <c r="C202" s="1" t="n">
        <v>45894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44066-2021</t>
        </is>
      </c>
      <c r="B203" s="1" t="n">
        <v>44434</v>
      </c>
      <c r="C203" s="1" t="n">
        <v>45894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42538-2022</t>
        </is>
      </c>
      <c r="B204" s="1" t="n">
        <v>44831.62728009259</v>
      </c>
      <c r="C204" s="1" t="n">
        <v>45894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25796-2021</t>
        </is>
      </c>
      <c r="B205" s="1" t="n">
        <v>44343.85636574074</v>
      </c>
      <c r="C205" s="1" t="n">
        <v>45894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25797-2021</t>
        </is>
      </c>
      <c r="B206" s="1" t="n">
        <v>44343.85788194444</v>
      </c>
      <c r="C206" s="1" t="n">
        <v>45894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41382-2021</t>
        </is>
      </c>
      <c r="B207" s="1" t="n">
        <v>44424</v>
      </c>
      <c r="C207" s="1" t="n">
        <v>45894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29119-2021</t>
        </is>
      </c>
      <c r="B208" s="1" t="n">
        <v>44358</v>
      </c>
      <c r="C208" s="1" t="n">
        <v>45894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45894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24568-2022</t>
        </is>
      </c>
      <c r="B210" s="1" t="n">
        <v>44727</v>
      </c>
      <c r="C210" s="1" t="n">
        <v>45894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23318-2022</t>
        </is>
      </c>
      <c r="B211" s="1" t="n">
        <v>44720.49045138889</v>
      </c>
      <c r="C211" s="1" t="n">
        <v>45894</v>
      </c>
      <c r="D211" t="inlineStr">
        <is>
          <t>VÄRMLANDS LÄN</t>
        </is>
      </c>
      <c r="E211" t="inlineStr">
        <is>
          <t>SUNNE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45894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45894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45894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45894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45894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22121-2022</t>
        </is>
      </c>
      <c r="B217" s="1" t="n">
        <v>44712</v>
      </c>
      <c r="C217" s="1" t="n">
        <v>45894</v>
      </c>
      <c r="D217" t="inlineStr">
        <is>
          <t>VÄRMLANDS LÄN</t>
        </is>
      </c>
      <c r="E217" t="inlineStr">
        <is>
          <t>SUNNE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23062-2022</t>
        </is>
      </c>
      <c r="B218" s="1" t="n">
        <v>44719.44417824074</v>
      </c>
      <c r="C218" s="1" t="n">
        <v>45894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45894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39113-2021</t>
        </is>
      </c>
      <c r="B220" s="1" t="n">
        <v>44412</v>
      </c>
      <c r="C220" s="1" t="n">
        <v>45894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37509-2021</t>
        </is>
      </c>
      <c r="B221" s="1" t="n">
        <v>44399</v>
      </c>
      <c r="C221" s="1" t="n">
        <v>45894</v>
      </c>
      <c r="D221" t="inlineStr">
        <is>
          <t>VÄRMLANDS LÄN</t>
        </is>
      </c>
      <c r="E221" t="inlineStr">
        <is>
          <t>SUNNE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17512-2022</t>
        </is>
      </c>
      <c r="B222" s="1" t="n">
        <v>44679.55215277777</v>
      </c>
      <c r="C222" s="1" t="n">
        <v>45894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72410-2021</t>
        </is>
      </c>
      <c r="B223" s="1" t="n">
        <v>44545.62045138889</v>
      </c>
      <c r="C223" s="1" t="n">
        <v>45894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43839-2022</t>
        </is>
      </c>
      <c r="B224" s="1" t="n">
        <v>44838</v>
      </c>
      <c r="C224" s="1" t="n">
        <v>45894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36632-2022</t>
        </is>
      </c>
      <c r="B225" s="1" t="n">
        <v>44804</v>
      </c>
      <c r="C225" s="1" t="n">
        <v>45894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45894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61373-2021</t>
        </is>
      </c>
      <c r="B227" s="1" t="n">
        <v>44499</v>
      </c>
      <c r="C227" s="1" t="n">
        <v>45894</v>
      </c>
      <c r="D227" t="inlineStr">
        <is>
          <t>VÄRMLANDS LÄN</t>
        </is>
      </c>
      <c r="E227" t="inlineStr">
        <is>
          <t>SUNNE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53038-2021</t>
        </is>
      </c>
      <c r="B228" s="1" t="n">
        <v>44466</v>
      </c>
      <c r="C228" s="1" t="n">
        <v>45894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20042-2022</t>
        </is>
      </c>
      <c r="B229" s="1" t="n">
        <v>44697.7060300926</v>
      </c>
      <c r="C229" s="1" t="n">
        <v>45894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42681-2020</t>
        </is>
      </c>
      <c r="B230" s="1" t="n">
        <v>44077</v>
      </c>
      <c r="C230" s="1" t="n">
        <v>45894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31608-2021</t>
        </is>
      </c>
      <c r="B231" s="1" t="n">
        <v>44369</v>
      </c>
      <c r="C231" s="1" t="n">
        <v>45894</v>
      </c>
      <c r="D231" t="inlineStr">
        <is>
          <t>VÄRMLANDS LÄN</t>
        </is>
      </c>
      <c r="E231" t="inlineStr">
        <is>
          <t>SUNNE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31615-2021</t>
        </is>
      </c>
      <c r="B232" s="1" t="n">
        <v>44369</v>
      </c>
      <c r="C232" s="1" t="n">
        <v>45894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66899-2020</t>
        </is>
      </c>
      <c r="B233" s="1" t="n">
        <v>44180</v>
      </c>
      <c r="C233" s="1" t="n">
        <v>45894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65910-2021</t>
        </is>
      </c>
      <c r="B234" s="1" t="n">
        <v>44517</v>
      </c>
      <c r="C234" s="1" t="n">
        <v>45894</v>
      </c>
      <c r="D234" t="inlineStr">
        <is>
          <t>VÄRMLANDS LÄN</t>
        </is>
      </c>
      <c r="E234" t="inlineStr">
        <is>
          <t>SUNNE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73467-2021</t>
        </is>
      </c>
      <c r="B235" s="1" t="n">
        <v>44551</v>
      </c>
      <c r="C235" s="1" t="n">
        <v>45894</v>
      </c>
      <c r="D235" t="inlineStr">
        <is>
          <t>VÄRMLANDS LÄN</t>
        </is>
      </c>
      <c r="E235" t="inlineStr">
        <is>
          <t>SUNNE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32543-2022</t>
        </is>
      </c>
      <c r="B236" s="1" t="n">
        <v>44783</v>
      </c>
      <c r="C236" s="1" t="n">
        <v>45894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7372-2021</t>
        </is>
      </c>
      <c r="B237" s="1" t="n">
        <v>44239</v>
      </c>
      <c r="C237" s="1" t="n">
        <v>45894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60933-2021</t>
        </is>
      </c>
      <c r="B238" s="1" t="n">
        <v>44497</v>
      </c>
      <c r="C238" s="1" t="n">
        <v>45894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72658-2021</t>
        </is>
      </c>
      <c r="B239" s="1" t="n">
        <v>44546</v>
      </c>
      <c r="C239" s="1" t="n">
        <v>45894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45894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24600-2022</t>
        </is>
      </c>
      <c r="B241" s="1" t="n">
        <v>44727.48119212963</v>
      </c>
      <c r="C241" s="1" t="n">
        <v>45894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45894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19870-2021</t>
        </is>
      </c>
      <c r="B243" s="1" t="n">
        <v>44313</v>
      </c>
      <c r="C243" s="1" t="n">
        <v>45894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5634-2021</t>
        </is>
      </c>
      <c r="B244" s="1" t="n">
        <v>44230</v>
      </c>
      <c r="C244" s="1" t="n">
        <v>45894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1605-2022</t>
        </is>
      </c>
      <c r="B245" s="1" t="n">
        <v>44573</v>
      </c>
      <c r="C245" s="1" t="n">
        <v>45894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45894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43923-2022</t>
        </is>
      </c>
      <c r="B247" s="1" t="n">
        <v>44838</v>
      </c>
      <c r="C247" s="1" t="n">
        <v>45894</v>
      </c>
      <c r="D247" t="inlineStr">
        <is>
          <t>VÄRMLANDS LÄN</t>
        </is>
      </c>
      <c r="E247" t="inlineStr">
        <is>
          <t>SUNNE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39849-2021</t>
        </is>
      </c>
      <c r="B248" s="1" t="n">
        <v>44417</v>
      </c>
      <c r="C248" s="1" t="n">
        <v>45894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12635-2021</t>
        </is>
      </c>
      <c r="B249" s="1" t="n">
        <v>44270</v>
      </c>
      <c r="C249" s="1" t="n">
        <v>45894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4724-2021</t>
        </is>
      </c>
      <c r="B250" s="1" t="n">
        <v>44225</v>
      </c>
      <c r="C250" s="1" t="n">
        <v>45894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10541-2022</t>
        </is>
      </c>
      <c r="B251" s="1" t="n">
        <v>44623</v>
      </c>
      <c r="C251" s="1" t="n">
        <v>45894</v>
      </c>
      <c r="D251" t="inlineStr">
        <is>
          <t>VÄRMLANDS LÄN</t>
        </is>
      </c>
      <c r="E251" t="inlineStr">
        <is>
          <t>SUNNE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45894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49732-2022</t>
        </is>
      </c>
      <c r="B253" s="1" t="n">
        <v>44862.56357638889</v>
      </c>
      <c r="C253" s="1" t="n">
        <v>45894</v>
      </c>
      <c r="D253" t="inlineStr">
        <is>
          <t>VÄRMLANDS LÄN</t>
        </is>
      </c>
      <c r="E253" t="inlineStr">
        <is>
          <t>SUNNE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38423-2021</t>
        </is>
      </c>
      <c r="B254" s="1" t="n">
        <v>44406</v>
      </c>
      <c r="C254" s="1" t="n">
        <v>45894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68261-2020</t>
        </is>
      </c>
      <c r="B255" s="1" t="n">
        <v>44182</v>
      </c>
      <c r="C255" s="1" t="n">
        <v>45894</v>
      </c>
      <c r="D255" t="inlineStr">
        <is>
          <t>VÄRMLANDS LÄN</t>
        </is>
      </c>
      <c r="E255" t="inlineStr">
        <is>
          <t>SUNNE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37331-2022</t>
        </is>
      </c>
      <c r="B256" s="1" t="n">
        <v>44809.34422453704</v>
      </c>
      <c r="C256" s="1" t="n">
        <v>45894</v>
      </c>
      <c r="D256" t="inlineStr">
        <is>
          <t>VÄRMLANDS LÄN</t>
        </is>
      </c>
      <c r="E256" t="inlineStr">
        <is>
          <t>SUNNE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31430-2022</t>
        </is>
      </c>
      <c r="B257" s="1" t="n">
        <v>44774</v>
      </c>
      <c r="C257" s="1" t="n">
        <v>45894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33717-2021</t>
        </is>
      </c>
      <c r="B258" s="1" t="n">
        <v>44378.46869212963</v>
      </c>
      <c r="C258" s="1" t="n">
        <v>45894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49304-2020</t>
        </is>
      </c>
      <c r="B259" s="1" t="n">
        <v>44105</v>
      </c>
      <c r="C259" s="1" t="n">
        <v>45894</v>
      </c>
      <c r="D259" t="inlineStr">
        <is>
          <t>VÄRMLANDS LÄN</t>
        </is>
      </c>
      <c r="E259" t="inlineStr">
        <is>
          <t>SUNNE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50037-2020</t>
        </is>
      </c>
      <c r="B260" s="1" t="n">
        <v>44109</v>
      </c>
      <c r="C260" s="1" t="n">
        <v>45894</v>
      </c>
      <c r="D260" t="inlineStr">
        <is>
          <t>VÄRMLANDS LÄN</t>
        </is>
      </c>
      <c r="E260" t="inlineStr">
        <is>
          <t>SUNNE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15171-2021</t>
        </is>
      </c>
      <c r="B261" s="1" t="n">
        <v>44284.38730324074</v>
      </c>
      <c r="C261" s="1" t="n">
        <v>45894</v>
      </c>
      <c r="D261" t="inlineStr">
        <is>
          <t>VÄRMLANDS LÄN</t>
        </is>
      </c>
      <c r="E261" t="inlineStr">
        <is>
          <t>SUNNE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60475-2020</t>
        </is>
      </c>
      <c r="B262" s="1" t="n">
        <v>44153</v>
      </c>
      <c r="C262" s="1" t="n">
        <v>45894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56886-2021</t>
        </is>
      </c>
      <c r="B263" s="1" t="n">
        <v>44481</v>
      </c>
      <c r="C263" s="1" t="n">
        <v>45894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28492-2021</t>
        </is>
      </c>
      <c r="B264" s="1" t="n">
        <v>44356</v>
      </c>
      <c r="C264" s="1" t="n">
        <v>45894</v>
      </c>
      <c r="D264" t="inlineStr">
        <is>
          <t>VÄRMLANDS LÄN</t>
        </is>
      </c>
      <c r="E264" t="inlineStr">
        <is>
          <t>SUNNE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1301-2022</t>
        </is>
      </c>
      <c r="B265" s="1" t="n">
        <v>44572</v>
      </c>
      <c r="C265" s="1" t="n">
        <v>45894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68480-2020</t>
        </is>
      </c>
      <c r="B266" s="1" t="n">
        <v>44186.52924768518</v>
      </c>
      <c r="C266" s="1" t="n">
        <v>45894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12792-2021</t>
        </is>
      </c>
      <c r="B267" s="1" t="n">
        <v>44270</v>
      </c>
      <c r="C267" s="1" t="n">
        <v>45894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40245-2020</t>
        </is>
      </c>
      <c r="B268" s="1" t="n">
        <v>44068</v>
      </c>
      <c r="C268" s="1" t="n">
        <v>45894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8520-2021</t>
        </is>
      </c>
      <c r="B269" s="1" t="n">
        <v>44245</v>
      </c>
      <c r="C269" s="1" t="n">
        <v>45894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14214-2021</t>
        </is>
      </c>
      <c r="B270" s="1" t="n">
        <v>44278</v>
      </c>
      <c r="C270" s="1" t="n">
        <v>45894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63356-2021</t>
        </is>
      </c>
      <c r="B271" s="1" t="n">
        <v>44508.48819444444</v>
      </c>
      <c r="C271" s="1" t="n">
        <v>45894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48134-2022</t>
        </is>
      </c>
      <c r="B272" s="1" t="n">
        <v>44857.91674768519</v>
      </c>
      <c r="C272" s="1" t="n">
        <v>45894</v>
      </c>
      <c r="D272" t="inlineStr">
        <is>
          <t>VÄRMLANDS LÄN</t>
        </is>
      </c>
      <c r="E272" t="inlineStr">
        <is>
          <t>SUNNE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26580-2021</t>
        </is>
      </c>
      <c r="B273" s="1" t="n">
        <v>44348</v>
      </c>
      <c r="C273" s="1" t="n">
        <v>45894</v>
      </c>
      <c r="D273" t="inlineStr">
        <is>
          <t>VÄRMLANDS LÄN</t>
        </is>
      </c>
      <c r="E273" t="inlineStr">
        <is>
          <t>SUNNE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14481-2022</t>
        </is>
      </c>
      <c r="B274" s="1" t="n">
        <v>44655</v>
      </c>
      <c r="C274" s="1" t="n">
        <v>45894</v>
      </c>
      <c r="D274" t="inlineStr">
        <is>
          <t>VÄRMLANDS LÄN</t>
        </is>
      </c>
      <c r="E274" t="inlineStr">
        <is>
          <t>SUNNE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17514-2022</t>
        </is>
      </c>
      <c r="B275" s="1" t="n">
        <v>44679</v>
      </c>
      <c r="C275" s="1" t="n">
        <v>45894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33455-2022</t>
        </is>
      </c>
      <c r="B276" s="1" t="n">
        <v>44788</v>
      </c>
      <c r="C276" s="1" t="n">
        <v>45894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66602-2020</t>
        </is>
      </c>
      <c r="B277" s="1" t="n">
        <v>44179.43253472223</v>
      </c>
      <c r="C277" s="1" t="n">
        <v>45894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19523-2022</t>
        </is>
      </c>
      <c r="B278" s="1" t="n">
        <v>44693.59369212963</v>
      </c>
      <c r="C278" s="1" t="n">
        <v>45894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19526-2022</t>
        </is>
      </c>
      <c r="B279" s="1" t="n">
        <v>44693.59880787037</v>
      </c>
      <c r="C279" s="1" t="n">
        <v>45894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22491-2022</t>
        </is>
      </c>
      <c r="B280" s="1" t="n">
        <v>44713</v>
      </c>
      <c r="C280" s="1" t="n">
        <v>45894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45299-2021</t>
        </is>
      </c>
      <c r="B281" s="1" t="n">
        <v>44439</v>
      </c>
      <c r="C281" s="1" t="n">
        <v>45894</v>
      </c>
      <c r="D281" t="inlineStr">
        <is>
          <t>VÄRMLANDS LÄN</t>
        </is>
      </c>
      <c r="E281" t="inlineStr">
        <is>
          <t>SUNNE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28876-2022</t>
        </is>
      </c>
      <c r="B282" s="1" t="n">
        <v>44749</v>
      </c>
      <c r="C282" s="1" t="n">
        <v>45894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30785-2021</t>
        </is>
      </c>
      <c r="B283" s="1" t="n">
        <v>44365.49452546296</v>
      </c>
      <c r="C283" s="1" t="n">
        <v>45894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11424-2022</t>
        </is>
      </c>
      <c r="B284" s="1" t="n">
        <v>44630</v>
      </c>
      <c r="C284" s="1" t="n">
        <v>45894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19489-2021</t>
        </is>
      </c>
      <c r="B285" s="1" t="n">
        <v>44312</v>
      </c>
      <c r="C285" s="1" t="n">
        <v>45894</v>
      </c>
      <c r="D285" t="inlineStr">
        <is>
          <t>VÄRMLANDS LÄN</t>
        </is>
      </c>
      <c r="E285" t="inlineStr">
        <is>
          <t>SUNNE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42705-2021</t>
        </is>
      </c>
      <c r="B286" s="1" t="n">
        <v>44428</v>
      </c>
      <c r="C286" s="1" t="n">
        <v>45894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52146-2021</t>
        </is>
      </c>
      <c r="B287" s="1" t="n">
        <v>44463</v>
      </c>
      <c r="C287" s="1" t="n">
        <v>45894</v>
      </c>
      <c r="D287" t="inlineStr">
        <is>
          <t>VÄRMLANDS LÄN</t>
        </is>
      </c>
      <c r="E287" t="inlineStr">
        <is>
          <t>SUNNE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33005-2021</t>
        </is>
      </c>
      <c r="B288" s="1" t="n">
        <v>44376.46671296296</v>
      </c>
      <c r="C288" s="1" t="n">
        <v>45894</v>
      </c>
      <c r="D288" t="inlineStr">
        <is>
          <t>VÄRMLANDS LÄN</t>
        </is>
      </c>
      <c r="E288" t="inlineStr">
        <is>
          <t>SUNNE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13644-2022</t>
        </is>
      </c>
      <c r="B289" s="1" t="n">
        <v>44648.64385416666</v>
      </c>
      <c r="C289" s="1" t="n">
        <v>45894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47817-2020</t>
        </is>
      </c>
      <c r="B290" s="1" t="n">
        <v>44098</v>
      </c>
      <c r="C290" s="1" t="n">
        <v>45894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43113-2021</t>
        </is>
      </c>
      <c r="B291" s="1" t="n">
        <v>44431</v>
      </c>
      <c r="C291" s="1" t="n">
        <v>45894</v>
      </c>
      <c r="D291" t="inlineStr">
        <is>
          <t>VÄRMLANDS LÄN</t>
        </is>
      </c>
      <c r="E291" t="inlineStr">
        <is>
          <t>SUNNE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63090-2023</t>
        </is>
      </c>
      <c r="B292" s="1" t="n">
        <v>45273</v>
      </c>
      <c r="C292" s="1" t="n">
        <v>45894</v>
      </c>
      <c r="D292" t="inlineStr">
        <is>
          <t>VÄRMLANDS LÄN</t>
        </is>
      </c>
      <c r="E292" t="inlineStr">
        <is>
          <t>SUNNE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4089-2022</t>
        </is>
      </c>
      <c r="B293" s="1" t="n">
        <v>44588.40491898148</v>
      </c>
      <c r="C293" s="1" t="n">
        <v>45894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48853-2022</t>
        </is>
      </c>
      <c r="B294" s="1" t="n">
        <v>44859</v>
      </c>
      <c r="C294" s="1" t="n">
        <v>45894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63899-2021</t>
        </is>
      </c>
      <c r="B295" s="1" t="n">
        <v>44509</v>
      </c>
      <c r="C295" s="1" t="n">
        <v>45894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27224-2021</t>
        </is>
      </c>
      <c r="B296" s="1" t="n">
        <v>44350</v>
      </c>
      <c r="C296" s="1" t="n">
        <v>45894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9004-2023</t>
        </is>
      </c>
      <c r="B297" s="1" t="n">
        <v>44979.58105324074</v>
      </c>
      <c r="C297" s="1" t="n">
        <v>45894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62334-2021</t>
        </is>
      </c>
      <c r="B298" s="1" t="n">
        <v>44501</v>
      </c>
      <c r="C298" s="1" t="n">
        <v>45894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65074-2021</t>
        </is>
      </c>
      <c r="B299" s="1" t="n">
        <v>44515</v>
      </c>
      <c r="C299" s="1" t="n">
        <v>45894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14050-2025</t>
        </is>
      </c>
      <c r="B300" s="1" t="n">
        <v>45738</v>
      </c>
      <c r="C300" s="1" t="n">
        <v>45894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28144-2021</t>
        </is>
      </c>
      <c r="B301" s="1" t="n">
        <v>44355.54136574074</v>
      </c>
      <c r="C301" s="1" t="n">
        <v>45894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18406-2022</t>
        </is>
      </c>
      <c r="B302" s="1" t="n">
        <v>44686</v>
      </c>
      <c r="C302" s="1" t="n">
        <v>45894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62310-2021</t>
        </is>
      </c>
      <c r="B303" s="1" t="n">
        <v>44501</v>
      </c>
      <c r="C303" s="1" t="n">
        <v>45894</v>
      </c>
      <c r="D303" t="inlineStr">
        <is>
          <t>VÄRMLANDS LÄN</t>
        </is>
      </c>
      <c r="E303" t="inlineStr">
        <is>
          <t>SUNNE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16294-2025</t>
        </is>
      </c>
      <c r="B304" s="1" t="n">
        <v>45750</v>
      </c>
      <c r="C304" s="1" t="n">
        <v>45894</v>
      </c>
      <c r="D304" t="inlineStr">
        <is>
          <t>VÄRMLANDS LÄN</t>
        </is>
      </c>
      <c r="E304" t="inlineStr">
        <is>
          <t>SUNNE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16366-2025</t>
        </is>
      </c>
      <c r="B305" s="1" t="n">
        <v>45751</v>
      </c>
      <c r="C305" s="1" t="n">
        <v>45894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73470-2021</t>
        </is>
      </c>
      <c r="B306" s="1" t="n">
        <v>44551</v>
      </c>
      <c r="C306" s="1" t="n">
        <v>45894</v>
      </c>
      <c r="D306" t="inlineStr">
        <is>
          <t>VÄRMLANDS LÄN</t>
        </is>
      </c>
      <c r="E306" t="inlineStr">
        <is>
          <t>SUNNE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7749-2025</t>
        </is>
      </c>
      <c r="B307" s="1" t="n">
        <v>45706.49357638889</v>
      </c>
      <c r="C307" s="1" t="n">
        <v>45894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56738-2024</t>
        </is>
      </c>
      <c r="B308" s="1" t="n">
        <v>45628</v>
      </c>
      <c r="C308" s="1" t="n">
        <v>45894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17691-2025</t>
        </is>
      </c>
      <c r="B309" s="1" t="n">
        <v>45758.4083912037</v>
      </c>
      <c r="C309" s="1" t="n">
        <v>45894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60634-2024</t>
        </is>
      </c>
      <c r="B310" s="1" t="n">
        <v>45642</v>
      </c>
      <c r="C310" s="1" t="n">
        <v>45894</v>
      </c>
      <c r="D310" t="inlineStr">
        <is>
          <t>VÄRMLANDS LÄN</t>
        </is>
      </c>
      <c r="E310" t="inlineStr">
        <is>
          <t>SUNNE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54977-2022</t>
        </is>
      </c>
      <c r="B311" s="1" t="n">
        <v>44886</v>
      </c>
      <c r="C311" s="1" t="n">
        <v>45894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50684-2024</t>
        </is>
      </c>
      <c r="B312" s="1" t="n">
        <v>45602.31829861111</v>
      </c>
      <c r="C312" s="1" t="n">
        <v>45894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3147-2025</t>
        </is>
      </c>
      <c r="B313" s="1" t="n">
        <v>45678.88856481481</v>
      </c>
      <c r="C313" s="1" t="n">
        <v>45894</v>
      </c>
      <c r="D313" t="inlineStr">
        <is>
          <t>VÄRMLANDS LÄN</t>
        </is>
      </c>
      <c r="E313" t="inlineStr">
        <is>
          <t>SUNNE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7051-2023</t>
        </is>
      </c>
      <c r="B314" s="1" t="n">
        <v>44969</v>
      </c>
      <c r="C314" s="1" t="n">
        <v>45894</v>
      </c>
      <c r="D314" t="inlineStr">
        <is>
          <t>VÄRMLANDS LÄN</t>
        </is>
      </c>
      <c r="E314" t="inlineStr">
        <is>
          <t>SUNNE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7052-2023</t>
        </is>
      </c>
      <c r="B315" s="1" t="n">
        <v>44969</v>
      </c>
      <c r="C315" s="1" t="n">
        <v>45894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46683-2022</t>
        </is>
      </c>
      <c r="B316" s="1" t="n">
        <v>44851.35893518518</v>
      </c>
      <c r="C316" s="1" t="n">
        <v>45894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50825-2024</t>
        </is>
      </c>
      <c r="B317" s="1" t="n">
        <v>45602</v>
      </c>
      <c r="C317" s="1" t="n">
        <v>45894</v>
      </c>
      <c r="D317" t="inlineStr">
        <is>
          <t>VÄRMLANDS LÄN</t>
        </is>
      </c>
      <c r="E317" t="inlineStr">
        <is>
          <t>SUNNE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25199-2023</t>
        </is>
      </c>
      <c r="B318" s="1" t="n">
        <v>45086.58609953704</v>
      </c>
      <c r="C318" s="1" t="n">
        <v>45894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39125-2021</t>
        </is>
      </c>
      <c r="B319" s="1" t="n">
        <v>44412</v>
      </c>
      <c r="C319" s="1" t="n">
        <v>45894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15170-2022</t>
        </is>
      </c>
      <c r="B320" s="1" t="n">
        <v>44658.53688657407</v>
      </c>
      <c r="C320" s="1" t="n">
        <v>45894</v>
      </c>
      <c r="D320" t="inlineStr">
        <is>
          <t>VÄRMLANDS LÄN</t>
        </is>
      </c>
      <c r="E320" t="inlineStr">
        <is>
          <t>SUNNE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9076-2023</t>
        </is>
      </c>
      <c r="B321" s="1" t="n">
        <v>44979.91328703704</v>
      </c>
      <c r="C321" s="1" t="n">
        <v>45894</v>
      </c>
      <c r="D321" t="inlineStr">
        <is>
          <t>VÄRMLANDS LÄN</t>
        </is>
      </c>
      <c r="E321" t="inlineStr">
        <is>
          <t>SUNNE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58223-2020</t>
        </is>
      </c>
      <c r="B322" s="1" t="n">
        <v>44144</v>
      </c>
      <c r="C322" s="1" t="n">
        <v>45894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15453-2024</t>
        </is>
      </c>
      <c r="B323" s="1" t="n">
        <v>45401</v>
      </c>
      <c r="C323" s="1" t="n">
        <v>45894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63471-2020</t>
        </is>
      </c>
      <c r="B324" s="1" t="n">
        <v>44165.61076388889</v>
      </c>
      <c r="C324" s="1" t="n">
        <v>45894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41974-2021</t>
        </is>
      </c>
      <c r="B325" s="1" t="n">
        <v>44426</v>
      </c>
      <c r="C325" s="1" t="n">
        <v>45894</v>
      </c>
      <c r="D325" t="inlineStr">
        <is>
          <t>VÄRMLANDS LÄN</t>
        </is>
      </c>
      <c r="E325" t="inlineStr">
        <is>
          <t>SUNNE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41987-2021</t>
        </is>
      </c>
      <c r="B326" s="1" t="n">
        <v>44426</v>
      </c>
      <c r="C326" s="1" t="n">
        <v>45894</v>
      </c>
      <c r="D326" t="inlineStr">
        <is>
          <t>VÄRMLANDS LÄN</t>
        </is>
      </c>
      <c r="E326" t="inlineStr">
        <is>
          <t>SUNNE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48052-2023</t>
        </is>
      </c>
      <c r="B327" s="1" t="n">
        <v>45204</v>
      </c>
      <c r="C327" s="1" t="n">
        <v>45894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40485-2022</t>
        </is>
      </c>
      <c r="B328" s="1" t="n">
        <v>44823.57565972222</v>
      </c>
      <c r="C328" s="1" t="n">
        <v>45894</v>
      </c>
      <c r="D328" t="inlineStr">
        <is>
          <t>VÄRMLANDS LÄN</t>
        </is>
      </c>
      <c r="E328" t="inlineStr">
        <is>
          <t>SUNNE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37381-2021</t>
        </is>
      </c>
      <c r="B329" s="1" t="n">
        <v>44398</v>
      </c>
      <c r="C329" s="1" t="n">
        <v>45894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35349-2022</t>
        </is>
      </c>
      <c r="B330" s="1" t="n">
        <v>44798.52652777778</v>
      </c>
      <c r="C330" s="1" t="n">
        <v>45894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6023-2025</t>
        </is>
      </c>
      <c r="B331" s="1" t="n">
        <v>45695</v>
      </c>
      <c r="C331" s="1" t="n">
        <v>45894</v>
      </c>
      <c r="D331" t="inlineStr">
        <is>
          <t>VÄRMLANDS LÄN</t>
        </is>
      </c>
      <c r="E331" t="inlineStr">
        <is>
          <t>SUNNE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35973-2022</t>
        </is>
      </c>
      <c r="B332" s="1" t="n">
        <v>44802</v>
      </c>
      <c r="C332" s="1" t="n">
        <v>45894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20435-2024</t>
        </is>
      </c>
      <c r="B333" s="1" t="n">
        <v>45435.61392361111</v>
      </c>
      <c r="C333" s="1" t="n">
        <v>45894</v>
      </c>
      <c r="D333" t="inlineStr">
        <is>
          <t>VÄRMLANDS LÄN</t>
        </is>
      </c>
      <c r="E333" t="inlineStr">
        <is>
          <t>SUNNE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50872-2024</t>
        </is>
      </c>
      <c r="B334" s="1" t="n">
        <v>45602.64645833334</v>
      </c>
      <c r="C334" s="1" t="n">
        <v>45894</v>
      </c>
      <c r="D334" t="inlineStr">
        <is>
          <t>VÄRMLANDS LÄN</t>
        </is>
      </c>
      <c r="E334" t="inlineStr">
        <is>
          <t>SUNNE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45597-2023</t>
        </is>
      </c>
      <c r="B335" s="1" t="n">
        <v>45194.64109953704</v>
      </c>
      <c r="C335" s="1" t="n">
        <v>45894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44433-2023</t>
        </is>
      </c>
      <c r="B336" s="1" t="n">
        <v>45183</v>
      </c>
      <c r="C336" s="1" t="n">
        <v>45894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32093-2022</t>
        </is>
      </c>
      <c r="B337" s="1" t="n">
        <v>44778</v>
      </c>
      <c r="C337" s="1" t="n">
        <v>45894</v>
      </c>
      <c r="D337" t="inlineStr">
        <is>
          <t>VÄRMLANDS LÄN</t>
        </is>
      </c>
      <c r="E337" t="inlineStr">
        <is>
          <t>SUNNE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40714-2022</t>
        </is>
      </c>
      <c r="B338" s="1" t="n">
        <v>44824.49069444444</v>
      </c>
      <c r="C338" s="1" t="n">
        <v>45894</v>
      </c>
      <c r="D338" t="inlineStr">
        <is>
          <t>VÄRMLANDS LÄN</t>
        </is>
      </c>
      <c r="E338" t="inlineStr">
        <is>
          <t>SUNNE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13325-2025</t>
        </is>
      </c>
      <c r="B339" s="1" t="n">
        <v>45735.60184027778</v>
      </c>
      <c r="C339" s="1" t="n">
        <v>45894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10232-2024</t>
        </is>
      </c>
      <c r="B340" s="1" t="n">
        <v>45365</v>
      </c>
      <c r="C340" s="1" t="n">
        <v>45894</v>
      </c>
      <c r="D340" t="inlineStr">
        <is>
          <t>VÄRMLANDS LÄN</t>
        </is>
      </c>
      <c r="E340" t="inlineStr">
        <is>
          <t>SUNNE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25429-2023</t>
        </is>
      </c>
      <c r="B341" s="1" t="n">
        <v>45089.40971064815</v>
      </c>
      <c r="C341" s="1" t="n">
        <v>45894</v>
      </c>
      <c r="D341" t="inlineStr">
        <is>
          <t>VÄRMLANDS LÄN</t>
        </is>
      </c>
      <c r="E341" t="inlineStr">
        <is>
          <t>SUNNE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27053-2023</t>
        </is>
      </c>
      <c r="B342" s="1" t="n">
        <v>45095</v>
      </c>
      <c r="C342" s="1" t="n">
        <v>45894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6825-2021</t>
        </is>
      </c>
      <c r="B343" s="1" t="n">
        <v>44237</v>
      </c>
      <c r="C343" s="1" t="n">
        <v>45894</v>
      </c>
      <c r="D343" t="inlineStr">
        <is>
          <t>VÄRMLANDS LÄN</t>
        </is>
      </c>
      <c r="E343" t="inlineStr">
        <is>
          <t>SUNNE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55153-2024</t>
        </is>
      </c>
      <c r="B344" s="1" t="n">
        <v>45621</v>
      </c>
      <c r="C344" s="1" t="n">
        <v>45894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34711-2022</t>
        </is>
      </c>
      <c r="B345" s="1" t="n">
        <v>44795.58136574074</v>
      </c>
      <c r="C345" s="1" t="n">
        <v>45894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44170-2024</t>
        </is>
      </c>
      <c r="B346" s="1" t="n">
        <v>45572.7378125</v>
      </c>
      <c r="C346" s="1" t="n">
        <v>45894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16015-2023</t>
        </is>
      </c>
      <c r="B347" s="1" t="n">
        <v>45026</v>
      </c>
      <c r="C347" s="1" t="n">
        <v>45894</v>
      </c>
      <c r="D347" t="inlineStr">
        <is>
          <t>VÄRMLANDS LÄN</t>
        </is>
      </c>
      <c r="E347" t="inlineStr">
        <is>
          <t>SUNNE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43312-2023</t>
        </is>
      </c>
      <c r="B348" s="1" t="n">
        <v>45183.60768518518</v>
      </c>
      <c r="C348" s="1" t="n">
        <v>45894</v>
      </c>
      <c r="D348" t="inlineStr">
        <is>
          <t>VÄRMLANDS LÄN</t>
        </is>
      </c>
      <c r="E348" t="inlineStr">
        <is>
          <t>SUNNE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2368-2021</t>
        </is>
      </c>
      <c r="B349" s="1" t="n">
        <v>44214</v>
      </c>
      <c r="C349" s="1" t="n">
        <v>45894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41547-2020</t>
        </is>
      </c>
      <c r="B350" s="1" t="n">
        <v>44074</v>
      </c>
      <c r="C350" s="1" t="n">
        <v>45894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46138-2023</t>
        </is>
      </c>
      <c r="B351" s="1" t="n">
        <v>45196.56465277778</v>
      </c>
      <c r="C351" s="1" t="n">
        <v>45894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17031-2022</t>
        </is>
      </c>
      <c r="B352" s="1" t="n">
        <v>44676</v>
      </c>
      <c r="C352" s="1" t="n">
        <v>45894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11659-2025</t>
        </is>
      </c>
      <c r="B353" s="1" t="n">
        <v>45726</v>
      </c>
      <c r="C353" s="1" t="n">
        <v>45894</v>
      </c>
      <c r="D353" t="inlineStr">
        <is>
          <t>VÄRMLANDS LÄN</t>
        </is>
      </c>
      <c r="E353" t="inlineStr">
        <is>
          <t>SUNNE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29958-2024</t>
        </is>
      </c>
      <c r="B354" s="1" t="n">
        <v>45488</v>
      </c>
      <c r="C354" s="1" t="n">
        <v>45894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35322-2023</t>
        </is>
      </c>
      <c r="B355" s="1" t="n">
        <v>45146.40916666666</v>
      </c>
      <c r="C355" s="1" t="n">
        <v>45894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56549-2024</t>
        </is>
      </c>
      <c r="B356" s="1" t="n">
        <v>45625</v>
      </c>
      <c r="C356" s="1" t="n">
        <v>45894</v>
      </c>
      <c r="D356" t="inlineStr">
        <is>
          <t>VÄRMLANDS LÄN</t>
        </is>
      </c>
      <c r="E356" t="inlineStr">
        <is>
          <t>SUNNE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58092-2022</t>
        </is>
      </c>
      <c r="B357" s="1" t="n">
        <v>44900.63076388889</v>
      </c>
      <c r="C357" s="1" t="n">
        <v>45894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5890-2021</t>
        </is>
      </c>
      <c r="B358" s="1" t="n">
        <v>44230</v>
      </c>
      <c r="C358" s="1" t="n">
        <v>45894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5008-2025</t>
        </is>
      </c>
      <c r="B359" s="1" t="n">
        <v>45691.37667824074</v>
      </c>
      <c r="C359" s="1" t="n">
        <v>45894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73050-2021</t>
        </is>
      </c>
      <c r="B360" s="1" t="n">
        <v>44550</v>
      </c>
      <c r="C360" s="1" t="n">
        <v>45894</v>
      </c>
      <c r="D360" t="inlineStr">
        <is>
          <t>VÄRMLANDS LÄN</t>
        </is>
      </c>
      <c r="E360" t="inlineStr">
        <is>
          <t>SUNNE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13397-2024</t>
        </is>
      </c>
      <c r="B361" s="1" t="n">
        <v>45387.42944444445</v>
      </c>
      <c r="C361" s="1" t="n">
        <v>45894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33756-2022</t>
        </is>
      </c>
      <c r="B362" s="1" t="n">
        <v>44790</v>
      </c>
      <c r="C362" s="1" t="n">
        <v>45894</v>
      </c>
      <c r="D362" t="inlineStr">
        <is>
          <t>VÄRMLANDS LÄN</t>
        </is>
      </c>
      <c r="E362" t="inlineStr">
        <is>
          <t>SUNNE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21409-2024</t>
        </is>
      </c>
      <c r="B363" s="1" t="n">
        <v>45441.36115740741</v>
      </c>
      <c r="C363" s="1" t="n">
        <v>45894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31020-2024</t>
        </is>
      </c>
      <c r="B364" s="1" t="n">
        <v>45499</v>
      </c>
      <c r="C364" s="1" t="n">
        <v>45894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6930-2025</t>
        </is>
      </c>
      <c r="B365" s="1" t="n">
        <v>45701</v>
      </c>
      <c r="C365" s="1" t="n">
        <v>45894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27088-2022</t>
        </is>
      </c>
      <c r="B366" s="1" t="n">
        <v>44741</v>
      </c>
      <c r="C366" s="1" t="n">
        <v>45894</v>
      </c>
      <c r="D366" t="inlineStr">
        <is>
          <t>VÄRMLANDS LÄN</t>
        </is>
      </c>
      <c r="E366" t="inlineStr">
        <is>
          <t>SUNNE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24626-2023</t>
        </is>
      </c>
      <c r="B367" s="1" t="n">
        <v>45084</v>
      </c>
      <c r="C367" s="1" t="n">
        <v>45894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60880-2024</t>
        </is>
      </c>
      <c r="B368" s="1" t="n">
        <v>45644.83135416666</v>
      </c>
      <c r="C368" s="1" t="n">
        <v>45894</v>
      </c>
      <c r="D368" t="inlineStr">
        <is>
          <t>VÄRMLANDS LÄN</t>
        </is>
      </c>
      <c r="E368" t="inlineStr">
        <is>
          <t>SUNNE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51634-2024</t>
        </is>
      </c>
      <c r="B369" s="1" t="n">
        <v>45605.61619212963</v>
      </c>
      <c r="C369" s="1" t="n">
        <v>45894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2980-2022</t>
        </is>
      </c>
      <c r="B370" s="1" t="n">
        <v>44581</v>
      </c>
      <c r="C370" s="1" t="n">
        <v>45894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54286-2024</t>
        </is>
      </c>
      <c r="B371" s="1" t="n">
        <v>45616.90453703704</v>
      </c>
      <c r="C371" s="1" t="n">
        <v>45894</v>
      </c>
      <c r="D371" t="inlineStr">
        <is>
          <t>VÄRMLANDS LÄN</t>
        </is>
      </c>
      <c r="E371" t="inlineStr">
        <is>
          <t>SUNNE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31034-2023</t>
        </is>
      </c>
      <c r="B372" s="1" t="n">
        <v>45113.58893518519</v>
      </c>
      <c r="C372" s="1" t="n">
        <v>45894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16403-2024</t>
        </is>
      </c>
      <c r="B373" s="1" t="n">
        <v>45407.63439814815</v>
      </c>
      <c r="C373" s="1" t="n">
        <v>45894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2317-2021</t>
        </is>
      </c>
      <c r="B374" s="1" t="n">
        <v>44214</v>
      </c>
      <c r="C374" s="1" t="n">
        <v>45894</v>
      </c>
      <c r="D374" t="inlineStr">
        <is>
          <t>VÄRMLANDS LÄN</t>
        </is>
      </c>
      <c r="E374" t="inlineStr">
        <is>
          <t>SUNNE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18821-2024</t>
        </is>
      </c>
      <c r="B375" s="1" t="n">
        <v>45426.62637731482</v>
      </c>
      <c r="C375" s="1" t="n">
        <v>45894</v>
      </c>
      <c r="D375" t="inlineStr">
        <is>
          <t>VÄRMLANDS LÄN</t>
        </is>
      </c>
      <c r="E375" t="inlineStr">
        <is>
          <t>SUNNE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13198-2023</t>
        </is>
      </c>
      <c r="B376" s="1" t="n">
        <v>45002.63953703704</v>
      </c>
      <c r="C376" s="1" t="n">
        <v>45894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27061-2024</t>
        </is>
      </c>
      <c r="B377" s="1" t="n">
        <v>45471</v>
      </c>
      <c r="C377" s="1" t="n">
        <v>45894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44231-2023</t>
        </is>
      </c>
      <c r="B378" s="1" t="n">
        <v>45188</v>
      </c>
      <c r="C378" s="1" t="n">
        <v>45894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16826-2024</t>
        </is>
      </c>
      <c r="B379" s="1" t="n">
        <v>45411.47464120371</v>
      </c>
      <c r="C379" s="1" t="n">
        <v>45894</v>
      </c>
      <c r="D379" t="inlineStr">
        <is>
          <t>VÄRMLANDS LÄN</t>
        </is>
      </c>
      <c r="E379" t="inlineStr">
        <is>
          <t>SUNNE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2691-2022</t>
        </is>
      </c>
      <c r="B380" s="1" t="n">
        <v>44580</v>
      </c>
      <c r="C380" s="1" t="n">
        <v>45894</v>
      </c>
      <c r="D380" t="inlineStr">
        <is>
          <t>VÄRMLANDS LÄN</t>
        </is>
      </c>
      <c r="E380" t="inlineStr">
        <is>
          <t>SUNNE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48265-2022</t>
        </is>
      </c>
      <c r="B381" s="1" t="n">
        <v>44858.48615740741</v>
      </c>
      <c r="C381" s="1" t="n">
        <v>45894</v>
      </c>
      <c r="D381" t="inlineStr">
        <is>
          <t>VÄRMLANDS LÄN</t>
        </is>
      </c>
      <c r="E381" t="inlineStr">
        <is>
          <t>SUNNE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14564-2023</t>
        </is>
      </c>
      <c r="B382" s="1" t="n">
        <v>45013</v>
      </c>
      <c r="C382" s="1" t="n">
        <v>45894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32408-2022</t>
        </is>
      </c>
      <c r="B383" s="1" t="n">
        <v>44782</v>
      </c>
      <c r="C383" s="1" t="n">
        <v>45894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16085-2025</t>
        </is>
      </c>
      <c r="B384" s="1" t="n">
        <v>45749.81053240741</v>
      </c>
      <c r="C384" s="1" t="n">
        <v>45894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7096-2025</t>
        </is>
      </c>
      <c r="B385" s="1" t="n">
        <v>45701</v>
      </c>
      <c r="C385" s="1" t="n">
        <v>45894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6926-2024</t>
        </is>
      </c>
      <c r="B386" s="1" t="n">
        <v>45343</v>
      </c>
      <c r="C386" s="1" t="n">
        <v>45894</v>
      </c>
      <c r="D386" t="inlineStr">
        <is>
          <t>VÄRMLANDS LÄN</t>
        </is>
      </c>
      <c r="E386" t="inlineStr">
        <is>
          <t>SUNNE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53914-2023</t>
        </is>
      </c>
      <c r="B387" s="1" t="n">
        <v>45231.56193287037</v>
      </c>
      <c r="C387" s="1" t="n">
        <v>45894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39164-2024</t>
        </is>
      </c>
      <c r="B388" s="1" t="n">
        <v>45548</v>
      </c>
      <c r="C388" s="1" t="n">
        <v>45894</v>
      </c>
      <c r="D388" t="inlineStr">
        <is>
          <t>VÄRMLANDS LÄN</t>
        </is>
      </c>
      <c r="E388" t="inlineStr">
        <is>
          <t>SUNNE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44284-2023</t>
        </is>
      </c>
      <c r="B389" s="1" t="n">
        <v>45188</v>
      </c>
      <c r="C389" s="1" t="n">
        <v>45894</v>
      </c>
      <c r="D389" t="inlineStr">
        <is>
          <t>VÄRMLANDS LÄN</t>
        </is>
      </c>
      <c r="E389" t="inlineStr">
        <is>
          <t>SUNNE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16007-2025</t>
        </is>
      </c>
      <c r="B390" s="1" t="n">
        <v>45749</v>
      </c>
      <c r="C390" s="1" t="n">
        <v>45894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21138-2023</t>
        </is>
      </c>
      <c r="B391" s="1" t="n">
        <v>45062.36471064815</v>
      </c>
      <c r="C391" s="1" t="n">
        <v>45894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1842-2024</t>
        </is>
      </c>
      <c r="B392" s="1" t="n">
        <v>45307</v>
      </c>
      <c r="C392" s="1" t="n">
        <v>45894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44796-2021</t>
        </is>
      </c>
      <c r="B393" s="1" t="n">
        <v>44438</v>
      </c>
      <c r="C393" s="1" t="n">
        <v>45894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43208-2020</t>
        </is>
      </c>
      <c r="B394" s="1" t="n">
        <v>44078</v>
      </c>
      <c r="C394" s="1" t="n">
        <v>45894</v>
      </c>
      <c r="D394" t="inlineStr">
        <is>
          <t>VÄRMLANDS LÄN</t>
        </is>
      </c>
      <c r="E394" t="inlineStr">
        <is>
          <t>SUNNE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11687-2025</t>
        </is>
      </c>
      <c r="B395" s="1" t="n">
        <v>45726</v>
      </c>
      <c r="C395" s="1" t="n">
        <v>45894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52994-2021</t>
        </is>
      </c>
      <c r="B396" s="1" t="n">
        <v>44467</v>
      </c>
      <c r="C396" s="1" t="n">
        <v>45894</v>
      </c>
      <c r="D396" t="inlineStr">
        <is>
          <t>VÄRMLANDS LÄN</t>
        </is>
      </c>
      <c r="E396" t="inlineStr">
        <is>
          <t>SUNNE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7053-2023</t>
        </is>
      </c>
      <c r="B397" s="1" t="n">
        <v>44969</v>
      </c>
      <c r="C397" s="1" t="n">
        <v>45894</v>
      </c>
      <c r="D397" t="inlineStr">
        <is>
          <t>VÄRMLANDS LÄN</t>
        </is>
      </c>
      <c r="E397" t="inlineStr">
        <is>
          <t>SUNNE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38969-2021</t>
        </is>
      </c>
      <c r="B398" s="1" t="n">
        <v>44411</v>
      </c>
      <c r="C398" s="1" t="n">
        <v>45894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62904-2023</t>
        </is>
      </c>
      <c r="B399" s="1" t="n">
        <v>45272</v>
      </c>
      <c r="C399" s="1" t="n">
        <v>45894</v>
      </c>
      <c r="D399" t="inlineStr">
        <is>
          <t>VÄRMLANDS LÄN</t>
        </is>
      </c>
      <c r="E399" t="inlineStr">
        <is>
          <t>SUNNE</t>
        </is>
      </c>
      <c r="F399" t="inlineStr">
        <is>
          <t>Kommuner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18208-2024</t>
        </is>
      </c>
      <c r="B400" s="1" t="n">
        <v>45420</v>
      </c>
      <c r="C400" s="1" t="n">
        <v>45894</v>
      </c>
      <c r="D400" t="inlineStr">
        <is>
          <t>VÄRMLANDS LÄN</t>
        </is>
      </c>
      <c r="E400" t="inlineStr">
        <is>
          <t>SUNNE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10224-2022</t>
        </is>
      </c>
      <c r="B401" s="1" t="n">
        <v>44622</v>
      </c>
      <c r="C401" s="1" t="n">
        <v>45894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2397-2022</t>
        </is>
      </c>
      <c r="B402" s="1" t="n">
        <v>44579</v>
      </c>
      <c r="C402" s="1" t="n">
        <v>45894</v>
      </c>
      <c r="D402" t="inlineStr">
        <is>
          <t>VÄRMLANDS LÄN</t>
        </is>
      </c>
      <c r="E402" t="inlineStr">
        <is>
          <t>SUNNE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52149-2021</t>
        </is>
      </c>
      <c r="B403" s="1" t="n">
        <v>44463</v>
      </c>
      <c r="C403" s="1" t="n">
        <v>45894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32951-2021</t>
        </is>
      </c>
      <c r="B404" s="1" t="n">
        <v>44369</v>
      </c>
      <c r="C404" s="1" t="n">
        <v>45894</v>
      </c>
      <c r="D404" t="inlineStr">
        <is>
          <t>VÄRMLANDS LÄN</t>
        </is>
      </c>
      <c r="E404" t="inlineStr">
        <is>
          <t>SUNNE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15172-2022</t>
        </is>
      </c>
      <c r="B405" s="1" t="n">
        <v>44658</v>
      </c>
      <c r="C405" s="1" t="n">
        <v>45894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46342-2023</t>
        </is>
      </c>
      <c r="B406" s="1" t="n">
        <v>45194</v>
      </c>
      <c r="C406" s="1" t="n">
        <v>45894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53755-2022</t>
        </is>
      </c>
      <c r="B407" s="1" t="n">
        <v>44880</v>
      </c>
      <c r="C407" s="1" t="n">
        <v>45894</v>
      </c>
      <c r="D407" t="inlineStr">
        <is>
          <t>VÄRMLANDS LÄN</t>
        </is>
      </c>
      <c r="E407" t="inlineStr">
        <is>
          <t>SUNNE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35628-2024</t>
        </is>
      </c>
      <c r="B408" s="1" t="n">
        <v>45531</v>
      </c>
      <c r="C408" s="1" t="n">
        <v>45894</v>
      </c>
      <c r="D408" t="inlineStr">
        <is>
          <t>VÄRMLANDS LÄN</t>
        </is>
      </c>
      <c r="E408" t="inlineStr">
        <is>
          <t>SUNNE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3087-2024</t>
        </is>
      </c>
      <c r="B409" s="1" t="n">
        <v>45316.44212962963</v>
      </c>
      <c r="C409" s="1" t="n">
        <v>45894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946-2025</t>
        </is>
      </c>
      <c r="B410" s="1" t="n">
        <v>45666.34496527778</v>
      </c>
      <c r="C410" s="1" t="n">
        <v>45894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5006-2025</t>
        </is>
      </c>
      <c r="B411" s="1" t="n">
        <v>45691.3705787037</v>
      </c>
      <c r="C411" s="1" t="n">
        <v>45894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39454-2024</t>
        </is>
      </c>
      <c r="B412" s="1" t="n">
        <v>45551</v>
      </c>
      <c r="C412" s="1" t="n">
        <v>45894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1449-2021</t>
        </is>
      </c>
      <c r="B413" s="1" t="n">
        <v>44208</v>
      </c>
      <c r="C413" s="1" t="n">
        <v>45894</v>
      </c>
      <c r="D413" t="inlineStr">
        <is>
          <t>VÄRMLANDS LÄN</t>
        </is>
      </c>
      <c r="E413" t="inlineStr">
        <is>
          <t>SUNNE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48712-2021</t>
        </is>
      </c>
      <c r="B414" s="1" t="n">
        <v>44452</v>
      </c>
      <c r="C414" s="1" t="n">
        <v>45894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36578-2023</t>
        </is>
      </c>
      <c r="B415" s="1" t="n">
        <v>45153</v>
      </c>
      <c r="C415" s="1" t="n">
        <v>45894</v>
      </c>
      <c r="D415" t="inlineStr">
        <is>
          <t>VÄRMLANDS LÄN</t>
        </is>
      </c>
      <c r="E415" t="inlineStr">
        <is>
          <t>SUNNE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51405-2021</t>
        </is>
      </c>
      <c r="B416" s="1" t="n">
        <v>44461</v>
      </c>
      <c r="C416" s="1" t="n">
        <v>45894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38377-2024</t>
        </is>
      </c>
      <c r="B417" s="1" t="n">
        <v>45545</v>
      </c>
      <c r="C417" s="1" t="n">
        <v>45894</v>
      </c>
      <c r="D417" t="inlineStr">
        <is>
          <t>VÄRMLANDS LÄN</t>
        </is>
      </c>
      <c r="E417" t="inlineStr">
        <is>
          <t>SUNNE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20615-2024</t>
        </is>
      </c>
      <c r="B418" s="1" t="n">
        <v>45436.45390046296</v>
      </c>
      <c r="C418" s="1" t="n">
        <v>45894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14042-2025</t>
        </is>
      </c>
      <c r="B419" s="1" t="n">
        <v>45740.36893518519</v>
      </c>
      <c r="C419" s="1" t="n">
        <v>45894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14060-2025</t>
        </is>
      </c>
      <c r="B420" s="1" t="n">
        <v>45740.41108796297</v>
      </c>
      <c r="C420" s="1" t="n">
        <v>45894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32851-2022</t>
        </is>
      </c>
      <c r="B421" s="1" t="n">
        <v>44784.46863425926</v>
      </c>
      <c r="C421" s="1" t="n">
        <v>45894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28499-2023</t>
        </is>
      </c>
      <c r="B422" s="1" t="n">
        <v>45103</v>
      </c>
      <c r="C422" s="1" t="n">
        <v>45894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48861-2024</t>
        </is>
      </c>
      <c r="B423" s="1" t="n">
        <v>45593.92333333333</v>
      </c>
      <c r="C423" s="1" t="n">
        <v>45894</v>
      </c>
      <c r="D423" t="inlineStr">
        <is>
          <t>VÄRMLANDS LÄN</t>
        </is>
      </c>
      <c r="E423" t="inlineStr">
        <is>
          <t>SUNNE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4536-2023</t>
        </is>
      </c>
      <c r="B424" s="1" t="n">
        <v>44956.63180555555</v>
      </c>
      <c r="C424" s="1" t="n">
        <v>45894</v>
      </c>
      <c r="D424" t="inlineStr">
        <is>
          <t>VÄRMLANDS LÄN</t>
        </is>
      </c>
      <c r="E424" t="inlineStr">
        <is>
          <t>SUNNE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21631-2024</t>
        </is>
      </c>
      <c r="B425" s="1" t="n">
        <v>45442.33350694444</v>
      </c>
      <c r="C425" s="1" t="n">
        <v>45894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51698-2024</t>
        </is>
      </c>
      <c r="B426" s="1" t="n">
        <v>45607.35412037037</v>
      </c>
      <c r="C426" s="1" t="n">
        <v>45894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29216-2023</t>
        </is>
      </c>
      <c r="B427" s="1" t="n">
        <v>45105</v>
      </c>
      <c r="C427" s="1" t="n">
        <v>45894</v>
      </c>
      <c r="D427" t="inlineStr">
        <is>
          <t>VÄRMLANDS LÄN</t>
        </is>
      </c>
      <c r="E427" t="inlineStr">
        <is>
          <t>SUNNE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36800-2021</t>
        </is>
      </c>
      <c r="B428" s="1" t="n">
        <v>44392</v>
      </c>
      <c r="C428" s="1" t="n">
        <v>45894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28191-2022</t>
        </is>
      </c>
      <c r="B429" s="1" t="n">
        <v>44746.59061342593</v>
      </c>
      <c r="C429" s="1" t="n">
        <v>45894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14741-2024</t>
        </is>
      </c>
      <c r="B430" s="1" t="n">
        <v>45397</v>
      </c>
      <c r="C430" s="1" t="n">
        <v>45894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38953-2024</t>
        </is>
      </c>
      <c r="B431" s="1" t="n">
        <v>45548</v>
      </c>
      <c r="C431" s="1" t="n">
        <v>45894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261-2023</t>
        </is>
      </c>
      <c r="B432" s="1" t="n">
        <v>44928.77190972222</v>
      </c>
      <c r="C432" s="1" t="n">
        <v>45894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45304-2023</t>
        </is>
      </c>
      <c r="B433" s="1" t="n">
        <v>45191</v>
      </c>
      <c r="C433" s="1" t="n">
        <v>45894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15916-2025</t>
        </is>
      </c>
      <c r="B434" s="1" t="n">
        <v>45749</v>
      </c>
      <c r="C434" s="1" t="n">
        <v>45894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34004-2024</t>
        </is>
      </c>
      <c r="B435" s="1" t="n">
        <v>45523</v>
      </c>
      <c r="C435" s="1" t="n">
        <v>45894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34759-2022</t>
        </is>
      </c>
      <c r="B436" s="1" t="n">
        <v>44795.6680787037</v>
      </c>
      <c r="C436" s="1" t="n">
        <v>45894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57678-2024</t>
        </is>
      </c>
      <c r="B437" s="1" t="n">
        <v>45630</v>
      </c>
      <c r="C437" s="1" t="n">
        <v>45894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35337-2022</t>
        </is>
      </c>
      <c r="B438" s="1" t="n">
        <v>44798</v>
      </c>
      <c r="C438" s="1" t="n">
        <v>45894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18872-2025</t>
        </is>
      </c>
      <c r="B439" s="1" t="n">
        <v>45764</v>
      </c>
      <c r="C439" s="1" t="n">
        <v>45894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64425-2023</t>
        </is>
      </c>
      <c r="B440" s="1" t="n">
        <v>45280.66472222222</v>
      </c>
      <c r="C440" s="1" t="n">
        <v>45894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32011-2022</t>
        </is>
      </c>
      <c r="B441" s="1" t="n">
        <v>44778</v>
      </c>
      <c r="C441" s="1" t="n">
        <v>45894</v>
      </c>
      <c r="D441" t="inlineStr">
        <is>
          <t>VÄRMLANDS LÄN</t>
        </is>
      </c>
      <c r="E441" t="inlineStr">
        <is>
          <t>SUNNE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60996-2024</t>
        </is>
      </c>
      <c r="B442" s="1" t="n">
        <v>45645</v>
      </c>
      <c r="C442" s="1" t="n">
        <v>45894</v>
      </c>
      <c r="D442" t="inlineStr">
        <is>
          <t>VÄRMLANDS LÄN</t>
        </is>
      </c>
      <c r="E442" t="inlineStr">
        <is>
          <t>SUNNE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14378-2022</t>
        </is>
      </c>
      <c r="B443" s="1" t="n">
        <v>44652</v>
      </c>
      <c r="C443" s="1" t="n">
        <v>45894</v>
      </c>
      <c r="D443" t="inlineStr">
        <is>
          <t>VÄRMLANDS LÄN</t>
        </is>
      </c>
      <c r="E443" t="inlineStr">
        <is>
          <t>SUNNE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37084-2021</t>
        </is>
      </c>
      <c r="B444" s="1" t="n">
        <v>44395.55420138889</v>
      </c>
      <c r="C444" s="1" t="n">
        <v>45894</v>
      </c>
      <c r="D444" t="inlineStr">
        <is>
          <t>VÄRMLANDS LÄN</t>
        </is>
      </c>
      <c r="E444" t="inlineStr">
        <is>
          <t>SUNNE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19175-2024</t>
        </is>
      </c>
      <c r="B445" s="1" t="n">
        <v>45428</v>
      </c>
      <c r="C445" s="1" t="n">
        <v>45894</v>
      </c>
      <c r="D445" t="inlineStr">
        <is>
          <t>VÄRMLANDS LÄN</t>
        </is>
      </c>
      <c r="E445" t="inlineStr">
        <is>
          <t>SUNNE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42537-2022</t>
        </is>
      </c>
      <c r="B446" s="1" t="n">
        <v>44831.62577546296</v>
      </c>
      <c r="C446" s="1" t="n">
        <v>45894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42624-2022</t>
        </is>
      </c>
      <c r="B447" s="1" t="n">
        <v>44831.88890046296</v>
      </c>
      <c r="C447" s="1" t="n">
        <v>45894</v>
      </c>
      <c r="D447" t="inlineStr">
        <is>
          <t>VÄRMLANDS LÄN</t>
        </is>
      </c>
      <c r="E447" t="inlineStr">
        <is>
          <t>SUNNE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50353-2023</t>
        </is>
      </c>
      <c r="B448" s="1" t="n">
        <v>45216.58539351852</v>
      </c>
      <c r="C448" s="1" t="n">
        <v>45894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16358-2023</t>
        </is>
      </c>
      <c r="B449" s="1" t="n">
        <v>45028.71484953703</v>
      </c>
      <c r="C449" s="1" t="n">
        <v>45894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3083-2024</t>
        </is>
      </c>
      <c r="B450" s="1" t="n">
        <v>45316.43739583333</v>
      </c>
      <c r="C450" s="1" t="n">
        <v>45894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30853-2024</t>
        </is>
      </c>
      <c r="B451" s="1" t="n">
        <v>45497.63994212963</v>
      </c>
      <c r="C451" s="1" t="n">
        <v>45894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30855-2024</t>
        </is>
      </c>
      <c r="B452" s="1" t="n">
        <v>45497.64699074074</v>
      </c>
      <c r="C452" s="1" t="n">
        <v>45894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34017-2024</t>
        </is>
      </c>
      <c r="B453" s="1" t="n">
        <v>45523</v>
      </c>
      <c r="C453" s="1" t="n">
        <v>45894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20465-2023</t>
        </is>
      </c>
      <c r="B454" s="1" t="n">
        <v>45057.28254629629</v>
      </c>
      <c r="C454" s="1" t="n">
        <v>45894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19183-2024</t>
        </is>
      </c>
      <c r="B455" s="1" t="n">
        <v>45428</v>
      </c>
      <c r="C455" s="1" t="n">
        <v>45894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51046-2024</t>
        </is>
      </c>
      <c r="B456" s="1" t="n">
        <v>45603.44505787037</v>
      </c>
      <c r="C456" s="1" t="n">
        <v>45894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15773-2021</t>
        </is>
      </c>
      <c r="B457" s="1" t="n">
        <v>44286.57388888889</v>
      </c>
      <c r="C457" s="1" t="n">
        <v>45894</v>
      </c>
      <c r="D457" t="inlineStr">
        <is>
          <t>VÄRMLANDS LÄN</t>
        </is>
      </c>
      <c r="E457" t="inlineStr">
        <is>
          <t>SUNNE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73231-2021</t>
        </is>
      </c>
      <c r="B458" s="1" t="n">
        <v>44550.65840277778</v>
      </c>
      <c r="C458" s="1" t="n">
        <v>45894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61403-2023</t>
        </is>
      </c>
      <c r="B459" s="1" t="n">
        <v>45264</v>
      </c>
      <c r="C459" s="1" t="n">
        <v>45894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57666-2024</t>
        </is>
      </c>
      <c r="B460" s="1" t="n">
        <v>45630</v>
      </c>
      <c r="C460" s="1" t="n">
        <v>45894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40740-2024</t>
        </is>
      </c>
      <c r="B461" s="1" t="n">
        <v>45558</v>
      </c>
      <c r="C461" s="1" t="n">
        <v>45894</v>
      </c>
      <c r="D461" t="inlineStr">
        <is>
          <t>VÄRMLANDS LÄN</t>
        </is>
      </c>
      <c r="E461" t="inlineStr">
        <is>
          <t>SUNNE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49543-2024</t>
        </is>
      </c>
      <c r="B462" s="1" t="n">
        <v>45596</v>
      </c>
      <c r="C462" s="1" t="n">
        <v>45894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44904-2021</t>
        </is>
      </c>
      <c r="B463" s="1" t="n">
        <v>44438</v>
      </c>
      <c r="C463" s="1" t="n">
        <v>45894</v>
      </c>
      <c r="D463" t="inlineStr">
        <is>
          <t>VÄRMLANDS LÄN</t>
        </is>
      </c>
      <c r="E463" t="inlineStr">
        <is>
          <t>SUNNE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10562-2022</t>
        </is>
      </c>
      <c r="B464" s="1" t="n">
        <v>44623</v>
      </c>
      <c r="C464" s="1" t="n">
        <v>45894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52800-2024</t>
        </is>
      </c>
      <c r="B465" s="1" t="n">
        <v>45610.56782407407</v>
      </c>
      <c r="C465" s="1" t="n">
        <v>45894</v>
      </c>
      <c r="D465" t="inlineStr">
        <is>
          <t>VÄRMLANDS LÄN</t>
        </is>
      </c>
      <c r="E465" t="inlineStr">
        <is>
          <t>SUNNE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27408-2021</t>
        </is>
      </c>
      <c r="B466" s="1" t="n">
        <v>44351</v>
      </c>
      <c r="C466" s="1" t="n">
        <v>45894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6-2022</t>
        </is>
      </c>
      <c r="B467" s="1" t="n">
        <v>44563.54627314815</v>
      </c>
      <c r="C467" s="1" t="n">
        <v>45894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15973-2025</t>
        </is>
      </c>
      <c r="B468" s="1" t="n">
        <v>45749</v>
      </c>
      <c r="C468" s="1" t="n">
        <v>45894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7413-2021</t>
        </is>
      </c>
      <c r="B469" s="1" t="n">
        <v>44239</v>
      </c>
      <c r="C469" s="1" t="n">
        <v>45894</v>
      </c>
      <c r="D469" t="inlineStr">
        <is>
          <t>VÄRMLANDS LÄN</t>
        </is>
      </c>
      <c r="E469" t="inlineStr">
        <is>
          <t>SUNNE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18220-2023</t>
        </is>
      </c>
      <c r="B470" s="1" t="n">
        <v>45041</v>
      </c>
      <c r="C470" s="1" t="n">
        <v>45894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9703-2023</t>
        </is>
      </c>
      <c r="B471" s="1" t="n">
        <v>44984.47314814815</v>
      </c>
      <c r="C471" s="1" t="n">
        <v>45894</v>
      </c>
      <c r="D471" t="inlineStr">
        <is>
          <t>VÄRMLANDS LÄN</t>
        </is>
      </c>
      <c r="E471" t="inlineStr">
        <is>
          <t>SUNNE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10307-2024</t>
        </is>
      </c>
      <c r="B472" s="1" t="n">
        <v>45365.52074074074</v>
      </c>
      <c r="C472" s="1" t="n">
        <v>45894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11695-2025</t>
        </is>
      </c>
      <c r="B473" s="1" t="n">
        <v>45726</v>
      </c>
      <c r="C473" s="1" t="n">
        <v>45894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42480-2023</t>
        </is>
      </c>
      <c r="B474" s="1" t="n">
        <v>45180.76482638889</v>
      </c>
      <c r="C474" s="1" t="n">
        <v>45894</v>
      </c>
      <c r="D474" t="inlineStr">
        <is>
          <t>VÄRMLANDS LÄN</t>
        </is>
      </c>
      <c r="E474" t="inlineStr">
        <is>
          <t>SUNNE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43067-2023</t>
        </is>
      </c>
      <c r="B475" s="1" t="n">
        <v>45182</v>
      </c>
      <c r="C475" s="1" t="n">
        <v>45894</v>
      </c>
      <c r="D475" t="inlineStr">
        <is>
          <t>VÄRMLANDS LÄN</t>
        </is>
      </c>
      <c r="E475" t="inlineStr">
        <is>
          <t>SUNNE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61645-2024</t>
        </is>
      </c>
      <c r="B476" s="1" t="n">
        <v>45646</v>
      </c>
      <c r="C476" s="1" t="n">
        <v>45894</v>
      </c>
      <c r="D476" t="inlineStr">
        <is>
          <t>VÄRMLANDS LÄN</t>
        </is>
      </c>
      <c r="E476" t="inlineStr">
        <is>
          <t>SUNNE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45992-2023</t>
        </is>
      </c>
      <c r="B477" s="1" t="n">
        <v>45196.32231481482</v>
      </c>
      <c r="C477" s="1" t="n">
        <v>45894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45894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2610-2021</t>
        </is>
      </c>
      <c r="B479" s="1" t="n">
        <v>44215</v>
      </c>
      <c r="C479" s="1" t="n">
        <v>45894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57737-2022</t>
        </is>
      </c>
      <c r="B480" s="1" t="n">
        <v>44897</v>
      </c>
      <c r="C480" s="1" t="n">
        <v>45894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32980-2024</t>
        </is>
      </c>
      <c r="B481" s="1" t="n">
        <v>45517</v>
      </c>
      <c r="C481" s="1" t="n">
        <v>45894</v>
      </c>
      <c r="D481" t="inlineStr">
        <is>
          <t>VÄRMLANDS LÄN</t>
        </is>
      </c>
      <c r="E481" t="inlineStr">
        <is>
          <t>SUNNE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50837-2024</t>
        </is>
      </c>
      <c r="B482" s="1" t="n">
        <v>45602</v>
      </c>
      <c r="C482" s="1" t="n">
        <v>45894</v>
      </c>
      <c r="D482" t="inlineStr">
        <is>
          <t>VÄRMLANDS LÄN</t>
        </is>
      </c>
      <c r="E482" t="inlineStr">
        <is>
          <t>SUNNE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68907-2020</t>
        </is>
      </c>
      <c r="B483" s="1" t="n">
        <v>44187</v>
      </c>
      <c r="C483" s="1" t="n">
        <v>45894</v>
      </c>
      <c r="D483" t="inlineStr">
        <is>
          <t>VÄRMLANDS LÄN</t>
        </is>
      </c>
      <c r="E483" t="inlineStr">
        <is>
          <t>SUNNE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14741-2023</t>
        </is>
      </c>
      <c r="B484" s="1" t="n">
        <v>45014.49001157407</v>
      </c>
      <c r="C484" s="1" t="n">
        <v>45894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23793-2023</t>
        </is>
      </c>
      <c r="B485" s="1" t="n">
        <v>45078</v>
      </c>
      <c r="C485" s="1" t="n">
        <v>45894</v>
      </c>
      <c r="D485" t="inlineStr">
        <is>
          <t>VÄRMLANDS LÄN</t>
        </is>
      </c>
      <c r="E485" t="inlineStr">
        <is>
          <t>SUNNE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52194-2024</t>
        </is>
      </c>
      <c r="B486" s="1" t="n">
        <v>45608</v>
      </c>
      <c r="C486" s="1" t="n">
        <v>45894</v>
      </c>
      <c r="D486" t="inlineStr">
        <is>
          <t>VÄRMLANDS LÄN</t>
        </is>
      </c>
      <c r="E486" t="inlineStr">
        <is>
          <t>SUNNE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48054-2023</t>
        </is>
      </c>
      <c r="B487" s="1" t="n">
        <v>45204</v>
      </c>
      <c r="C487" s="1" t="n">
        <v>45894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48729-2024</t>
        </is>
      </c>
      <c r="B488" s="1" t="n">
        <v>45593</v>
      </c>
      <c r="C488" s="1" t="n">
        <v>45894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2646-2025</t>
        </is>
      </c>
      <c r="B489" s="1" t="n">
        <v>45676</v>
      </c>
      <c r="C489" s="1" t="n">
        <v>45894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31602-2023</t>
        </is>
      </c>
      <c r="B490" s="1" t="n">
        <v>45117</v>
      </c>
      <c r="C490" s="1" t="n">
        <v>45894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34857-2022</t>
        </is>
      </c>
      <c r="B491" s="1" t="n">
        <v>44796</v>
      </c>
      <c r="C491" s="1" t="n">
        <v>45894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39068-2021</t>
        </is>
      </c>
      <c r="B492" s="1" t="n">
        <v>44412</v>
      </c>
      <c r="C492" s="1" t="n">
        <v>45894</v>
      </c>
      <c r="D492" t="inlineStr">
        <is>
          <t>VÄRMLANDS LÄN</t>
        </is>
      </c>
      <c r="E492" t="inlineStr">
        <is>
          <t>SUNNE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14874-2025</t>
        </is>
      </c>
      <c r="B493" s="1" t="n">
        <v>45743.45596064815</v>
      </c>
      <c r="C493" s="1" t="n">
        <v>45894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14884-2025</t>
        </is>
      </c>
      <c r="B494" s="1" t="n">
        <v>45743.46674768518</v>
      </c>
      <c r="C494" s="1" t="n">
        <v>45894</v>
      </c>
      <c r="D494" t="inlineStr">
        <is>
          <t>VÄRMLANDS LÄN</t>
        </is>
      </c>
      <c r="E494" t="inlineStr">
        <is>
          <t>SUNNE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29129-2022</t>
        </is>
      </c>
      <c r="B495" s="1" t="n">
        <v>44750.45641203703</v>
      </c>
      <c r="C495" s="1" t="n">
        <v>45894</v>
      </c>
      <c r="D495" t="inlineStr">
        <is>
          <t>VÄRMLANDS LÄN</t>
        </is>
      </c>
      <c r="E495" t="inlineStr">
        <is>
          <t>SUNNE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36177-2023</t>
        </is>
      </c>
      <c r="B496" s="1" t="n">
        <v>45149</v>
      </c>
      <c r="C496" s="1" t="n">
        <v>45894</v>
      </c>
      <c r="D496" t="inlineStr">
        <is>
          <t>VÄRMLANDS LÄN</t>
        </is>
      </c>
      <c r="E496" t="inlineStr">
        <is>
          <t>SUNNE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65108-2023</t>
        </is>
      </c>
      <c r="B497" s="1" t="n">
        <v>45288.44891203703</v>
      </c>
      <c r="C497" s="1" t="n">
        <v>45894</v>
      </c>
      <c r="D497" t="inlineStr">
        <is>
          <t>VÄRMLANDS LÄN</t>
        </is>
      </c>
      <c r="E497" t="inlineStr">
        <is>
          <t>SUNNE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55495-2024</t>
        </is>
      </c>
      <c r="B498" s="1" t="n">
        <v>45622</v>
      </c>
      <c r="C498" s="1" t="n">
        <v>45894</v>
      </c>
      <c r="D498" t="inlineStr">
        <is>
          <t>VÄRMLANDS LÄN</t>
        </is>
      </c>
      <c r="E498" t="inlineStr">
        <is>
          <t>SUNNE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55504-2024</t>
        </is>
      </c>
      <c r="B499" s="1" t="n">
        <v>45621</v>
      </c>
      <c r="C499" s="1" t="n">
        <v>45894</v>
      </c>
      <c r="D499" t="inlineStr">
        <is>
          <t>VÄRMLANDS LÄN</t>
        </is>
      </c>
      <c r="E499" t="inlineStr">
        <is>
          <t>SUNNE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19737-2022</t>
        </is>
      </c>
      <c r="B500" s="1" t="n">
        <v>44694</v>
      </c>
      <c r="C500" s="1" t="n">
        <v>45894</v>
      </c>
      <c r="D500" t="inlineStr">
        <is>
          <t>VÄRMLANDS LÄN</t>
        </is>
      </c>
      <c r="E500" t="inlineStr">
        <is>
          <t>SUNNE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15255-2022</t>
        </is>
      </c>
      <c r="B501" s="1" t="n">
        <v>44659.33950231481</v>
      </c>
      <c r="C501" s="1" t="n">
        <v>45894</v>
      </c>
      <c r="D501" t="inlineStr">
        <is>
          <t>VÄRMLANDS LÄN</t>
        </is>
      </c>
      <c r="E501" t="inlineStr">
        <is>
          <t>SUNNE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4295-2021</t>
        </is>
      </c>
      <c r="B502" s="1" t="n">
        <v>44222</v>
      </c>
      <c r="C502" s="1" t="n">
        <v>45894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42377-2023</t>
        </is>
      </c>
      <c r="B503" s="1" t="n">
        <v>45180.56244212963</v>
      </c>
      <c r="C503" s="1" t="n">
        <v>45894</v>
      </c>
      <c r="D503" t="inlineStr">
        <is>
          <t>VÄRMLANDS LÄN</t>
        </is>
      </c>
      <c r="E503" t="inlineStr">
        <is>
          <t>SUNNE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27091-2022</t>
        </is>
      </c>
      <c r="B504" s="1" t="n">
        <v>44741.42371527778</v>
      </c>
      <c r="C504" s="1" t="n">
        <v>45894</v>
      </c>
      <c r="D504" t="inlineStr">
        <is>
          <t>VÄRMLANDS LÄN</t>
        </is>
      </c>
      <c r="E504" t="inlineStr">
        <is>
          <t>SUNNE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18407-2025</t>
        </is>
      </c>
      <c r="B505" s="1" t="n">
        <v>45762.61038194445</v>
      </c>
      <c r="C505" s="1" t="n">
        <v>45894</v>
      </c>
      <c r="D505" t="inlineStr">
        <is>
          <t>VÄRMLANDS LÄN</t>
        </is>
      </c>
      <c r="E505" t="inlineStr">
        <is>
          <t>SUNNE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40986-2022</t>
        </is>
      </c>
      <c r="B506" s="1" t="n">
        <v>44823</v>
      </c>
      <c r="C506" s="1" t="n">
        <v>45894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46147-2023</t>
        </is>
      </c>
      <c r="B507" s="1" t="n">
        <v>45196.57422453703</v>
      </c>
      <c r="C507" s="1" t="n">
        <v>45894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7360-2022</t>
        </is>
      </c>
      <c r="B508" s="1" t="n">
        <v>44606</v>
      </c>
      <c r="C508" s="1" t="n">
        <v>45894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7073-2023</t>
        </is>
      </c>
      <c r="B509" s="1" t="n">
        <v>44970</v>
      </c>
      <c r="C509" s="1" t="n">
        <v>45894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43283-2021</t>
        </is>
      </c>
      <c r="B510" s="1" t="n">
        <v>44432.39476851852</v>
      </c>
      <c r="C510" s="1" t="n">
        <v>45894</v>
      </c>
      <c r="D510" t="inlineStr">
        <is>
          <t>VÄRMLANDS LÄN</t>
        </is>
      </c>
      <c r="E510" t="inlineStr">
        <is>
          <t>SUNNE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44421-2023</t>
        </is>
      </c>
      <c r="B511" s="1" t="n">
        <v>45189.32615740741</v>
      </c>
      <c r="C511" s="1" t="n">
        <v>45894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44422-2023</t>
        </is>
      </c>
      <c r="B512" s="1" t="n">
        <v>45189.32945601852</v>
      </c>
      <c r="C512" s="1" t="n">
        <v>45894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28650-2024</t>
        </is>
      </c>
      <c r="B513" s="1" t="n">
        <v>45478</v>
      </c>
      <c r="C513" s="1" t="n">
        <v>45894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15298-2023</t>
        </is>
      </c>
      <c r="B514" s="1" t="n">
        <v>45019.45804398148</v>
      </c>
      <c r="C514" s="1" t="n">
        <v>45894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51842-2023</t>
        </is>
      </c>
      <c r="B515" s="1" t="n">
        <v>45223.31387731482</v>
      </c>
      <c r="C515" s="1" t="n">
        <v>45894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34141-2023</t>
        </is>
      </c>
      <c r="B516" s="1" t="n">
        <v>45136.4377662037</v>
      </c>
      <c r="C516" s="1" t="n">
        <v>45894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13142-2024</t>
        </is>
      </c>
      <c r="B517" s="1" t="n">
        <v>45386.34809027778</v>
      </c>
      <c r="C517" s="1" t="n">
        <v>45894</v>
      </c>
      <c r="D517" t="inlineStr">
        <is>
          <t>VÄRMLANDS LÄN</t>
        </is>
      </c>
      <c r="E517" t="inlineStr">
        <is>
          <t>SUNNE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2653-2021</t>
        </is>
      </c>
      <c r="B518" s="1" t="n">
        <v>44215</v>
      </c>
      <c r="C518" s="1" t="n">
        <v>45894</v>
      </c>
      <c r="D518" t="inlineStr">
        <is>
          <t>VÄRMLANDS LÄN</t>
        </is>
      </c>
      <c r="E518" t="inlineStr">
        <is>
          <t>SUNNE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54339-2022</t>
        </is>
      </c>
      <c r="B519" s="1" t="n">
        <v>44882</v>
      </c>
      <c r="C519" s="1" t="n">
        <v>45894</v>
      </c>
      <c r="D519" t="inlineStr">
        <is>
          <t>VÄRMLANDS LÄN</t>
        </is>
      </c>
      <c r="E519" t="inlineStr">
        <is>
          <t>SUNNE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52462-2020</t>
        </is>
      </c>
      <c r="B520" s="1" t="n">
        <v>44115</v>
      </c>
      <c r="C520" s="1" t="n">
        <v>45894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19144-2025</t>
        </is>
      </c>
      <c r="B521" s="1" t="n">
        <v>45769.33960648148</v>
      </c>
      <c r="C521" s="1" t="n">
        <v>45894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45894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59291-2024</t>
        </is>
      </c>
      <c r="B523" s="1" t="n">
        <v>45636</v>
      </c>
      <c r="C523" s="1" t="n">
        <v>45894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62164-2023</t>
        </is>
      </c>
      <c r="B524" s="1" t="n">
        <v>45267</v>
      </c>
      <c r="C524" s="1" t="n">
        <v>45894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47166-2024</t>
        </is>
      </c>
      <c r="B525" s="1" t="n">
        <v>45586</v>
      </c>
      <c r="C525" s="1" t="n">
        <v>45894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1353-2025</t>
        </is>
      </c>
      <c r="B526" s="1" t="n">
        <v>45667</v>
      </c>
      <c r="C526" s="1" t="n">
        <v>45894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61609-2023</t>
        </is>
      </c>
      <c r="B527" s="1" t="n">
        <v>45265</v>
      </c>
      <c r="C527" s="1" t="n">
        <v>45894</v>
      </c>
      <c r="D527" t="inlineStr">
        <is>
          <t>VÄRMLANDS LÄN</t>
        </is>
      </c>
      <c r="E527" t="inlineStr">
        <is>
          <t>SUNNE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36851-2024</t>
        </is>
      </c>
      <c r="B528" s="1" t="n">
        <v>45538.55824074074</v>
      </c>
      <c r="C528" s="1" t="n">
        <v>45894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39028-2024</t>
        </is>
      </c>
      <c r="B529" s="1" t="n">
        <v>45548.46097222222</v>
      </c>
      <c r="C529" s="1" t="n">
        <v>45894</v>
      </c>
      <c r="D529" t="inlineStr">
        <is>
          <t>VÄRMLANDS LÄN</t>
        </is>
      </c>
      <c r="E529" t="inlineStr">
        <is>
          <t>SUNNE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17094-2025</t>
        </is>
      </c>
      <c r="B530" s="1" t="n">
        <v>45755.65569444445</v>
      </c>
      <c r="C530" s="1" t="n">
        <v>45894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18171-2025</t>
        </is>
      </c>
      <c r="B531" s="1" t="n">
        <v>45761</v>
      </c>
      <c r="C531" s="1" t="n">
        <v>45894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14841-2022</t>
        </is>
      </c>
      <c r="B532" s="1" t="n">
        <v>44656</v>
      </c>
      <c r="C532" s="1" t="n">
        <v>45894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11428-2023</t>
        </is>
      </c>
      <c r="B533" s="1" t="n">
        <v>44993.54789351852</v>
      </c>
      <c r="C533" s="1" t="n">
        <v>45894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19463-2023</t>
        </is>
      </c>
      <c r="B534" s="1" t="n">
        <v>45050</v>
      </c>
      <c r="C534" s="1" t="n">
        <v>45894</v>
      </c>
      <c r="D534" t="inlineStr">
        <is>
          <t>VÄRMLANDS LÄN</t>
        </is>
      </c>
      <c r="E534" t="inlineStr">
        <is>
          <t>SUNNE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7982-2024</t>
        </is>
      </c>
      <c r="B535" s="1" t="n">
        <v>45350</v>
      </c>
      <c r="C535" s="1" t="n">
        <v>45894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48814-2023</t>
        </is>
      </c>
      <c r="B536" s="1" t="n">
        <v>45209.33628472222</v>
      </c>
      <c r="C536" s="1" t="n">
        <v>45894</v>
      </c>
      <c r="D536" t="inlineStr">
        <is>
          <t>VÄRMLANDS LÄN</t>
        </is>
      </c>
      <c r="E536" t="inlineStr">
        <is>
          <t>SUNNE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1014-2023</t>
        </is>
      </c>
      <c r="B537" s="1" t="n">
        <v>44935.45408564815</v>
      </c>
      <c r="C537" s="1" t="n">
        <v>45894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62965-2021</t>
        </is>
      </c>
      <c r="B538" s="1" t="n">
        <v>44505</v>
      </c>
      <c r="C538" s="1" t="n">
        <v>45894</v>
      </c>
      <c r="D538" t="inlineStr">
        <is>
          <t>VÄRMLANDS LÄN</t>
        </is>
      </c>
      <c r="E538" t="inlineStr">
        <is>
          <t>SUNNE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19024-2025</t>
        </is>
      </c>
      <c r="B539" s="1" t="n">
        <v>45764.62608796296</v>
      </c>
      <c r="C539" s="1" t="n">
        <v>45894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27442-2022</t>
        </is>
      </c>
      <c r="B540" s="1" t="n">
        <v>44742</v>
      </c>
      <c r="C540" s="1" t="n">
        <v>45894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1125-2025</t>
        </is>
      </c>
      <c r="B541" s="1" t="n">
        <v>45666.67696759259</v>
      </c>
      <c r="C541" s="1" t="n">
        <v>45894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8390-2025</t>
        </is>
      </c>
      <c r="B542" s="1" t="n">
        <v>45709.365</v>
      </c>
      <c r="C542" s="1" t="n">
        <v>45894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51454-2024</t>
        </is>
      </c>
      <c r="B543" s="1" t="n">
        <v>45604</v>
      </c>
      <c r="C543" s="1" t="n">
        <v>45894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14571-2025</t>
        </is>
      </c>
      <c r="B544" s="1" t="n">
        <v>45741.88616898148</v>
      </c>
      <c r="C544" s="1" t="n">
        <v>45894</v>
      </c>
      <c r="D544" t="inlineStr">
        <is>
          <t>VÄRMLANDS LÄN</t>
        </is>
      </c>
      <c r="E544" t="inlineStr">
        <is>
          <t>SUNNE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16518-2023</t>
        </is>
      </c>
      <c r="B545" s="1" t="n">
        <v>45029.66005787037</v>
      </c>
      <c r="C545" s="1" t="n">
        <v>45894</v>
      </c>
      <c r="D545" t="inlineStr">
        <is>
          <t>VÄRMLANDS LÄN</t>
        </is>
      </c>
      <c r="E545" t="inlineStr">
        <is>
          <t>SUNNE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59261-2024</t>
        </is>
      </c>
      <c r="B546" s="1" t="n">
        <v>45636</v>
      </c>
      <c r="C546" s="1" t="n">
        <v>45894</v>
      </c>
      <c r="D546" t="inlineStr">
        <is>
          <t>VÄRMLANDS LÄN</t>
        </is>
      </c>
      <c r="E546" t="inlineStr">
        <is>
          <t>SUNNE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31896-2022</t>
        </is>
      </c>
      <c r="B547" s="1" t="n">
        <v>44777.48900462963</v>
      </c>
      <c r="C547" s="1" t="n">
        <v>45894</v>
      </c>
      <c r="D547" t="inlineStr">
        <is>
          <t>VÄRMLANDS LÄN</t>
        </is>
      </c>
      <c r="E547" t="inlineStr">
        <is>
          <t>SUNNE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53428-2024</t>
        </is>
      </c>
      <c r="B548" s="1" t="n">
        <v>45614.51670138889</v>
      </c>
      <c r="C548" s="1" t="n">
        <v>45894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55390-2024</t>
        </is>
      </c>
      <c r="B549" s="1" t="n">
        <v>45622.3377662037</v>
      </c>
      <c r="C549" s="1" t="n">
        <v>45894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8714-2025</t>
        </is>
      </c>
      <c r="B550" s="1" t="n">
        <v>45712</v>
      </c>
      <c r="C550" s="1" t="n">
        <v>45894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46876-2024</t>
        </is>
      </c>
      <c r="B551" s="1" t="n">
        <v>45583</v>
      </c>
      <c r="C551" s="1" t="n">
        <v>45894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46880-2024</t>
        </is>
      </c>
      <c r="B552" s="1" t="n">
        <v>45583.64625</v>
      </c>
      <c r="C552" s="1" t="n">
        <v>45894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16086-2025</t>
        </is>
      </c>
      <c r="B553" s="1" t="n">
        <v>45749.81476851852</v>
      </c>
      <c r="C553" s="1" t="n">
        <v>45894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20978-2023</t>
        </is>
      </c>
      <c r="B554" s="1" t="n">
        <v>45061</v>
      </c>
      <c r="C554" s="1" t="n">
        <v>45894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54865-2021</t>
        </is>
      </c>
      <c r="B555" s="1" t="n">
        <v>44474</v>
      </c>
      <c r="C555" s="1" t="n">
        <v>45894</v>
      </c>
      <c r="D555" t="inlineStr">
        <is>
          <t>VÄRMLANDS LÄN</t>
        </is>
      </c>
      <c r="E555" t="inlineStr">
        <is>
          <t>SUNNE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33505-2023</t>
        </is>
      </c>
      <c r="B556" s="1" t="n">
        <v>45118</v>
      </c>
      <c r="C556" s="1" t="n">
        <v>45894</v>
      </c>
      <c r="D556" t="inlineStr">
        <is>
          <t>VÄRMLANDS LÄN</t>
        </is>
      </c>
      <c r="E556" t="inlineStr">
        <is>
          <t>SUNNE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59143-2024</t>
        </is>
      </c>
      <c r="B557" s="1" t="n">
        <v>45637</v>
      </c>
      <c r="C557" s="1" t="n">
        <v>45894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24331-2024</t>
        </is>
      </c>
      <c r="B558" s="1" t="n">
        <v>45457.54918981482</v>
      </c>
      <c r="C558" s="1" t="n">
        <v>45894</v>
      </c>
      <c r="D558" t="inlineStr">
        <is>
          <t>VÄRMLANDS LÄN</t>
        </is>
      </c>
      <c r="E558" t="inlineStr">
        <is>
          <t>SUNNE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7054-2023</t>
        </is>
      </c>
      <c r="B559" s="1" t="n">
        <v>44969</v>
      </c>
      <c r="C559" s="1" t="n">
        <v>45894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7055-2023</t>
        </is>
      </c>
      <c r="B560" s="1" t="n">
        <v>44969</v>
      </c>
      <c r="C560" s="1" t="n">
        <v>45894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18736-2024</t>
        </is>
      </c>
      <c r="B561" s="1" t="n">
        <v>45426.49442129629</v>
      </c>
      <c r="C561" s="1" t="n">
        <v>45894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13610-2025</t>
        </is>
      </c>
      <c r="B562" s="1" t="n">
        <v>45736.62030092593</v>
      </c>
      <c r="C562" s="1" t="n">
        <v>45894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9133-2023</t>
        </is>
      </c>
      <c r="B563" s="1" t="n">
        <v>44980.3475</v>
      </c>
      <c r="C563" s="1" t="n">
        <v>45894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74268-2021</t>
        </is>
      </c>
      <c r="B564" s="1" t="n">
        <v>44558</v>
      </c>
      <c r="C564" s="1" t="n">
        <v>45894</v>
      </c>
      <c r="D564" t="inlineStr">
        <is>
          <t>VÄRMLANDS LÄN</t>
        </is>
      </c>
      <c r="E564" t="inlineStr">
        <is>
          <t>SUNNE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11732-2022</t>
        </is>
      </c>
      <c r="B565" s="1" t="n">
        <v>44634.48912037037</v>
      </c>
      <c r="C565" s="1" t="n">
        <v>45894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47097-2024</t>
        </is>
      </c>
      <c r="B566" s="1" t="n">
        <v>45586</v>
      </c>
      <c r="C566" s="1" t="n">
        <v>45894</v>
      </c>
      <c r="D566" t="inlineStr">
        <is>
          <t>VÄRMLANDS LÄN</t>
        </is>
      </c>
      <c r="E566" t="inlineStr">
        <is>
          <t>SUNNE</t>
        </is>
      </c>
      <c r="F566" t="inlineStr">
        <is>
          <t>Kommuner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60182-2022</t>
        </is>
      </c>
      <c r="B567" s="1" t="n">
        <v>44910</v>
      </c>
      <c r="C567" s="1" t="n">
        <v>45894</v>
      </c>
      <c r="D567" t="inlineStr">
        <is>
          <t>VÄRMLANDS LÄN</t>
        </is>
      </c>
      <c r="E567" t="inlineStr">
        <is>
          <t>SUNNE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19016-2025</t>
        </is>
      </c>
      <c r="B568" s="1" t="n">
        <v>45764</v>
      </c>
      <c r="C568" s="1" t="n">
        <v>45894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18392-2023</t>
        </is>
      </c>
      <c r="B569" s="1" t="n">
        <v>45042.35525462963</v>
      </c>
      <c r="C569" s="1" t="n">
        <v>45894</v>
      </c>
      <c r="D569" t="inlineStr">
        <is>
          <t>VÄRMLANDS LÄN</t>
        </is>
      </c>
      <c r="E569" t="inlineStr">
        <is>
          <t>SUNNE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57898-2023</t>
        </is>
      </c>
      <c r="B570" s="1" t="n">
        <v>45247</v>
      </c>
      <c r="C570" s="1" t="n">
        <v>45894</v>
      </c>
      <c r="D570" t="inlineStr">
        <is>
          <t>VÄRMLANDS LÄN</t>
        </is>
      </c>
      <c r="E570" t="inlineStr">
        <is>
          <t>SUNNE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41954-2023</t>
        </is>
      </c>
      <c r="B571" s="1" t="n">
        <v>45177.34802083333</v>
      </c>
      <c r="C571" s="1" t="n">
        <v>45894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50748-2024</t>
        </is>
      </c>
      <c r="B572" s="1" t="n">
        <v>45602.42335648148</v>
      </c>
      <c r="C572" s="1" t="n">
        <v>45894</v>
      </c>
      <c r="D572" t="inlineStr">
        <is>
          <t>VÄRMLANDS LÄN</t>
        </is>
      </c>
      <c r="E572" t="inlineStr">
        <is>
          <t>SUNNE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18179-2023</t>
        </is>
      </c>
      <c r="B573" s="1" t="n">
        <v>45041.34971064814</v>
      </c>
      <c r="C573" s="1" t="n">
        <v>45894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7056-2023</t>
        </is>
      </c>
      <c r="B574" s="1" t="n">
        <v>44969</v>
      </c>
      <c r="C574" s="1" t="n">
        <v>45894</v>
      </c>
      <c r="D574" t="inlineStr">
        <is>
          <t>VÄRMLANDS LÄN</t>
        </is>
      </c>
      <c r="E574" t="inlineStr">
        <is>
          <t>SUNNE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17358-2023</t>
        </is>
      </c>
      <c r="B575" s="1" t="n">
        <v>45035.59483796296</v>
      </c>
      <c r="C575" s="1" t="n">
        <v>45894</v>
      </c>
      <c r="D575" t="inlineStr">
        <is>
          <t>VÄRMLANDS LÄN</t>
        </is>
      </c>
      <c r="E575" t="inlineStr">
        <is>
          <t>SUNNE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52226-2024</t>
        </is>
      </c>
      <c r="B576" s="1" t="n">
        <v>45607</v>
      </c>
      <c r="C576" s="1" t="n">
        <v>45894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43083-2022</t>
        </is>
      </c>
      <c r="B577" s="1" t="n">
        <v>44833</v>
      </c>
      <c r="C577" s="1" t="n">
        <v>45894</v>
      </c>
      <c r="D577" t="inlineStr">
        <is>
          <t>VÄRMLANDS LÄN</t>
        </is>
      </c>
      <c r="E577" t="inlineStr">
        <is>
          <t>SUNNE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4030-2025</t>
        </is>
      </c>
      <c r="B578" s="1" t="n">
        <v>45684.59744212963</v>
      </c>
      <c r="C578" s="1" t="n">
        <v>45894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12237-2023</t>
        </is>
      </c>
      <c r="B579" s="1" t="n">
        <v>44998</v>
      </c>
      <c r="C579" s="1" t="n">
        <v>45894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20504-2025</t>
        </is>
      </c>
      <c r="B580" s="1" t="n">
        <v>45775.58866898148</v>
      </c>
      <c r="C580" s="1" t="n">
        <v>45894</v>
      </c>
      <c r="D580" t="inlineStr">
        <is>
          <t>VÄRMLANDS LÄN</t>
        </is>
      </c>
      <c r="E580" t="inlineStr">
        <is>
          <t>SUNNE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46804-2024</t>
        </is>
      </c>
      <c r="B581" s="1" t="n">
        <v>45583</v>
      </c>
      <c r="C581" s="1" t="n">
        <v>45894</v>
      </c>
      <c r="D581" t="inlineStr">
        <is>
          <t>VÄRMLANDS LÄN</t>
        </is>
      </c>
      <c r="E581" t="inlineStr">
        <is>
          <t>SUNNE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65169-2020</t>
        </is>
      </c>
      <c r="B582" s="1" t="n">
        <v>44172</v>
      </c>
      <c r="C582" s="1" t="n">
        <v>45894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60541-2023</t>
        </is>
      </c>
      <c r="B583" s="1" t="n">
        <v>45259</v>
      </c>
      <c r="C583" s="1" t="n">
        <v>45894</v>
      </c>
      <c r="D583" t="inlineStr">
        <is>
          <t>VÄRMLANDS LÄN</t>
        </is>
      </c>
      <c r="E583" t="inlineStr">
        <is>
          <t>SUNNE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68000-2021</t>
        </is>
      </c>
      <c r="B584" s="1" t="n">
        <v>44525.76622685185</v>
      </c>
      <c r="C584" s="1" t="n">
        <v>45894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10481-2025</t>
        </is>
      </c>
      <c r="B585" s="1" t="n">
        <v>45721.32848379629</v>
      </c>
      <c r="C585" s="1" t="n">
        <v>45894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15912-2025</t>
        </is>
      </c>
      <c r="B586" s="1" t="n">
        <v>45749.44224537037</v>
      </c>
      <c r="C586" s="1" t="n">
        <v>45894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45473-2023</t>
        </is>
      </c>
      <c r="B587" s="1" t="n">
        <v>45188</v>
      </c>
      <c r="C587" s="1" t="n">
        <v>45894</v>
      </c>
      <c r="D587" t="inlineStr">
        <is>
          <t>VÄRMLANDS LÄN</t>
        </is>
      </c>
      <c r="E587" t="inlineStr">
        <is>
          <t>SUNNE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47278-2024</t>
        </is>
      </c>
      <c r="B588" s="1" t="n">
        <v>45586</v>
      </c>
      <c r="C588" s="1" t="n">
        <v>45894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20622-2025</t>
        </is>
      </c>
      <c r="B589" s="1" t="n">
        <v>45776.32325231482</v>
      </c>
      <c r="C589" s="1" t="n">
        <v>45894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60633-2024</t>
        </is>
      </c>
      <c r="B590" s="1" t="n">
        <v>45644</v>
      </c>
      <c r="C590" s="1" t="n">
        <v>45894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19022-2025</t>
        </is>
      </c>
      <c r="B591" s="1" t="n">
        <v>45764.61819444445</v>
      </c>
      <c r="C591" s="1" t="n">
        <v>45894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62510-2020</t>
        </is>
      </c>
      <c r="B592" s="1" t="n">
        <v>44160.68030092592</v>
      </c>
      <c r="C592" s="1" t="n">
        <v>45894</v>
      </c>
      <c r="D592" t="inlineStr">
        <is>
          <t>VÄRMLANDS LÄN</t>
        </is>
      </c>
      <c r="E592" t="inlineStr">
        <is>
          <t>SUNNE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15716-2024</t>
        </is>
      </c>
      <c r="B593" s="1" t="n">
        <v>45404.48984953704</v>
      </c>
      <c r="C593" s="1" t="n">
        <v>45894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20605-2025</t>
        </is>
      </c>
      <c r="B594" s="1" t="n">
        <v>45775.84560185186</v>
      </c>
      <c r="C594" s="1" t="n">
        <v>45894</v>
      </c>
      <c r="D594" t="inlineStr">
        <is>
          <t>VÄRMLANDS LÄN</t>
        </is>
      </c>
      <c r="E594" t="inlineStr">
        <is>
          <t>SUNNE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47092-2024</t>
        </is>
      </c>
      <c r="B595" s="1" t="n">
        <v>45586.51635416667</v>
      </c>
      <c r="C595" s="1" t="n">
        <v>45894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42213-2021</t>
        </is>
      </c>
      <c r="B596" s="1" t="n">
        <v>44426</v>
      </c>
      <c r="C596" s="1" t="n">
        <v>45894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34288-2022</t>
        </is>
      </c>
      <c r="B597" s="1" t="n">
        <v>44792</v>
      </c>
      <c r="C597" s="1" t="n">
        <v>45894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67818-2021</t>
        </is>
      </c>
      <c r="B598" s="1" t="n">
        <v>44525.44768518519</v>
      </c>
      <c r="C598" s="1" t="n">
        <v>45894</v>
      </c>
      <c r="D598" t="inlineStr">
        <is>
          <t>VÄRMLANDS LÄN</t>
        </is>
      </c>
      <c r="E598" t="inlineStr">
        <is>
          <t>SUNNE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13880-2025</t>
        </is>
      </c>
      <c r="B599" s="1" t="n">
        <v>45737.59572916666</v>
      </c>
      <c r="C599" s="1" t="n">
        <v>45894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10261-2025</t>
        </is>
      </c>
      <c r="B600" s="1" t="n">
        <v>45720</v>
      </c>
      <c r="C600" s="1" t="n">
        <v>45894</v>
      </c>
      <c r="D600" t="inlineStr">
        <is>
          <t>VÄRMLANDS LÄN</t>
        </is>
      </c>
      <c r="E600" t="inlineStr">
        <is>
          <t>SUNNE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21463-2025</t>
        </is>
      </c>
      <c r="B601" s="1" t="n">
        <v>45782.57163194445</v>
      </c>
      <c r="C601" s="1" t="n">
        <v>45894</v>
      </c>
      <c r="D601" t="inlineStr">
        <is>
          <t>VÄRMLANDS LÄN</t>
        </is>
      </c>
      <c r="E601" t="inlineStr">
        <is>
          <t>SUNNE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50841-2024</t>
        </is>
      </c>
      <c r="B602" s="1" t="n">
        <v>45602</v>
      </c>
      <c r="C602" s="1" t="n">
        <v>45894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31038-2023</t>
        </is>
      </c>
      <c r="B603" s="1" t="n">
        <v>45113.5912962963</v>
      </c>
      <c r="C603" s="1" t="n">
        <v>45894</v>
      </c>
      <c r="D603" t="inlineStr">
        <is>
          <t>VÄRMLANDS LÄN</t>
        </is>
      </c>
      <c r="E603" t="inlineStr">
        <is>
          <t>SUNNE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21806-2025</t>
        </is>
      </c>
      <c r="B604" s="1" t="n">
        <v>45783.70770833334</v>
      </c>
      <c r="C604" s="1" t="n">
        <v>45894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13275-2025</t>
        </is>
      </c>
      <c r="B605" s="1" t="n">
        <v>45735.5514699074</v>
      </c>
      <c r="C605" s="1" t="n">
        <v>45894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42792-2024</t>
        </is>
      </c>
      <c r="B606" s="1" t="n">
        <v>45566.54875</v>
      </c>
      <c r="C606" s="1" t="n">
        <v>45894</v>
      </c>
      <c r="D606" t="inlineStr">
        <is>
          <t>VÄRMLANDS LÄN</t>
        </is>
      </c>
      <c r="E606" t="inlineStr">
        <is>
          <t>SUNNE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25217-2023</t>
        </is>
      </c>
      <c r="B607" s="1" t="n">
        <v>45086.60429398148</v>
      </c>
      <c r="C607" s="1" t="n">
        <v>45894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18444-2025</t>
        </is>
      </c>
      <c r="B608" s="1" t="n">
        <v>45762.65708333333</v>
      </c>
      <c r="C608" s="1" t="n">
        <v>45894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32774-2024</t>
        </is>
      </c>
      <c r="B609" s="1" t="n">
        <v>45516.49930555555</v>
      </c>
      <c r="C609" s="1" t="n">
        <v>45894</v>
      </c>
      <c r="D609" t="inlineStr">
        <is>
          <t>VÄRMLANDS LÄN</t>
        </is>
      </c>
      <c r="E609" t="inlineStr">
        <is>
          <t>SUNNE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58623-2022</t>
        </is>
      </c>
      <c r="B610" s="1" t="n">
        <v>44902.60162037037</v>
      </c>
      <c r="C610" s="1" t="n">
        <v>45894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21312-2025</t>
        </is>
      </c>
      <c r="B611" s="1" t="n">
        <v>45781.94320601852</v>
      </c>
      <c r="C611" s="1" t="n">
        <v>45894</v>
      </c>
      <c r="D611" t="inlineStr">
        <is>
          <t>VÄRMLANDS LÄN</t>
        </is>
      </c>
      <c r="E611" t="inlineStr">
        <is>
          <t>SUNNE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73209-2021</t>
        </is>
      </c>
      <c r="B612" s="1" t="n">
        <v>44550</v>
      </c>
      <c r="C612" s="1" t="n">
        <v>45894</v>
      </c>
      <c r="D612" t="inlineStr">
        <is>
          <t>VÄRMLANDS LÄN</t>
        </is>
      </c>
      <c r="E612" t="inlineStr">
        <is>
          <t>SUNNE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8285-2023</t>
        </is>
      </c>
      <c r="B613" s="1" t="n">
        <v>44974.64738425926</v>
      </c>
      <c r="C613" s="1" t="n">
        <v>45894</v>
      </c>
      <c r="D613" t="inlineStr">
        <is>
          <t>VÄRMLANDS LÄN</t>
        </is>
      </c>
      <c r="E613" t="inlineStr">
        <is>
          <t>SUNNE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36310-2022</t>
        </is>
      </c>
      <c r="B614" s="1" t="n">
        <v>44803</v>
      </c>
      <c r="C614" s="1" t="n">
        <v>45894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21810-2025</t>
        </is>
      </c>
      <c r="B615" s="1" t="n">
        <v>45783.71237268519</v>
      </c>
      <c r="C615" s="1" t="n">
        <v>45894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46792-2024</t>
        </is>
      </c>
      <c r="B616" s="1" t="n">
        <v>45583</v>
      </c>
      <c r="C616" s="1" t="n">
        <v>45894</v>
      </c>
      <c r="D616" t="inlineStr">
        <is>
          <t>VÄRMLANDS LÄN</t>
        </is>
      </c>
      <c r="E616" t="inlineStr">
        <is>
          <t>SUNNE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17043-2025</t>
        </is>
      </c>
      <c r="B617" s="1" t="n">
        <v>45755.58814814815</v>
      </c>
      <c r="C617" s="1" t="n">
        <v>45894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21400-2025</t>
        </is>
      </c>
      <c r="B618" s="1" t="n">
        <v>45782.48548611111</v>
      </c>
      <c r="C618" s="1" t="n">
        <v>45894</v>
      </c>
      <c r="D618" t="inlineStr">
        <is>
          <t>VÄRMLANDS LÄN</t>
        </is>
      </c>
      <c r="E618" t="inlineStr">
        <is>
          <t>SUNNE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21495-2025</t>
        </is>
      </c>
      <c r="B619" s="1" t="n">
        <v>45782.59835648148</v>
      </c>
      <c r="C619" s="1" t="n">
        <v>45894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38753-2022</t>
        </is>
      </c>
      <c r="B620" s="1" t="n">
        <v>44816.36002314815</v>
      </c>
      <c r="C620" s="1" t="n">
        <v>45894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43088-2023</t>
        </is>
      </c>
      <c r="B621" s="1" t="n">
        <v>45182</v>
      </c>
      <c r="C621" s="1" t="n">
        <v>45894</v>
      </c>
      <c r="D621" t="inlineStr">
        <is>
          <t>VÄRMLANDS LÄN</t>
        </is>
      </c>
      <c r="E621" t="inlineStr">
        <is>
          <t>SUNNE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12097-2023</t>
        </is>
      </c>
      <c r="B622" s="1" t="n">
        <v>44995</v>
      </c>
      <c r="C622" s="1" t="n">
        <v>45894</v>
      </c>
      <c r="D622" t="inlineStr">
        <is>
          <t>VÄRMLANDS LÄN</t>
        </is>
      </c>
      <c r="E622" t="inlineStr">
        <is>
          <t>SUNNE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49030-2022</t>
        </is>
      </c>
      <c r="B623" s="1" t="n">
        <v>44860</v>
      </c>
      <c r="C623" s="1" t="n">
        <v>45894</v>
      </c>
      <c r="D623" t="inlineStr">
        <is>
          <t>VÄRMLANDS LÄN</t>
        </is>
      </c>
      <c r="E623" t="inlineStr">
        <is>
          <t>SUNNE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29940-2024</t>
        </is>
      </c>
      <c r="B624" s="1" t="n">
        <v>45488</v>
      </c>
      <c r="C624" s="1" t="n">
        <v>45894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18019-2025</t>
        </is>
      </c>
      <c r="B625" s="1" t="n">
        <v>45761.44282407407</v>
      </c>
      <c r="C625" s="1" t="n">
        <v>45894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41569-2022</t>
        </is>
      </c>
      <c r="B626" s="1" t="n">
        <v>44827.41791666667</v>
      </c>
      <c r="C626" s="1" t="n">
        <v>45894</v>
      </c>
      <c r="D626" t="inlineStr">
        <is>
          <t>VÄRMLANDS LÄN</t>
        </is>
      </c>
      <c r="E626" t="inlineStr">
        <is>
          <t>SUNNE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14743-2025</t>
        </is>
      </c>
      <c r="B627" s="1" t="n">
        <v>45742</v>
      </c>
      <c r="C627" s="1" t="n">
        <v>45894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23061-2024</t>
        </is>
      </c>
      <c r="B628" s="1" t="n">
        <v>45449</v>
      </c>
      <c r="C628" s="1" t="n">
        <v>45894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60217-2022</t>
        </is>
      </c>
      <c r="B629" s="1" t="n">
        <v>44903</v>
      </c>
      <c r="C629" s="1" t="n">
        <v>45894</v>
      </c>
      <c r="D629" t="inlineStr">
        <is>
          <t>VÄRMLANDS LÄN</t>
        </is>
      </c>
      <c r="E629" t="inlineStr">
        <is>
          <t>SUNNE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74230-2021</t>
        </is>
      </c>
      <c r="B630" s="1" t="n">
        <v>44558</v>
      </c>
      <c r="C630" s="1" t="n">
        <v>45894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36233-2024</t>
        </is>
      </c>
      <c r="B631" s="1" t="n">
        <v>45534</v>
      </c>
      <c r="C631" s="1" t="n">
        <v>45894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22124-2025</t>
        </is>
      </c>
      <c r="B632" s="1" t="n">
        <v>45785.52300925926</v>
      </c>
      <c r="C632" s="1" t="n">
        <v>45894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16492-2023</t>
        </is>
      </c>
      <c r="B633" s="1" t="n">
        <v>45029</v>
      </c>
      <c r="C633" s="1" t="n">
        <v>45894</v>
      </c>
      <c r="D633" t="inlineStr">
        <is>
          <t>VÄRMLANDS LÄN</t>
        </is>
      </c>
      <c r="E633" t="inlineStr">
        <is>
          <t>SUNNE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18358-2025</t>
        </is>
      </c>
      <c r="B634" s="1" t="n">
        <v>45762</v>
      </c>
      <c r="C634" s="1" t="n">
        <v>45894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34047-2024</t>
        </is>
      </c>
      <c r="B635" s="1" t="n">
        <v>45523.60590277778</v>
      </c>
      <c r="C635" s="1" t="n">
        <v>45894</v>
      </c>
      <c r="D635" t="inlineStr">
        <is>
          <t>VÄRMLANDS LÄN</t>
        </is>
      </c>
      <c r="E635" t="inlineStr">
        <is>
          <t>SUNNE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32405-2022</t>
        </is>
      </c>
      <c r="B636" s="1" t="n">
        <v>44782</v>
      </c>
      <c r="C636" s="1" t="n">
        <v>45894</v>
      </c>
      <c r="D636" t="inlineStr">
        <is>
          <t>VÄRMLANDS LÄN</t>
        </is>
      </c>
      <c r="E636" t="inlineStr">
        <is>
          <t>SUNNE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22125-2025</t>
        </is>
      </c>
      <c r="B637" s="1" t="n">
        <v>45785.52416666667</v>
      </c>
      <c r="C637" s="1" t="n">
        <v>45894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18115-2022</t>
        </is>
      </c>
      <c r="B638" s="1" t="n">
        <v>44684.5047337963</v>
      </c>
      <c r="C638" s="1" t="n">
        <v>45894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55628-2024</t>
        </is>
      </c>
      <c r="B639" s="1" t="n">
        <v>45622.60204861111</v>
      </c>
      <c r="C639" s="1" t="n">
        <v>45894</v>
      </c>
      <c r="D639" t="inlineStr">
        <is>
          <t>VÄRMLANDS LÄN</t>
        </is>
      </c>
      <c r="E639" t="inlineStr">
        <is>
          <t>SUNNE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56727-2024</t>
        </is>
      </c>
      <c r="B640" s="1" t="n">
        <v>45628.35303240741</v>
      </c>
      <c r="C640" s="1" t="n">
        <v>45894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11709-2025</t>
        </is>
      </c>
      <c r="B641" s="1" t="n">
        <v>45727.58711805556</v>
      </c>
      <c r="C641" s="1" t="n">
        <v>45894</v>
      </c>
      <c r="D641" t="inlineStr">
        <is>
          <t>VÄRMLANDS LÄN</t>
        </is>
      </c>
      <c r="E641" t="inlineStr">
        <is>
          <t>SUNNE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19409-2025</t>
        </is>
      </c>
      <c r="B642" s="1" t="n">
        <v>45769</v>
      </c>
      <c r="C642" s="1" t="n">
        <v>45894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6328-2023</t>
        </is>
      </c>
      <c r="B643" s="1" t="n">
        <v>44965</v>
      </c>
      <c r="C643" s="1" t="n">
        <v>45894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21237-2024</t>
        </is>
      </c>
      <c r="B644" s="1" t="n">
        <v>45440</v>
      </c>
      <c r="C644" s="1" t="n">
        <v>45894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53486-2020</t>
        </is>
      </c>
      <c r="B645" s="1" t="n">
        <v>44123</v>
      </c>
      <c r="C645" s="1" t="n">
        <v>45894</v>
      </c>
      <c r="D645" t="inlineStr">
        <is>
          <t>VÄRMLANDS LÄN</t>
        </is>
      </c>
      <c r="E645" t="inlineStr">
        <is>
          <t>SUNNE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14360-2025</t>
        </is>
      </c>
      <c r="B646" s="1" t="n">
        <v>45741</v>
      </c>
      <c r="C646" s="1" t="n">
        <v>45894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43305-2022</t>
        </is>
      </c>
      <c r="B647" s="1" t="n">
        <v>44834.54809027778</v>
      </c>
      <c r="C647" s="1" t="n">
        <v>45894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11229-2024</t>
        </is>
      </c>
      <c r="B648" s="1" t="n">
        <v>45371.60325231482</v>
      </c>
      <c r="C648" s="1" t="n">
        <v>45894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22544-2025</t>
        </is>
      </c>
      <c r="B649" s="1" t="n">
        <v>45788.44922453703</v>
      </c>
      <c r="C649" s="1" t="n">
        <v>45894</v>
      </c>
      <c r="D649" t="inlineStr">
        <is>
          <t>VÄRMLANDS LÄN</t>
        </is>
      </c>
      <c r="E649" t="inlineStr">
        <is>
          <t>SUNNE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32390-2024</t>
        </is>
      </c>
      <c r="B650" s="1" t="n">
        <v>45512</v>
      </c>
      <c r="C650" s="1" t="n">
        <v>45894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16816-2024</t>
        </is>
      </c>
      <c r="B651" s="1" t="n">
        <v>45411</v>
      </c>
      <c r="C651" s="1" t="n">
        <v>45894</v>
      </c>
      <c r="D651" t="inlineStr">
        <is>
          <t>VÄRMLANDS LÄN</t>
        </is>
      </c>
      <c r="E651" t="inlineStr">
        <is>
          <t>SUNNE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73730-2021</t>
        </is>
      </c>
      <c r="B652" s="1" t="n">
        <v>44552.55450231482</v>
      </c>
      <c r="C652" s="1" t="n">
        <v>45894</v>
      </c>
      <c r="D652" t="inlineStr">
        <is>
          <t>VÄRMLANDS LÄN</t>
        </is>
      </c>
      <c r="E652" t="inlineStr">
        <is>
          <t>SUNNE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53925-2024</t>
        </is>
      </c>
      <c r="B653" s="1" t="n">
        <v>45615</v>
      </c>
      <c r="C653" s="1" t="n">
        <v>45894</v>
      </c>
      <c r="D653" t="inlineStr">
        <is>
          <t>VÄRMLANDS LÄN</t>
        </is>
      </c>
      <c r="E653" t="inlineStr">
        <is>
          <t>SUNNE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4492-2023</t>
        </is>
      </c>
      <c r="B654" s="1" t="n">
        <v>44956</v>
      </c>
      <c r="C654" s="1" t="n">
        <v>45894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52677-2021</t>
        </is>
      </c>
      <c r="B655" s="1" t="n">
        <v>44466.72121527778</v>
      </c>
      <c r="C655" s="1" t="n">
        <v>45894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4998-2025</t>
        </is>
      </c>
      <c r="B656" s="1" t="n">
        <v>45691.36129629629</v>
      </c>
      <c r="C656" s="1" t="n">
        <v>45894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5012-2025</t>
        </is>
      </c>
      <c r="B657" s="1" t="n">
        <v>45691.38291666667</v>
      </c>
      <c r="C657" s="1" t="n">
        <v>45894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20345-2025</t>
        </is>
      </c>
      <c r="B658" s="1" t="n">
        <v>45775.37788194444</v>
      </c>
      <c r="C658" s="1" t="n">
        <v>45894</v>
      </c>
      <c r="D658" t="inlineStr">
        <is>
          <t>VÄRMLANDS LÄN</t>
        </is>
      </c>
      <c r="E658" t="inlineStr">
        <is>
          <t>SUNNE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21208-2024</t>
        </is>
      </c>
      <c r="B659" s="1" t="n">
        <v>45440</v>
      </c>
      <c r="C659" s="1" t="n">
        <v>45894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15908-2025</t>
        </is>
      </c>
      <c r="B660" s="1" t="n">
        <v>45749.43902777778</v>
      </c>
      <c r="C660" s="1" t="n">
        <v>45894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21251-2024</t>
        </is>
      </c>
      <c r="B661" s="1" t="n">
        <v>45440</v>
      </c>
      <c r="C661" s="1" t="n">
        <v>45894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15120-2022</t>
        </is>
      </c>
      <c r="B662" s="1" t="n">
        <v>44658</v>
      </c>
      <c r="C662" s="1" t="n">
        <v>45894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23943-2021</t>
        </is>
      </c>
      <c r="B663" s="1" t="n">
        <v>44335</v>
      </c>
      <c r="C663" s="1" t="n">
        <v>45894</v>
      </c>
      <c r="D663" t="inlineStr">
        <is>
          <t>VÄRMLANDS LÄN</t>
        </is>
      </c>
      <c r="E663" t="inlineStr">
        <is>
          <t>SUNNE</t>
        </is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43089-2022</t>
        </is>
      </c>
      <c r="B664" s="1" t="n">
        <v>44833</v>
      </c>
      <c r="C664" s="1" t="n">
        <v>45894</v>
      </c>
      <c r="D664" t="inlineStr">
        <is>
          <t>VÄRMLANDS LÄN</t>
        </is>
      </c>
      <c r="E664" t="inlineStr">
        <is>
          <t>SUNNE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39175-2022</t>
        </is>
      </c>
      <c r="B665" s="1" t="n">
        <v>44817.50111111111</v>
      </c>
      <c r="C665" s="1" t="n">
        <v>45894</v>
      </c>
      <c r="D665" t="inlineStr">
        <is>
          <t>VÄRMLANDS LÄN</t>
        </is>
      </c>
      <c r="E665" t="inlineStr">
        <is>
          <t>SUNNE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50695-2024</t>
        </is>
      </c>
      <c r="B666" s="1" t="n">
        <v>45602.34934027777</v>
      </c>
      <c r="C666" s="1" t="n">
        <v>45894</v>
      </c>
      <c r="D666" t="inlineStr">
        <is>
          <t>VÄRMLANDS LÄN</t>
        </is>
      </c>
      <c r="E666" t="inlineStr">
        <is>
          <t>SUNNE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16864-2025</t>
        </is>
      </c>
      <c r="B667" s="1" t="n">
        <v>45754.83358796296</v>
      </c>
      <c r="C667" s="1" t="n">
        <v>45894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41407-2024</t>
        </is>
      </c>
      <c r="B668" s="1" t="n">
        <v>45560</v>
      </c>
      <c r="C668" s="1" t="n">
        <v>45894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5787-2025</t>
        </is>
      </c>
      <c r="B669" s="1" t="n">
        <v>45694</v>
      </c>
      <c r="C669" s="1" t="n">
        <v>45894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20269-2025</t>
        </is>
      </c>
      <c r="B670" s="1" t="n">
        <v>45773.68157407407</v>
      </c>
      <c r="C670" s="1" t="n">
        <v>45894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20285-2025</t>
        </is>
      </c>
      <c r="B671" s="1" t="n">
        <v>45774.57085648148</v>
      </c>
      <c r="C671" s="1" t="n">
        <v>45894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34265-2023</t>
        </is>
      </c>
      <c r="B672" s="1" t="n">
        <v>45138.60681712963</v>
      </c>
      <c r="C672" s="1" t="n">
        <v>45894</v>
      </c>
      <c r="D672" t="inlineStr">
        <is>
          <t>VÄRMLANDS LÄN</t>
        </is>
      </c>
      <c r="E672" t="inlineStr">
        <is>
          <t>SUNNE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37603-2021</t>
        </is>
      </c>
      <c r="B673" s="1" t="n">
        <v>44399</v>
      </c>
      <c r="C673" s="1" t="n">
        <v>45894</v>
      </c>
      <c r="D673" t="inlineStr">
        <is>
          <t>VÄRMLANDS LÄN</t>
        </is>
      </c>
      <c r="E673" t="inlineStr">
        <is>
          <t>SUNNE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43472-2021</t>
        </is>
      </c>
      <c r="B674" s="1" t="n">
        <v>44432.76667824074</v>
      </c>
      <c r="C674" s="1" t="n">
        <v>45894</v>
      </c>
      <c r="D674" t="inlineStr">
        <is>
          <t>VÄRMLANDS LÄN</t>
        </is>
      </c>
      <c r="E674" t="inlineStr">
        <is>
          <t>SUNNE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56744-2024</t>
        </is>
      </c>
      <c r="B675" s="1" t="n">
        <v>45628.37136574074</v>
      </c>
      <c r="C675" s="1" t="n">
        <v>45894</v>
      </c>
      <c r="D675" t="inlineStr">
        <is>
          <t>VÄRMLANDS LÄN</t>
        </is>
      </c>
      <c r="E675" t="inlineStr">
        <is>
          <t>SUNNE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73247-2021</t>
        </is>
      </c>
      <c r="B676" s="1" t="n">
        <v>44550</v>
      </c>
      <c r="C676" s="1" t="n">
        <v>45894</v>
      </c>
      <c r="D676" t="inlineStr">
        <is>
          <t>VÄRMLANDS LÄN</t>
        </is>
      </c>
      <c r="E676" t="inlineStr">
        <is>
          <t>SUNNE</t>
        </is>
      </c>
      <c r="G676" t="n">
        <v>24.7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19739-2022</t>
        </is>
      </c>
      <c r="B677" s="1" t="n">
        <v>44694</v>
      </c>
      <c r="C677" s="1" t="n">
        <v>45894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44815-2024</t>
        </is>
      </c>
      <c r="B678" s="1" t="n">
        <v>45574.65931712963</v>
      </c>
      <c r="C678" s="1" t="n">
        <v>45894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33582-2024</t>
        </is>
      </c>
      <c r="B679" s="1" t="n">
        <v>45520.3394675926</v>
      </c>
      <c r="C679" s="1" t="n">
        <v>45894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5347-2022</t>
        </is>
      </c>
      <c r="B680" s="1" t="n">
        <v>44594.75155092592</v>
      </c>
      <c r="C680" s="1" t="n">
        <v>45894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63518-2023</t>
        </is>
      </c>
      <c r="B681" s="1" t="n">
        <v>45274</v>
      </c>
      <c r="C681" s="1" t="n">
        <v>45894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22626-2025</t>
        </is>
      </c>
      <c r="B682" s="1" t="n">
        <v>45789.43600694444</v>
      </c>
      <c r="C682" s="1" t="n">
        <v>45894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60539-2023</t>
        </is>
      </c>
      <c r="B683" s="1" t="n">
        <v>45259</v>
      </c>
      <c r="C683" s="1" t="n">
        <v>45894</v>
      </c>
      <c r="D683" t="inlineStr">
        <is>
          <t>VÄRMLANDS LÄN</t>
        </is>
      </c>
      <c r="E683" t="inlineStr">
        <is>
          <t>SUNNE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23167-2023</t>
        </is>
      </c>
      <c r="B684" s="1" t="n">
        <v>45075</v>
      </c>
      <c r="C684" s="1" t="n">
        <v>45894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41915-2021</t>
        </is>
      </c>
      <c r="B685" s="1" t="n">
        <v>44426</v>
      </c>
      <c r="C685" s="1" t="n">
        <v>45894</v>
      </c>
      <c r="D685" t="inlineStr">
        <is>
          <t>VÄRMLANDS LÄN</t>
        </is>
      </c>
      <c r="E685" t="inlineStr">
        <is>
          <t>SUNNE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23230-2025</t>
        </is>
      </c>
      <c r="B686" s="1" t="n">
        <v>45791.48964120371</v>
      </c>
      <c r="C686" s="1" t="n">
        <v>45894</v>
      </c>
      <c r="D686" t="inlineStr">
        <is>
          <t>VÄRMLANDS LÄN</t>
        </is>
      </c>
      <c r="E686" t="inlineStr">
        <is>
          <t>SUNNE</t>
        </is>
      </c>
      <c r="F686" t="inlineStr">
        <is>
          <t>Kyrkan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29588-2022</t>
        </is>
      </c>
      <c r="B687" s="1" t="n">
        <v>44754</v>
      </c>
      <c r="C687" s="1" t="n">
        <v>45894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14078-2025</t>
        </is>
      </c>
      <c r="B688" s="1" t="n">
        <v>45740.43538194444</v>
      </c>
      <c r="C688" s="1" t="n">
        <v>45894</v>
      </c>
      <c r="D688" t="inlineStr">
        <is>
          <t>VÄRMLANDS LÄN</t>
        </is>
      </c>
      <c r="E688" t="inlineStr">
        <is>
          <t>SUNNE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5361-2022</t>
        </is>
      </c>
      <c r="B689" s="1" t="n">
        <v>44594</v>
      </c>
      <c r="C689" s="1" t="n">
        <v>45894</v>
      </c>
      <c r="D689" t="inlineStr">
        <is>
          <t>VÄRMLANDS LÄN</t>
        </is>
      </c>
      <c r="E689" t="inlineStr">
        <is>
          <t>SUNNE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43868-2023</t>
        </is>
      </c>
      <c r="B690" s="1" t="n">
        <v>45187</v>
      </c>
      <c r="C690" s="1" t="n">
        <v>45894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19487-2024</t>
        </is>
      </c>
      <c r="B691" s="1" t="n">
        <v>45429</v>
      </c>
      <c r="C691" s="1" t="n">
        <v>45894</v>
      </c>
      <c r="D691" t="inlineStr">
        <is>
          <t>VÄRMLANDS LÄN</t>
        </is>
      </c>
      <c r="E691" t="inlineStr">
        <is>
          <t>SUNNE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10615-2025</t>
        </is>
      </c>
      <c r="B692" s="1" t="n">
        <v>45721.61363425926</v>
      </c>
      <c r="C692" s="1" t="n">
        <v>45894</v>
      </c>
      <c r="D692" t="inlineStr">
        <is>
          <t>VÄRMLANDS LÄN</t>
        </is>
      </c>
      <c r="E692" t="inlineStr">
        <is>
          <t>SUNNE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34059-2023</t>
        </is>
      </c>
      <c r="B693" s="1" t="n">
        <v>45125</v>
      </c>
      <c r="C693" s="1" t="n">
        <v>45894</v>
      </c>
      <c r="D693" t="inlineStr">
        <is>
          <t>VÄRMLANDS LÄN</t>
        </is>
      </c>
      <c r="E693" t="inlineStr">
        <is>
          <t>SUNNE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29746-2023</t>
        </is>
      </c>
      <c r="B694" s="1" t="n">
        <v>45107</v>
      </c>
      <c r="C694" s="1" t="n">
        <v>45894</v>
      </c>
      <c r="D694" t="inlineStr">
        <is>
          <t>VÄRMLANDS LÄN</t>
        </is>
      </c>
      <c r="E694" t="inlineStr">
        <is>
          <t>SUNNE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14740-2023</t>
        </is>
      </c>
      <c r="B695" s="1" t="n">
        <v>45014.48680555556</v>
      </c>
      <c r="C695" s="1" t="n">
        <v>45894</v>
      </c>
      <c r="D695" t="inlineStr">
        <is>
          <t>VÄRMLANDS LÄN</t>
        </is>
      </c>
      <c r="E695" t="inlineStr">
        <is>
          <t>SUNNE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43483-2024</t>
        </is>
      </c>
      <c r="B696" s="1" t="n">
        <v>45568.80241898148</v>
      </c>
      <c r="C696" s="1" t="n">
        <v>45894</v>
      </c>
      <c r="D696" t="inlineStr">
        <is>
          <t>VÄRMLANDS LÄN</t>
        </is>
      </c>
      <c r="E696" t="inlineStr">
        <is>
          <t>SUNNE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23460-2023</t>
        </is>
      </c>
      <c r="B697" s="1" t="n">
        <v>45076</v>
      </c>
      <c r="C697" s="1" t="n">
        <v>45894</v>
      </c>
      <c r="D697" t="inlineStr">
        <is>
          <t>VÄRMLANDS LÄN</t>
        </is>
      </c>
      <c r="E697" t="inlineStr">
        <is>
          <t>SUNNE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14045-2025</t>
        </is>
      </c>
      <c r="B698" s="1" t="n">
        <v>45738</v>
      </c>
      <c r="C698" s="1" t="n">
        <v>45894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14099-2025</t>
        </is>
      </c>
      <c r="B699" s="1" t="n">
        <v>45740.45099537037</v>
      </c>
      <c r="C699" s="1" t="n">
        <v>45894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7057-2023</t>
        </is>
      </c>
      <c r="B700" s="1" t="n">
        <v>44969</v>
      </c>
      <c r="C700" s="1" t="n">
        <v>45894</v>
      </c>
      <c r="D700" t="inlineStr">
        <is>
          <t>VÄRMLANDS LÄN</t>
        </is>
      </c>
      <c r="E700" t="inlineStr">
        <is>
          <t>SUNNE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68460-2020</t>
        </is>
      </c>
      <c r="B701" s="1" t="n">
        <v>44186</v>
      </c>
      <c r="C701" s="1" t="n">
        <v>45894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10675-2025</t>
        </is>
      </c>
      <c r="B702" s="1" t="n">
        <v>45721.86783564815</v>
      </c>
      <c r="C702" s="1" t="n">
        <v>45894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48945-2021</t>
        </is>
      </c>
      <c r="B703" s="1" t="n">
        <v>44453</v>
      </c>
      <c r="C703" s="1" t="n">
        <v>45894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28107-2024</t>
        </is>
      </c>
      <c r="B704" s="1" t="n">
        <v>45476.63179398148</v>
      </c>
      <c r="C704" s="1" t="n">
        <v>45894</v>
      </c>
      <c r="D704" t="inlineStr">
        <is>
          <t>VÄRMLANDS LÄN</t>
        </is>
      </c>
      <c r="E704" t="inlineStr">
        <is>
          <t>SUNNE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19011-2023</t>
        </is>
      </c>
      <c r="B705" s="1" t="n">
        <v>45045</v>
      </c>
      <c r="C705" s="1" t="n">
        <v>45894</v>
      </c>
      <c r="D705" t="inlineStr">
        <is>
          <t>VÄRMLANDS LÄN</t>
        </is>
      </c>
      <c r="E705" t="inlineStr">
        <is>
          <t>SUNNE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52311-2024</t>
        </is>
      </c>
      <c r="B706" s="1" t="n">
        <v>45608.83903935185</v>
      </c>
      <c r="C706" s="1" t="n">
        <v>45894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28488-2021</t>
        </is>
      </c>
      <c r="B707" s="1" t="n">
        <v>44356</v>
      </c>
      <c r="C707" s="1" t="n">
        <v>45894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3335-2024</t>
        </is>
      </c>
      <c r="B708" s="1" t="n">
        <v>45317.57331018519</v>
      </c>
      <c r="C708" s="1" t="n">
        <v>45894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28396-2022</t>
        </is>
      </c>
      <c r="B709" s="1" t="n">
        <v>44747.57859953704</v>
      </c>
      <c r="C709" s="1" t="n">
        <v>45894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51281-2024</t>
        </is>
      </c>
      <c r="B710" s="1" t="n">
        <v>45603.76157407407</v>
      </c>
      <c r="C710" s="1" t="n">
        <v>45894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23177-2025</t>
        </is>
      </c>
      <c r="B711" s="1" t="n">
        <v>45791.43581018518</v>
      </c>
      <c r="C711" s="1" t="n">
        <v>45894</v>
      </c>
      <c r="D711" t="inlineStr">
        <is>
          <t>VÄRMLANDS LÄN</t>
        </is>
      </c>
      <c r="E711" t="inlineStr">
        <is>
          <t>SUNNE</t>
        </is>
      </c>
      <c r="F711" t="inlineStr">
        <is>
          <t>Kyrkan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9807-2025</t>
        </is>
      </c>
      <c r="B712" s="1" t="n">
        <v>45715</v>
      </c>
      <c r="C712" s="1" t="n">
        <v>45894</v>
      </c>
      <c r="D712" t="inlineStr">
        <is>
          <t>VÄRMLANDS LÄN</t>
        </is>
      </c>
      <c r="E712" t="inlineStr">
        <is>
          <t>SUNNE</t>
        </is>
      </c>
      <c r="G712" t="n">
        <v>13.4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32134-2023</t>
        </is>
      </c>
      <c r="B713" s="1" t="n">
        <v>45119.65582175926</v>
      </c>
      <c r="C713" s="1" t="n">
        <v>45894</v>
      </c>
      <c r="D713" t="inlineStr">
        <is>
          <t>VÄRMLANDS LÄN</t>
        </is>
      </c>
      <c r="E713" t="inlineStr">
        <is>
          <t>SUNNE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45853-2020</t>
        </is>
      </c>
      <c r="B714" s="1" t="n">
        <v>44091</v>
      </c>
      <c r="C714" s="1" t="n">
        <v>45894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64582-2023</t>
        </is>
      </c>
      <c r="B715" s="1" t="n">
        <v>45281</v>
      </c>
      <c r="C715" s="1" t="n">
        <v>45894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5012-2023</t>
        </is>
      </c>
      <c r="B716" s="1" t="n">
        <v>44953</v>
      </c>
      <c r="C716" s="1" t="n">
        <v>45894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24066-2021</t>
        </is>
      </c>
      <c r="B717" s="1" t="n">
        <v>44336</v>
      </c>
      <c r="C717" s="1" t="n">
        <v>45894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23715-2025</t>
        </is>
      </c>
      <c r="B718" s="1" t="n">
        <v>45793.38957175926</v>
      </c>
      <c r="C718" s="1" t="n">
        <v>45894</v>
      </c>
      <c r="D718" t="inlineStr">
        <is>
          <t>VÄRMLANDS LÄN</t>
        </is>
      </c>
      <c r="E718" t="inlineStr">
        <is>
          <t>SUNNE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23697-2025</t>
        </is>
      </c>
      <c r="B719" s="1" t="n">
        <v>45793.35398148148</v>
      </c>
      <c r="C719" s="1" t="n">
        <v>45894</v>
      </c>
      <c r="D719" t="inlineStr">
        <is>
          <t>VÄRMLANDS LÄN</t>
        </is>
      </c>
      <c r="E719" t="inlineStr">
        <is>
          <t>SUNNE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23702-2025</t>
        </is>
      </c>
      <c r="B720" s="1" t="n">
        <v>45793.36170138889</v>
      </c>
      <c r="C720" s="1" t="n">
        <v>45894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23707-2025</t>
        </is>
      </c>
      <c r="B721" s="1" t="n">
        <v>45793.37181712963</v>
      </c>
      <c r="C721" s="1" t="n">
        <v>45894</v>
      </c>
      <c r="D721" t="inlineStr">
        <is>
          <t>VÄRMLANDS LÄN</t>
        </is>
      </c>
      <c r="E721" t="inlineStr">
        <is>
          <t>SUNNE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23720-2025</t>
        </is>
      </c>
      <c r="B722" s="1" t="n">
        <v>45793.40462962963</v>
      </c>
      <c r="C722" s="1" t="n">
        <v>45894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25211-2024</t>
        </is>
      </c>
      <c r="B723" s="1" t="n">
        <v>45462</v>
      </c>
      <c r="C723" s="1" t="n">
        <v>45894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23718-2025</t>
        </is>
      </c>
      <c r="B724" s="1" t="n">
        <v>45793.39702546296</v>
      </c>
      <c r="C724" s="1" t="n">
        <v>45894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23721-2025</t>
        </is>
      </c>
      <c r="B725" s="1" t="n">
        <v>45793.40519675926</v>
      </c>
      <c r="C725" s="1" t="n">
        <v>45894</v>
      </c>
      <c r="D725" t="inlineStr">
        <is>
          <t>VÄRMLANDS LÄN</t>
        </is>
      </c>
      <c r="E725" t="inlineStr">
        <is>
          <t>SUNNE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10231-2023</t>
        </is>
      </c>
      <c r="B726" s="1" t="n">
        <v>44980</v>
      </c>
      <c r="C726" s="1" t="n">
        <v>45894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57392-2023</t>
        </is>
      </c>
      <c r="B727" s="1" t="n">
        <v>45245.95524305556</v>
      </c>
      <c r="C727" s="1" t="n">
        <v>45894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24953-2024</t>
        </is>
      </c>
      <c r="B728" s="1" t="n">
        <v>45461</v>
      </c>
      <c r="C728" s="1" t="n">
        <v>45894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56215-2023</t>
        </is>
      </c>
      <c r="B729" s="1" t="n">
        <v>45240.72761574074</v>
      </c>
      <c r="C729" s="1" t="n">
        <v>45894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513-2023</t>
        </is>
      </c>
      <c r="B730" s="1" t="n">
        <v>44930</v>
      </c>
      <c r="C730" s="1" t="n">
        <v>45894</v>
      </c>
      <c r="D730" t="inlineStr">
        <is>
          <t>VÄRMLANDS LÄN</t>
        </is>
      </c>
      <c r="E730" t="inlineStr">
        <is>
          <t>SUNNE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52411-2024</t>
        </is>
      </c>
      <c r="B731" s="1" t="n">
        <v>45608</v>
      </c>
      <c r="C731" s="1" t="n">
        <v>45894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57721-2023</t>
        </is>
      </c>
      <c r="B732" s="1" t="n">
        <v>45243</v>
      </c>
      <c r="C732" s="1" t="n">
        <v>45894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57728-2023</t>
        </is>
      </c>
      <c r="B733" s="1" t="n">
        <v>45243</v>
      </c>
      <c r="C733" s="1" t="n">
        <v>45894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37334-2024</t>
        </is>
      </c>
      <c r="B734" s="1" t="n">
        <v>45540.52130787037</v>
      </c>
      <c r="C734" s="1" t="n">
        <v>45894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64539-2023</t>
        </is>
      </c>
      <c r="B735" s="1" t="n">
        <v>45281</v>
      </c>
      <c r="C735" s="1" t="n">
        <v>45894</v>
      </c>
      <c r="D735" t="inlineStr">
        <is>
          <t>VÄRMLANDS LÄN</t>
        </is>
      </c>
      <c r="E735" t="inlineStr">
        <is>
          <t>SUNNE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816-2024</t>
        </is>
      </c>
      <c r="B736" s="1" t="n">
        <v>45300</v>
      </c>
      <c r="C736" s="1" t="n">
        <v>45894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34062-2023</t>
        </is>
      </c>
      <c r="B737" s="1" t="n">
        <v>45125</v>
      </c>
      <c r="C737" s="1" t="n">
        <v>45894</v>
      </c>
      <c r="D737" t="inlineStr">
        <is>
          <t>VÄRMLANDS LÄN</t>
        </is>
      </c>
      <c r="E737" t="inlineStr">
        <is>
          <t>SUNNE</t>
        </is>
      </c>
      <c r="G737" t="n">
        <v>20.1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38703-2021</t>
        </is>
      </c>
      <c r="B738" s="1" t="n">
        <v>44410</v>
      </c>
      <c r="C738" s="1" t="n">
        <v>45894</v>
      </c>
      <c r="D738" t="inlineStr">
        <is>
          <t>VÄRMLANDS LÄN</t>
        </is>
      </c>
      <c r="E738" t="inlineStr">
        <is>
          <t>SUNNE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24279-2025</t>
        </is>
      </c>
      <c r="B739" s="1" t="n">
        <v>45796</v>
      </c>
      <c r="C739" s="1" t="n">
        <v>45894</v>
      </c>
      <c r="D739" t="inlineStr">
        <is>
          <t>VÄRMLANDS LÄN</t>
        </is>
      </c>
      <c r="E739" t="inlineStr">
        <is>
          <t>SUNNE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7496-2024</t>
        </is>
      </c>
      <c r="B740" s="1" t="n">
        <v>45346.83141203703</v>
      </c>
      <c r="C740" s="1" t="n">
        <v>45894</v>
      </c>
      <c r="D740" t="inlineStr">
        <is>
          <t>VÄRMLANDS LÄN</t>
        </is>
      </c>
      <c r="E740" t="inlineStr">
        <is>
          <t>SUNNE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11427-2022</t>
        </is>
      </c>
      <c r="B741" s="1" t="n">
        <v>44630</v>
      </c>
      <c r="C741" s="1" t="n">
        <v>45894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42805-2020</t>
        </is>
      </c>
      <c r="B742" s="1" t="n">
        <v>44078</v>
      </c>
      <c r="C742" s="1" t="n">
        <v>45894</v>
      </c>
      <c r="D742" t="inlineStr">
        <is>
          <t>VÄRMLANDS LÄN</t>
        </is>
      </c>
      <c r="E742" t="inlineStr">
        <is>
          <t>SUNNE</t>
        </is>
      </c>
      <c r="F742" t="inlineStr">
        <is>
          <t>Övriga Aktiebolag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22260-2023</t>
        </is>
      </c>
      <c r="B743" s="1" t="n">
        <v>45070</v>
      </c>
      <c r="C743" s="1" t="n">
        <v>45894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36738-2021</t>
        </is>
      </c>
      <c r="B744" s="1" t="n">
        <v>44392.60987268519</v>
      </c>
      <c r="C744" s="1" t="n">
        <v>45894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42474-2023</t>
        </is>
      </c>
      <c r="B745" s="1" t="n">
        <v>45180.69912037037</v>
      </c>
      <c r="C745" s="1" t="n">
        <v>45894</v>
      </c>
      <c r="D745" t="inlineStr">
        <is>
          <t>VÄRMLANDS LÄN</t>
        </is>
      </c>
      <c r="E745" t="inlineStr">
        <is>
          <t>SUNNE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42477-2023</t>
        </is>
      </c>
      <c r="B746" s="1" t="n">
        <v>45180</v>
      </c>
      <c r="C746" s="1" t="n">
        <v>45894</v>
      </c>
      <c r="D746" t="inlineStr">
        <is>
          <t>VÄRMLANDS LÄN</t>
        </is>
      </c>
      <c r="E746" t="inlineStr">
        <is>
          <t>SUNNE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2385-2024</t>
        </is>
      </c>
      <c r="B747" s="1" t="n">
        <v>45310.65686342592</v>
      </c>
      <c r="C747" s="1" t="n">
        <v>45894</v>
      </c>
      <c r="D747" t="inlineStr">
        <is>
          <t>VÄRMLANDS LÄN</t>
        </is>
      </c>
      <c r="E747" t="inlineStr">
        <is>
          <t>SUNNE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16896-2024</t>
        </is>
      </c>
      <c r="B748" s="1" t="n">
        <v>45411.62149305556</v>
      </c>
      <c r="C748" s="1" t="n">
        <v>45894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35611-2023</t>
        </is>
      </c>
      <c r="B749" s="1" t="n">
        <v>45147</v>
      </c>
      <c r="C749" s="1" t="n">
        <v>45894</v>
      </c>
      <c r="D749" t="inlineStr">
        <is>
          <t>VÄRMLANDS LÄN</t>
        </is>
      </c>
      <c r="E749" t="inlineStr">
        <is>
          <t>SUNNE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32405-2023</t>
        </is>
      </c>
      <c r="B750" s="1" t="n">
        <v>45110</v>
      </c>
      <c r="C750" s="1" t="n">
        <v>45894</v>
      </c>
      <c r="D750" t="inlineStr">
        <is>
          <t>VÄRMLANDS LÄN</t>
        </is>
      </c>
      <c r="E750" t="inlineStr">
        <is>
          <t>SUNNE</t>
        </is>
      </c>
      <c r="F750" t="inlineStr">
        <is>
          <t>Övriga statliga verk och myndigheter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33459-2024</t>
        </is>
      </c>
      <c r="B751" s="1" t="n">
        <v>45519.58299768518</v>
      </c>
      <c r="C751" s="1" t="n">
        <v>45894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24092-2025</t>
        </is>
      </c>
      <c r="B752" s="1" t="n">
        <v>45796.57221064815</v>
      </c>
      <c r="C752" s="1" t="n">
        <v>45894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39128-2023</t>
        </is>
      </c>
      <c r="B753" s="1" t="n">
        <v>45165.73158564815</v>
      </c>
      <c r="C753" s="1" t="n">
        <v>45894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56238-2023</t>
        </is>
      </c>
      <c r="B754" s="1" t="n">
        <v>45240.92606481481</v>
      </c>
      <c r="C754" s="1" t="n">
        <v>45894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11152-2025</t>
        </is>
      </c>
      <c r="B755" s="1" t="n">
        <v>45723.69585648148</v>
      </c>
      <c r="C755" s="1" t="n">
        <v>45894</v>
      </c>
      <c r="D755" t="inlineStr">
        <is>
          <t>VÄRMLANDS LÄN</t>
        </is>
      </c>
      <c r="E755" t="inlineStr">
        <is>
          <t>SUNNE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24289-2025</t>
        </is>
      </c>
      <c r="B756" s="1" t="n">
        <v>45797</v>
      </c>
      <c r="C756" s="1" t="n">
        <v>45894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44539.52929398148</v>
      </c>
      <c r="C757" s="1" t="n">
        <v>45894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46058-2023</t>
        </is>
      </c>
      <c r="B758" s="1" t="n">
        <v>45196.45377314815</v>
      </c>
      <c r="C758" s="1" t="n">
        <v>45894</v>
      </c>
      <c r="D758" t="inlineStr">
        <is>
          <t>VÄRMLANDS LÄN</t>
        </is>
      </c>
      <c r="E758" t="inlineStr">
        <is>
          <t>SUNNE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57667-2022</t>
        </is>
      </c>
      <c r="B759" s="1" t="n">
        <v>44897</v>
      </c>
      <c r="C759" s="1" t="n">
        <v>45894</v>
      </c>
      <c r="D759" t="inlineStr">
        <is>
          <t>VÄRMLANDS LÄN</t>
        </is>
      </c>
      <c r="E759" t="inlineStr">
        <is>
          <t>SUNNE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18178-2023</t>
        </is>
      </c>
      <c r="B760" s="1" t="n">
        <v>45041</v>
      </c>
      <c r="C760" s="1" t="n">
        <v>45894</v>
      </c>
      <c r="D760" t="inlineStr">
        <is>
          <t>VÄRMLANDS LÄN</t>
        </is>
      </c>
      <c r="E760" t="inlineStr">
        <is>
          <t>SUNNE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40061-2024</t>
        </is>
      </c>
      <c r="B761" s="1" t="n">
        <v>45553.92016203704</v>
      </c>
      <c r="C761" s="1" t="n">
        <v>45894</v>
      </c>
      <c r="D761" t="inlineStr">
        <is>
          <t>VÄRMLANDS LÄN</t>
        </is>
      </c>
      <c r="E761" t="inlineStr">
        <is>
          <t>SUNNE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52467-2024</t>
        </is>
      </c>
      <c r="B762" s="1" t="n">
        <v>45609</v>
      </c>
      <c r="C762" s="1" t="n">
        <v>45894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38901-2021</t>
        </is>
      </c>
      <c r="B763" s="1" t="n">
        <v>44411</v>
      </c>
      <c r="C763" s="1" t="n">
        <v>45894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41545-2020</t>
        </is>
      </c>
      <c r="B764" s="1" t="n">
        <v>44074</v>
      </c>
      <c r="C764" s="1" t="n">
        <v>45894</v>
      </c>
      <c r="D764" t="inlineStr">
        <is>
          <t>VÄRMLANDS LÄN</t>
        </is>
      </c>
      <c r="E764" t="inlineStr">
        <is>
          <t>SUNNE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31594-2021</t>
        </is>
      </c>
      <c r="B765" s="1" t="n">
        <v>44369</v>
      </c>
      <c r="C765" s="1" t="n">
        <v>45894</v>
      </c>
      <c r="D765" t="inlineStr">
        <is>
          <t>VÄRMLANDS LÄN</t>
        </is>
      </c>
      <c r="E765" t="inlineStr">
        <is>
          <t>SUNNE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31601-2021</t>
        </is>
      </c>
      <c r="B766" s="1" t="n">
        <v>44369</v>
      </c>
      <c r="C766" s="1" t="n">
        <v>45894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54487-2022</t>
        </is>
      </c>
      <c r="B767" s="1" t="n">
        <v>44882</v>
      </c>
      <c r="C767" s="1" t="n">
        <v>45894</v>
      </c>
      <c r="D767" t="inlineStr">
        <is>
          <t>VÄRMLANDS LÄN</t>
        </is>
      </c>
      <c r="E767" t="inlineStr">
        <is>
          <t>SUNNE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48021-2023</t>
        </is>
      </c>
      <c r="B768" s="1" t="n">
        <v>45204.6834837963</v>
      </c>
      <c r="C768" s="1" t="n">
        <v>45894</v>
      </c>
      <c r="D768" t="inlineStr">
        <is>
          <t>VÄRMLANDS LÄN</t>
        </is>
      </c>
      <c r="E768" t="inlineStr">
        <is>
          <t>SUNNE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8948-2023</t>
        </is>
      </c>
      <c r="B769" s="1" t="n">
        <v>44979.46204861111</v>
      </c>
      <c r="C769" s="1" t="n">
        <v>45894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7131-2023</t>
        </is>
      </c>
      <c r="B770" s="1" t="n">
        <v>44970</v>
      </c>
      <c r="C770" s="1" t="n">
        <v>45894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34049-2023</t>
        </is>
      </c>
      <c r="B771" s="1" t="n">
        <v>45125</v>
      </c>
      <c r="C771" s="1" t="n">
        <v>45894</v>
      </c>
      <c r="D771" t="inlineStr">
        <is>
          <t>VÄRMLANDS LÄN</t>
        </is>
      </c>
      <c r="E771" t="inlineStr">
        <is>
          <t>SUNNE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34053-2023</t>
        </is>
      </c>
      <c r="B772" s="1" t="n">
        <v>45125</v>
      </c>
      <c r="C772" s="1" t="n">
        <v>45894</v>
      </c>
      <c r="D772" t="inlineStr">
        <is>
          <t>VÄRMLANDS LÄN</t>
        </is>
      </c>
      <c r="E772" t="inlineStr">
        <is>
          <t>SUNNE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5884-2021</t>
        </is>
      </c>
      <c r="B773" s="1" t="n">
        <v>44230</v>
      </c>
      <c r="C773" s="1" t="n">
        <v>45894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44550.6446875</v>
      </c>
      <c r="C774" s="1" t="n">
        <v>45894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53638-2024</t>
        </is>
      </c>
      <c r="B775" s="1" t="n">
        <v>45614</v>
      </c>
      <c r="C775" s="1" t="n">
        <v>45894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47460-2023</t>
        </is>
      </c>
      <c r="B776" s="1" t="n">
        <v>45202.85592592593</v>
      </c>
      <c r="C776" s="1" t="n">
        <v>45894</v>
      </c>
      <c r="D776" t="inlineStr">
        <is>
          <t>VÄRMLANDS LÄN</t>
        </is>
      </c>
      <c r="E776" t="inlineStr">
        <is>
          <t>SUNNE</t>
        </is>
      </c>
      <c r="G776" t="n">
        <v>14.2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18542-2024</t>
        </is>
      </c>
      <c r="B777" s="1" t="n">
        <v>45425</v>
      </c>
      <c r="C777" s="1" t="n">
        <v>45894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26672-2024</t>
        </is>
      </c>
      <c r="B778" s="1" t="n">
        <v>45470</v>
      </c>
      <c r="C778" s="1" t="n">
        <v>45894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47273-2024</t>
        </is>
      </c>
      <c r="B779" s="1" t="n">
        <v>45586.87646990741</v>
      </c>
      <c r="C779" s="1" t="n">
        <v>45894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44869-2023</t>
        </is>
      </c>
      <c r="B780" s="1" t="n">
        <v>45190.5977199074</v>
      </c>
      <c r="C780" s="1" t="n">
        <v>45894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3995-2022</t>
        </is>
      </c>
      <c r="B781" s="1" t="n">
        <v>44587</v>
      </c>
      <c r="C781" s="1" t="n">
        <v>45894</v>
      </c>
      <c r="D781" t="inlineStr">
        <is>
          <t>VÄRMLANDS LÄN</t>
        </is>
      </c>
      <c r="E781" t="inlineStr">
        <is>
          <t>SUNNE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18183-2023</t>
        </is>
      </c>
      <c r="B782" s="1" t="n">
        <v>45041.35148148148</v>
      </c>
      <c r="C782" s="1" t="n">
        <v>45894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13305-2025</t>
        </is>
      </c>
      <c r="B783" s="1" t="n">
        <v>45735.57909722222</v>
      </c>
      <c r="C783" s="1" t="n">
        <v>45894</v>
      </c>
      <c r="D783" t="inlineStr">
        <is>
          <t>VÄRMLANDS LÄN</t>
        </is>
      </c>
      <c r="E783" t="inlineStr">
        <is>
          <t>SUNNE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13306-2025</t>
        </is>
      </c>
      <c r="B784" s="1" t="n">
        <v>45735.57915509259</v>
      </c>
      <c r="C784" s="1" t="n">
        <v>45894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5709-2025</t>
        </is>
      </c>
      <c r="B785" s="1" t="n">
        <v>45694.45340277778</v>
      </c>
      <c r="C785" s="1" t="n">
        <v>45894</v>
      </c>
      <c r="D785" t="inlineStr">
        <is>
          <t>VÄRMLANDS LÄN</t>
        </is>
      </c>
      <c r="E785" t="inlineStr">
        <is>
          <t>SUNNE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17817-2025</t>
        </is>
      </c>
      <c r="B786" s="1" t="n">
        <v>45758</v>
      </c>
      <c r="C786" s="1" t="n">
        <v>45894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28025-2023</t>
        </is>
      </c>
      <c r="B787" s="1" t="n">
        <v>45098.9759837963</v>
      </c>
      <c r="C787" s="1" t="n">
        <v>45894</v>
      </c>
      <c r="D787" t="inlineStr">
        <is>
          <t>VÄRMLANDS LÄN</t>
        </is>
      </c>
      <c r="E787" t="inlineStr">
        <is>
          <t>SUNNE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30645-2024</t>
        </is>
      </c>
      <c r="B788" s="1" t="n">
        <v>45495.58692129629</v>
      </c>
      <c r="C788" s="1" t="n">
        <v>45894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58367-2021</t>
        </is>
      </c>
      <c r="B789" s="1" t="n">
        <v>44488</v>
      </c>
      <c r="C789" s="1" t="n">
        <v>45894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4916-2021</t>
        </is>
      </c>
      <c r="B790" s="1" t="n">
        <v>44226</v>
      </c>
      <c r="C790" s="1" t="n">
        <v>45894</v>
      </c>
      <c r="D790" t="inlineStr">
        <is>
          <t>VÄRMLANDS LÄN</t>
        </is>
      </c>
      <c r="E790" t="inlineStr">
        <is>
          <t>SUNNE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15747-2022</t>
        </is>
      </c>
      <c r="B791" s="1" t="n">
        <v>44663.55354166667</v>
      </c>
      <c r="C791" s="1" t="n">
        <v>45894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24172-2023</t>
        </is>
      </c>
      <c r="B792" s="1" t="n">
        <v>45079</v>
      </c>
      <c r="C792" s="1" t="n">
        <v>45894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62166-2024</t>
        </is>
      </c>
      <c r="B793" s="1" t="n">
        <v>45657.43004629629</v>
      </c>
      <c r="C793" s="1" t="n">
        <v>45894</v>
      </c>
      <c r="D793" t="inlineStr">
        <is>
          <t>VÄRMLANDS LÄN</t>
        </is>
      </c>
      <c r="E793" t="inlineStr">
        <is>
          <t>SUNNE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21925-2023</t>
        </is>
      </c>
      <c r="B794" s="1" t="n">
        <v>45068</v>
      </c>
      <c r="C794" s="1" t="n">
        <v>45894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30207-2023</t>
        </is>
      </c>
      <c r="B795" s="1" t="n">
        <v>45110</v>
      </c>
      <c r="C795" s="1" t="n">
        <v>45894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49437-2024</t>
        </is>
      </c>
      <c r="B796" s="1" t="n">
        <v>45595.86496527777</v>
      </c>
      <c r="C796" s="1" t="n">
        <v>45894</v>
      </c>
      <c r="D796" t="inlineStr">
        <is>
          <t>VÄRMLANDS LÄN</t>
        </is>
      </c>
      <c r="E796" t="inlineStr">
        <is>
          <t>SUNNE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32202-2022</t>
        </is>
      </c>
      <c r="B797" s="1" t="n">
        <v>44781</v>
      </c>
      <c r="C797" s="1" t="n">
        <v>45894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3085-2024</t>
        </is>
      </c>
      <c r="B798" s="1" t="n">
        <v>45316.43939814815</v>
      </c>
      <c r="C798" s="1" t="n">
        <v>45894</v>
      </c>
      <c r="D798" t="inlineStr">
        <is>
          <t>VÄRMLANDS LÄN</t>
        </is>
      </c>
      <c r="E798" t="inlineStr">
        <is>
          <t>SUNNE</t>
        </is>
      </c>
      <c r="F798" t="inlineStr">
        <is>
          <t>Kommuner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52042-2023</t>
        </is>
      </c>
      <c r="B799" s="1" t="n">
        <v>45223</v>
      </c>
      <c r="C799" s="1" t="n">
        <v>45894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45327-2021</t>
        </is>
      </c>
      <c r="B800" s="1" t="n">
        <v>44439.78618055556</v>
      </c>
      <c r="C800" s="1" t="n">
        <v>45894</v>
      </c>
      <c r="D800" t="inlineStr">
        <is>
          <t>VÄRMLANDS LÄN</t>
        </is>
      </c>
      <c r="E800" t="inlineStr">
        <is>
          <t>SUNNE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9173-2023</t>
        </is>
      </c>
      <c r="B801" s="1" t="n">
        <v>44980</v>
      </c>
      <c r="C801" s="1" t="n">
        <v>45894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35558-2023</t>
        </is>
      </c>
      <c r="B802" s="1" t="n">
        <v>45147</v>
      </c>
      <c r="C802" s="1" t="n">
        <v>45894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49244-2022</t>
        </is>
      </c>
      <c r="B803" s="1" t="n">
        <v>44861.38337962963</v>
      </c>
      <c r="C803" s="1" t="n">
        <v>45894</v>
      </c>
      <c r="D803" t="inlineStr">
        <is>
          <t>VÄRMLANDS LÄN</t>
        </is>
      </c>
      <c r="E803" t="inlineStr">
        <is>
          <t>SUNNE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24859-2025</t>
        </is>
      </c>
      <c r="B804" s="1" t="n">
        <v>45799.47902777778</v>
      </c>
      <c r="C804" s="1" t="n">
        <v>45894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7712-2024</t>
        </is>
      </c>
      <c r="B805" s="1" t="n">
        <v>45349.37353009259</v>
      </c>
      <c r="C805" s="1" t="n">
        <v>45894</v>
      </c>
      <c r="D805" t="inlineStr">
        <is>
          <t>VÄRMLANDS LÄN</t>
        </is>
      </c>
      <c r="E805" t="inlineStr">
        <is>
          <t>SUNNE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49214-2023</t>
        </is>
      </c>
      <c r="B806" s="1" t="n">
        <v>45210.60864583333</v>
      </c>
      <c r="C806" s="1" t="n">
        <v>45894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4035-2025</t>
        </is>
      </c>
      <c r="B807" s="1" t="n">
        <v>45684.59967592593</v>
      </c>
      <c r="C807" s="1" t="n">
        <v>45894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24878-2025</t>
        </is>
      </c>
      <c r="B808" s="1" t="n">
        <v>45799.49319444445</v>
      </c>
      <c r="C808" s="1" t="n">
        <v>45894</v>
      </c>
      <c r="D808" t="inlineStr">
        <is>
          <t>VÄRMLANDS LÄN</t>
        </is>
      </c>
      <c r="E808" t="inlineStr">
        <is>
          <t>SUNNE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3852-2024</t>
        </is>
      </c>
      <c r="B809" s="1" t="n">
        <v>45322</v>
      </c>
      <c r="C809" s="1" t="n">
        <v>45894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55147-2022</t>
        </is>
      </c>
      <c r="B810" s="1" t="n">
        <v>44886</v>
      </c>
      <c r="C810" s="1" t="n">
        <v>45894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30132-2022</t>
        </is>
      </c>
      <c r="B811" s="1" t="n">
        <v>44757</v>
      </c>
      <c r="C811" s="1" t="n">
        <v>45894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65818-2020</t>
        </is>
      </c>
      <c r="B812" s="1" t="n">
        <v>44174</v>
      </c>
      <c r="C812" s="1" t="n">
        <v>45894</v>
      </c>
      <c r="D812" t="inlineStr">
        <is>
          <t>VÄRMLANDS LÄN</t>
        </is>
      </c>
      <c r="E812" t="inlineStr">
        <is>
          <t>SUNNE</t>
        </is>
      </c>
      <c r="F812" t="inlineStr">
        <is>
          <t>Övriga Aktiebolag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41208-2023</t>
        </is>
      </c>
      <c r="B813" s="1" t="n">
        <v>45174</v>
      </c>
      <c r="C813" s="1" t="n">
        <v>45894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3390-2025</t>
        </is>
      </c>
      <c r="B814" s="1" t="n">
        <v>45680.35740740741</v>
      </c>
      <c r="C814" s="1" t="n">
        <v>45894</v>
      </c>
      <c r="D814" t="inlineStr">
        <is>
          <t>VÄRMLANDS LÄN</t>
        </is>
      </c>
      <c r="E814" t="inlineStr">
        <is>
          <t>SUNNE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25199-2025</t>
        </is>
      </c>
      <c r="B815" s="1" t="n">
        <v>45800.46146990741</v>
      </c>
      <c r="C815" s="1" t="n">
        <v>45894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25370-2025</t>
        </is>
      </c>
      <c r="B816" s="1" t="n">
        <v>45800.63108796296</v>
      </c>
      <c r="C816" s="1" t="n">
        <v>45894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25184-2025</t>
        </is>
      </c>
      <c r="B817" s="1" t="n">
        <v>45800.44991898148</v>
      </c>
      <c r="C817" s="1" t="n">
        <v>45894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25189-2025</t>
        </is>
      </c>
      <c r="B818" s="1" t="n">
        <v>45800.4567824074</v>
      </c>
      <c r="C818" s="1" t="n">
        <v>45894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25214-2025</t>
        </is>
      </c>
      <c r="B819" s="1" t="n">
        <v>45800.47282407407</v>
      </c>
      <c r="C819" s="1" t="n">
        <v>45894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25231-2025</t>
        </is>
      </c>
      <c r="B820" s="1" t="n">
        <v>45800.48482638889</v>
      </c>
      <c r="C820" s="1" t="n">
        <v>45894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25144-2025</t>
        </is>
      </c>
      <c r="B821" s="1" t="n">
        <v>45800.41766203703</v>
      </c>
      <c r="C821" s="1" t="n">
        <v>45894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17124-2024</t>
        </is>
      </c>
      <c r="B822" s="1" t="n">
        <v>45412.58369212963</v>
      </c>
      <c r="C822" s="1" t="n">
        <v>45894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3074-2024</t>
        </is>
      </c>
      <c r="B823" s="1" t="n">
        <v>45316.42628472222</v>
      </c>
      <c r="C823" s="1" t="n">
        <v>45894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3082-2024</t>
        </is>
      </c>
      <c r="B824" s="1" t="n">
        <v>45316.43537037037</v>
      </c>
      <c r="C824" s="1" t="n">
        <v>45894</v>
      </c>
      <c r="D824" t="inlineStr">
        <is>
          <t>VÄRMLANDS LÄN</t>
        </is>
      </c>
      <c r="E824" t="inlineStr">
        <is>
          <t>SUNNE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37290-2022</t>
        </is>
      </c>
      <c r="B825" s="1" t="n">
        <v>44808</v>
      </c>
      <c r="C825" s="1" t="n">
        <v>45894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2525-2023</t>
        </is>
      </c>
      <c r="B826" s="1" t="n">
        <v>44943</v>
      </c>
      <c r="C826" s="1" t="n">
        <v>45894</v>
      </c>
      <c r="D826" t="inlineStr">
        <is>
          <t>VÄRMLANDS LÄN</t>
        </is>
      </c>
      <c r="E826" t="inlineStr">
        <is>
          <t>SUNNE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50455-2023</t>
        </is>
      </c>
      <c r="B827" s="1" t="n">
        <v>45216.81375</v>
      </c>
      <c r="C827" s="1" t="n">
        <v>45894</v>
      </c>
      <c r="D827" t="inlineStr">
        <is>
          <t>VÄRMLANDS LÄN</t>
        </is>
      </c>
      <c r="E827" t="inlineStr">
        <is>
          <t>SUNNE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1963-2024</t>
        </is>
      </c>
      <c r="B828" s="1" t="n">
        <v>45308</v>
      </c>
      <c r="C828" s="1" t="n">
        <v>45894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19554-2023</t>
        </is>
      </c>
      <c r="B829" s="1" t="n">
        <v>45050</v>
      </c>
      <c r="C829" s="1" t="n">
        <v>45894</v>
      </c>
      <c r="D829" t="inlineStr">
        <is>
          <t>VÄRMLANDS LÄN</t>
        </is>
      </c>
      <c r="E829" t="inlineStr">
        <is>
          <t>SUNNE</t>
        </is>
      </c>
      <c r="F829" t="inlineStr">
        <is>
          <t>Övriga Aktiebolag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13158-2023</t>
        </is>
      </c>
      <c r="B830" s="1" t="n">
        <v>45002.56912037037</v>
      </c>
      <c r="C830" s="1" t="n">
        <v>45894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49978-2021</t>
        </is>
      </c>
      <c r="B831" s="1" t="n">
        <v>44456</v>
      </c>
      <c r="C831" s="1" t="n">
        <v>45894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26121-2025</t>
        </is>
      </c>
      <c r="B832" s="1" t="n">
        <v>45805.38510416666</v>
      </c>
      <c r="C832" s="1" t="n">
        <v>45894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34380-2023</t>
        </is>
      </c>
      <c r="B833" s="1" t="n">
        <v>45131</v>
      </c>
      <c r="C833" s="1" t="n">
        <v>45894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65012-2021</t>
        </is>
      </c>
      <c r="B834" s="1" t="n">
        <v>44514.96402777778</v>
      </c>
      <c r="C834" s="1" t="n">
        <v>45894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44369-2022</t>
        </is>
      </c>
      <c r="B835" s="1" t="n">
        <v>44839</v>
      </c>
      <c r="C835" s="1" t="n">
        <v>45894</v>
      </c>
      <c r="D835" t="inlineStr">
        <is>
          <t>VÄRMLANDS LÄN</t>
        </is>
      </c>
      <c r="E835" t="inlineStr">
        <is>
          <t>SUNNE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25902-2025</t>
        </is>
      </c>
      <c r="B836" s="1" t="n">
        <v>45804</v>
      </c>
      <c r="C836" s="1" t="n">
        <v>45894</v>
      </c>
      <c r="D836" t="inlineStr">
        <is>
          <t>VÄRMLANDS LÄN</t>
        </is>
      </c>
      <c r="E836" t="inlineStr">
        <is>
          <t>SUNNE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26250-2025</t>
        </is>
      </c>
      <c r="B837" s="1" t="n">
        <v>45805.57753472222</v>
      </c>
      <c r="C837" s="1" t="n">
        <v>45894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25775-2025</t>
        </is>
      </c>
      <c r="B838" s="1" t="n">
        <v>45804.35508101852</v>
      </c>
      <c r="C838" s="1" t="n">
        <v>45894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26327-2025</t>
        </is>
      </c>
      <c r="B839" s="1" t="n">
        <v>45805.66837962963</v>
      </c>
      <c r="C839" s="1" t="n">
        <v>45894</v>
      </c>
      <c r="D839" t="inlineStr">
        <is>
          <t>VÄRMLANDS LÄN</t>
        </is>
      </c>
      <c r="E839" t="inlineStr">
        <is>
          <t>SUNNE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19457-2023</t>
        </is>
      </c>
      <c r="B840" s="1" t="n">
        <v>45050</v>
      </c>
      <c r="C840" s="1" t="n">
        <v>45894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27573-2023</t>
        </is>
      </c>
      <c r="B841" s="1" t="n">
        <v>45093</v>
      </c>
      <c r="C841" s="1" t="n">
        <v>45894</v>
      </c>
      <c r="D841" t="inlineStr">
        <is>
          <t>VÄRMLANDS LÄN</t>
        </is>
      </c>
      <c r="E841" t="inlineStr">
        <is>
          <t>SUNNE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25816-2024</t>
        </is>
      </c>
      <c r="B842" s="1" t="n">
        <v>45467.38015046297</v>
      </c>
      <c r="C842" s="1" t="n">
        <v>45894</v>
      </c>
      <c r="D842" t="inlineStr">
        <is>
          <t>VÄRMLANDS LÄN</t>
        </is>
      </c>
      <c r="E842" t="inlineStr">
        <is>
          <t>SUNNE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53433-2024</t>
        </is>
      </c>
      <c r="B843" s="1" t="n">
        <v>45614.52704861111</v>
      </c>
      <c r="C843" s="1" t="n">
        <v>45894</v>
      </c>
      <c r="D843" t="inlineStr">
        <is>
          <t>VÄRMLANDS LÄN</t>
        </is>
      </c>
      <c r="E843" t="inlineStr">
        <is>
          <t>SUNNE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34541-2022</t>
        </is>
      </c>
      <c r="B844" s="1" t="n">
        <v>44793</v>
      </c>
      <c r="C844" s="1" t="n">
        <v>45894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43052-2020</t>
        </is>
      </c>
      <c r="B845" s="1" t="n">
        <v>44078</v>
      </c>
      <c r="C845" s="1" t="n">
        <v>45894</v>
      </c>
      <c r="D845" t="inlineStr">
        <is>
          <t>VÄRMLANDS LÄN</t>
        </is>
      </c>
      <c r="E845" t="inlineStr">
        <is>
          <t>SUNNE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40612-2023</t>
        </is>
      </c>
      <c r="B846" s="1" t="n">
        <v>45170.51244212963</v>
      </c>
      <c r="C846" s="1" t="n">
        <v>45894</v>
      </c>
      <c r="D846" t="inlineStr">
        <is>
          <t>VÄRMLANDS LÄN</t>
        </is>
      </c>
      <c r="E846" t="inlineStr">
        <is>
          <t>SUNNE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21416-2024</t>
        </is>
      </c>
      <c r="B847" s="1" t="n">
        <v>45441.3708449074</v>
      </c>
      <c r="C847" s="1" t="n">
        <v>45894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72783-2021</t>
        </is>
      </c>
      <c r="B848" s="1" t="n">
        <v>44547.33819444444</v>
      </c>
      <c r="C848" s="1" t="n">
        <v>45894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22734-2024</t>
        </is>
      </c>
      <c r="B849" s="1" t="n">
        <v>45448</v>
      </c>
      <c r="C849" s="1" t="n">
        <v>45894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4200-2024</t>
        </is>
      </c>
      <c r="B850" s="1" t="n">
        <v>45324.36109953704</v>
      </c>
      <c r="C850" s="1" t="n">
        <v>45894</v>
      </c>
      <c r="D850" t="inlineStr">
        <is>
          <t>VÄRMLANDS LÄN</t>
        </is>
      </c>
      <c r="E850" t="inlineStr">
        <is>
          <t>SUNNE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14492-2023</t>
        </is>
      </c>
      <c r="B851" s="1" t="n">
        <v>45012</v>
      </c>
      <c r="C851" s="1" t="n">
        <v>45894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39167-2022</t>
        </is>
      </c>
      <c r="B852" s="1" t="n">
        <v>44817.49707175926</v>
      </c>
      <c r="C852" s="1" t="n">
        <v>45894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44899-2022</t>
        </is>
      </c>
      <c r="B853" s="1" t="n">
        <v>44841.50252314815</v>
      </c>
      <c r="C853" s="1" t="n">
        <v>45894</v>
      </c>
      <c r="D853" t="inlineStr">
        <is>
          <t>VÄRMLANDS LÄN</t>
        </is>
      </c>
      <c r="E853" t="inlineStr">
        <is>
          <t>SUNNE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24923-2023</t>
        </is>
      </c>
      <c r="B854" s="1" t="n">
        <v>45085</v>
      </c>
      <c r="C854" s="1" t="n">
        <v>45894</v>
      </c>
      <c r="D854" t="inlineStr">
        <is>
          <t>VÄRMLANDS LÄN</t>
        </is>
      </c>
      <c r="E854" t="inlineStr">
        <is>
          <t>SUNNE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26370-2025</t>
        </is>
      </c>
      <c r="B855" s="1" t="n">
        <v>45806.39633101852</v>
      </c>
      <c r="C855" s="1" t="n">
        <v>45894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26681-2023</t>
        </is>
      </c>
      <c r="B856" s="1" t="n">
        <v>45093.34003472222</v>
      </c>
      <c r="C856" s="1" t="n">
        <v>45894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59685-2022</t>
        </is>
      </c>
      <c r="B857" s="1" t="n">
        <v>44908.37560185185</v>
      </c>
      <c r="C857" s="1" t="n">
        <v>45894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18679-2024</t>
        </is>
      </c>
      <c r="B858" s="1" t="n">
        <v>45426</v>
      </c>
      <c r="C858" s="1" t="n">
        <v>45894</v>
      </c>
      <c r="D858" t="inlineStr">
        <is>
          <t>VÄRMLANDS LÄN</t>
        </is>
      </c>
      <c r="E858" t="inlineStr">
        <is>
          <t>SUNNE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26995-2024</t>
        </is>
      </c>
      <c r="B859" s="1" t="n">
        <v>45471.37975694444</v>
      </c>
      <c r="C859" s="1" t="n">
        <v>45894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35218-2025</t>
        </is>
      </c>
      <c r="B860" s="1" t="n">
        <v>45853.49832175926</v>
      </c>
      <c r="C860" s="1" t="n">
        <v>45894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53759-2024</t>
        </is>
      </c>
      <c r="B861" s="1" t="n">
        <v>45615.50706018518</v>
      </c>
      <c r="C861" s="1" t="n">
        <v>45894</v>
      </c>
      <c r="D861" t="inlineStr">
        <is>
          <t>VÄRMLANDS LÄN</t>
        </is>
      </c>
      <c r="E861" t="inlineStr">
        <is>
          <t>SUNNE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2173-2025</t>
        </is>
      </c>
      <c r="B862" s="1" t="n">
        <v>45673.32659722222</v>
      </c>
      <c r="C862" s="1" t="n">
        <v>45894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12304-2024</t>
        </is>
      </c>
      <c r="B863" s="1" t="n">
        <v>45378.61495370371</v>
      </c>
      <c r="C863" s="1" t="n">
        <v>45894</v>
      </c>
      <c r="D863" t="inlineStr">
        <is>
          <t>VÄRMLANDS LÄN</t>
        </is>
      </c>
      <c r="E863" t="inlineStr">
        <is>
          <t>SUNNE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41967-2023</t>
        </is>
      </c>
      <c r="B864" s="1" t="n">
        <v>45177.37006944444</v>
      </c>
      <c r="C864" s="1" t="n">
        <v>45894</v>
      </c>
      <c r="D864" t="inlineStr">
        <is>
          <t>VÄRMLANDS LÄN</t>
        </is>
      </c>
      <c r="E864" t="inlineStr">
        <is>
          <t>SUNNE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53535-2024</t>
        </is>
      </c>
      <c r="B865" s="1" t="n">
        <v>45614</v>
      </c>
      <c r="C865" s="1" t="n">
        <v>45894</v>
      </c>
      <c r="D865" t="inlineStr">
        <is>
          <t>VÄRMLANDS LÄN</t>
        </is>
      </c>
      <c r="E865" t="inlineStr">
        <is>
          <t>SUNNE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16882-2024</t>
        </is>
      </c>
      <c r="B866" s="1" t="n">
        <v>45411.59430555555</v>
      </c>
      <c r="C866" s="1" t="n">
        <v>45894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47277-2024</t>
        </is>
      </c>
      <c r="B867" s="1" t="n">
        <v>45586</v>
      </c>
      <c r="C867" s="1" t="n">
        <v>45894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47355-2021</t>
        </is>
      </c>
      <c r="B868" s="1" t="n">
        <v>44447</v>
      </c>
      <c r="C868" s="1" t="n">
        <v>45894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35039-2025</t>
        </is>
      </c>
      <c r="B869" s="1" t="n">
        <v>45852.34265046296</v>
      </c>
      <c r="C869" s="1" t="n">
        <v>45894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35064-2025</t>
        </is>
      </c>
      <c r="B870" s="1" t="n">
        <v>45852.43826388889</v>
      </c>
      <c r="C870" s="1" t="n">
        <v>45894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25208-2023</t>
        </is>
      </c>
      <c r="B871" s="1" t="n">
        <v>45086.59510416666</v>
      </c>
      <c r="C871" s="1" t="n">
        <v>45894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44303-2021</t>
        </is>
      </c>
      <c r="B872" s="1" t="n">
        <v>44435</v>
      </c>
      <c r="C872" s="1" t="n">
        <v>45894</v>
      </c>
      <c r="D872" t="inlineStr">
        <is>
          <t>VÄRMLANDS LÄN</t>
        </is>
      </c>
      <c r="E872" t="inlineStr">
        <is>
          <t>SUNNE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55828-2024</t>
        </is>
      </c>
      <c r="B873" s="1" t="n">
        <v>45622</v>
      </c>
      <c r="C873" s="1" t="n">
        <v>45894</v>
      </c>
      <c r="D873" t="inlineStr">
        <is>
          <t>VÄRMLANDS LÄN</t>
        </is>
      </c>
      <c r="E873" t="inlineStr">
        <is>
          <t>SUNNE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35077-2025</t>
        </is>
      </c>
      <c r="B874" s="1" t="n">
        <v>45852.48447916667</v>
      </c>
      <c r="C874" s="1" t="n">
        <v>45894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4785-2022</t>
        </is>
      </c>
      <c r="B875" s="1" t="n">
        <v>44592.63289351852</v>
      </c>
      <c r="C875" s="1" t="n">
        <v>45894</v>
      </c>
      <c r="D875" t="inlineStr">
        <is>
          <t>VÄRMLANDS LÄN</t>
        </is>
      </c>
      <c r="E875" t="inlineStr">
        <is>
          <t>SUNNE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61430-2023</t>
        </is>
      </c>
      <c r="B876" s="1" t="n">
        <v>45261</v>
      </c>
      <c r="C876" s="1" t="n">
        <v>45894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14188-2025</t>
        </is>
      </c>
      <c r="B877" s="1" t="n">
        <v>45740.54981481482</v>
      </c>
      <c r="C877" s="1" t="n">
        <v>45894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19954-2024</t>
        </is>
      </c>
      <c r="B878" s="1" t="n">
        <v>45433</v>
      </c>
      <c r="C878" s="1" t="n">
        <v>45894</v>
      </c>
      <c r="D878" t="inlineStr">
        <is>
          <t>VÄRMLANDS LÄN</t>
        </is>
      </c>
      <c r="E878" t="inlineStr">
        <is>
          <t>SUNNE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29742-2023</t>
        </is>
      </c>
      <c r="B879" s="1" t="n">
        <v>45107</v>
      </c>
      <c r="C879" s="1" t="n">
        <v>45894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27727-2023</t>
        </is>
      </c>
      <c r="B880" s="1" t="n">
        <v>45093</v>
      </c>
      <c r="C880" s="1" t="n">
        <v>45894</v>
      </c>
      <c r="D880" t="inlineStr">
        <is>
          <t>VÄRMLANDS LÄN</t>
        </is>
      </c>
      <c r="E880" t="inlineStr">
        <is>
          <t>SUNNE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6939-2025</t>
        </is>
      </c>
      <c r="B881" s="1" t="n">
        <v>45701</v>
      </c>
      <c r="C881" s="1" t="n">
        <v>45894</v>
      </c>
      <c r="D881" t="inlineStr">
        <is>
          <t>VÄRMLANDS LÄN</t>
        </is>
      </c>
      <c r="E881" t="inlineStr">
        <is>
          <t>SUNNE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26759-2025</t>
        </is>
      </c>
      <c r="B882" s="1" t="n">
        <v>45810.56247685185</v>
      </c>
      <c r="C882" s="1" t="n">
        <v>45894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26862-2022</t>
        </is>
      </c>
      <c r="B883" s="1" t="n">
        <v>44740.5177662037</v>
      </c>
      <c r="C883" s="1" t="n">
        <v>45894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47219-2023</t>
        </is>
      </c>
      <c r="B884" s="1" t="n">
        <v>45196</v>
      </c>
      <c r="C884" s="1" t="n">
        <v>45894</v>
      </c>
      <c r="D884" t="inlineStr">
        <is>
          <t>VÄRMLANDS LÄN</t>
        </is>
      </c>
      <c r="E884" t="inlineStr">
        <is>
          <t>SUNNE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30036-2024</t>
        </is>
      </c>
      <c r="B885" s="1" t="n">
        <v>45488.69347222222</v>
      </c>
      <c r="C885" s="1" t="n">
        <v>45894</v>
      </c>
      <c r="D885" t="inlineStr">
        <is>
          <t>VÄRMLANDS LÄN</t>
        </is>
      </c>
      <c r="E885" t="inlineStr">
        <is>
          <t>SUNNE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3260-2025</t>
        </is>
      </c>
      <c r="B886" s="1" t="n">
        <v>45679.56194444445</v>
      </c>
      <c r="C886" s="1" t="n">
        <v>45894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55894-2024</t>
        </is>
      </c>
      <c r="B887" s="1" t="n">
        <v>45623</v>
      </c>
      <c r="C887" s="1" t="n">
        <v>45894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35063-2025</t>
        </is>
      </c>
      <c r="B888" s="1" t="n">
        <v>45852.43511574074</v>
      </c>
      <c r="C888" s="1" t="n">
        <v>45894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26875-2025</t>
        </is>
      </c>
      <c r="B889" s="1" t="n">
        <v>45809</v>
      </c>
      <c r="C889" s="1" t="n">
        <v>45894</v>
      </c>
      <c r="D889" t="inlineStr">
        <is>
          <t>VÄRMLANDS LÄN</t>
        </is>
      </c>
      <c r="E889" t="inlineStr">
        <is>
          <t>SUNNE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26915-2025</t>
        </is>
      </c>
      <c r="B890" s="1" t="n">
        <v>45811.36954861111</v>
      </c>
      <c r="C890" s="1" t="n">
        <v>45894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7199-2023</t>
        </is>
      </c>
      <c r="B891" s="1" t="n">
        <v>44970.54512731481</v>
      </c>
      <c r="C891" s="1" t="n">
        <v>45894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55401-2024</t>
        </is>
      </c>
      <c r="B892" s="1" t="n">
        <v>45622</v>
      </c>
      <c r="C892" s="1" t="n">
        <v>45894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26876-2025</t>
        </is>
      </c>
      <c r="B893" s="1" t="n">
        <v>45809</v>
      </c>
      <c r="C893" s="1" t="n">
        <v>45894</v>
      </c>
      <c r="D893" t="inlineStr">
        <is>
          <t>VÄRMLANDS LÄN</t>
        </is>
      </c>
      <c r="E893" t="inlineStr">
        <is>
          <t>SUNNE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2384-2022</t>
        </is>
      </c>
      <c r="B894" s="1" t="n">
        <v>44579.37768518519</v>
      </c>
      <c r="C894" s="1" t="n">
        <v>45894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1045-2024</t>
        </is>
      </c>
      <c r="B895" s="1" t="n">
        <v>45301</v>
      </c>
      <c r="C895" s="1" t="n">
        <v>45894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17042-2023</t>
        </is>
      </c>
      <c r="B896" s="1" t="n">
        <v>45034</v>
      </c>
      <c r="C896" s="1" t="n">
        <v>45894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31221-2024</t>
        </is>
      </c>
      <c r="B897" s="1" t="n">
        <v>45503</v>
      </c>
      <c r="C897" s="1" t="n">
        <v>45894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26884-2025</t>
        </is>
      </c>
      <c r="B898" s="1" t="n">
        <v>45810.89060185185</v>
      </c>
      <c r="C898" s="1" t="n">
        <v>45894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14119-2024</t>
        </is>
      </c>
      <c r="B899" s="1" t="n">
        <v>45392</v>
      </c>
      <c r="C899" s="1" t="n">
        <v>45894</v>
      </c>
      <c r="D899" t="inlineStr">
        <is>
          <t>VÄRMLANDS LÄN</t>
        </is>
      </c>
      <c r="E899" t="inlineStr">
        <is>
          <t>SUNNE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24393-2023</t>
        </is>
      </c>
      <c r="B900" s="1" t="n">
        <v>45082</v>
      </c>
      <c r="C900" s="1" t="n">
        <v>45894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73476-2021</t>
        </is>
      </c>
      <c r="B901" s="1" t="n">
        <v>44551</v>
      </c>
      <c r="C901" s="1" t="n">
        <v>45894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54146-2022</t>
        </is>
      </c>
      <c r="B902" s="1" t="n">
        <v>44881</v>
      </c>
      <c r="C902" s="1" t="n">
        <v>45894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2014-2023</t>
        </is>
      </c>
      <c r="B903" s="1" t="n">
        <v>44939.54744212963</v>
      </c>
      <c r="C903" s="1" t="n">
        <v>45894</v>
      </c>
      <c r="D903" t="inlineStr">
        <is>
          <t>VÄRMLANDS LÄN</t>
        </is>
      </c>
      <c r="E903" t="inlineStr">
        <is>
          <t>SUNNE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16553-2022</t>
        </is>
      </c>
      <c r="B904" s="1" t="n">
        <v>44672.40481481481</v>
      </c>
      <c r="C904" s="1" t="n">
        <v>45894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28023-2023</t>
        </is>
      </c>
      <c r="B905" s="1" t="n">
        <v>45098.9652199074</v>
      </c>
      <c r="C905" s="1" t="n">
        <v>45894</v>
      </c>
      <c r="D905" t="inlineStr">
        <is>
          <t>VÄRMLANDS LÄN</t>
        </is>
      </c>
      <c r="E905" t="inlineStr">
        <is>
          <t>SUNNE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13728-2023</t>
        </is>
      </c>
      <c r="B906" s="1" t="n">
        <v>45007.3412962963</v>
      </c>
      <c r="C906" s="1" t="n">
        <v>45894</v>
      </c>
      <c r="D906" t="inlineStr">
        <is>
          <t>VÄRMLANDS LÄN</t>
        </is>
      </c>
      <c r="E906" t="inlineStr">
        <is>
          <t>SUNNE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17580-2024</t>
        </is>
      </c>
      <c r="B907" s="1" t="n">
        <v>45415</v>
      </c>
      <c r="C907" s="1" t="n">
        <v>45894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17654-2025</t>
        </is>
      </c>
      <c r="B908" s="1" t="n">
        <v>45758.33905092593</v>
      </c>
      <c r="C908" s="1" t="n">
        <v>45894</v>
      </c>
      <c r="D908" t="inlineStr">
        <is>
          <t>VÄRMLANDS LÄN</t>
        </is>
      </c>
      <c r="E908" t="inlineStr">
        <is>
          <t>SUNNE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15971-2025</t>
        </is>
      </c>
      <c r="B909" s="1" t="n">
        <v>45749</v>
      </c>
      <c r="C909" s="1" t="n">
        <v>45894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1248-2023</t>
        </is>
      </c>
      <c r="B910" s="1" t="n">
        <v>44931</v>
      </c>
      <c r="C910" s="1" t="n">
        <v>45894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29173-2023</t>
        </is>
      </c>
      <c r="B911" s="1" t="n">
        <v>45105</v>
      </c>
      <c r="C911" s="1" t="n">
        <v>45894</v>
      </c>
      <c r="D911" t="inlineStr">
        <is>
          <t>VÄRMLANDS LÄN</t>
        </is>
      </c>
      <c r="E911" t="inlineStr">
        <is>
          <t>SUNNE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26757-2025</t>
        </is>
      </c>
      <c r="B912" s="1" t="n">
        <v>45810.56206018518</v>
      </c>
      <c r="C912" s="1" t="n">
        <v>45894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HYPERLINK("https://klasma.github.io/Logging_1766/knärot/A 26757-2025 karta knärot.png", "A 26757-2025")</f>
        <v/>
      </c>
      <c r="V912">
        <f>HYPERLINK("https://klasma.github.io/Logging_1766/klagomål/A 26757-2025 FSC-klagomål.docx", "A 26757-2025")</f>
        <v/>
      </c>
      <c r="W912">
        <f>HYPERLINK("https://klasma.github.io/Logging_1766/klagomålsmail/A 26757-2025 FSC-klagomål mail.docx", "A 26757-2025")</f>
        <v/>
      </c>
      <c r="X912">
        <f>HYPERLINK("https://klasma.github.io/Logging_1766/tillsyn/A 26757-2025 tillsynsbegäran.docx", "A 26757-2025")</f>
        <v/>
      </c>
      <c r="Y912">
        <f>HYPERLINK("https://klasma.github.io/Logging_1766/tillsynsmail/A 26757-2025 tillsynsbegäran mail.docx", "A 26757-2025")</f>
        <v/>
      </c>
    </row>
    <row r="913" ht="15" customHeight="1">
      <c r="A913" t="inlineStr">
        <is>
          <t>A 26877-2025</t>
        </is>
      </c>
      <c r="B913" s="1" t="n">
        <v>45809</v>
      </c>
      <c r="C913" s="1" t="n">
        <v>45894</v>
      </c>
      <c r="D913" t="inlineStr">
        <is>
          <t>VÄRMLANDS LÄN</t>
        </is>
      </c>
      <c r="E913" t="inlineStr">
        <is>
          <t>SUNNE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10134-2024</t>
        </is>
      </c>
      <c r="B914" s="1" t="n">
        <v>45364.59402777778</v>
      </c>
      <c r="C914" s="1" t="n">
        <v>45894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25005-2023</t>
        </is>
      </c>
      <c r="B915" s="1" t="n">
        <v>45085.65954861111</v>
      </c>
      <c r="C915" s="1" t="n">
        <v>45894</v>
      </c>
      <c r="D915" t="inlineStr">
        <is>
          <t>VÄRMLANDS LÄN</t>
        </is>
      </c>
      <c r="E915" t="inlineStr">
        <is>
          <t>SUNNE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15710-2024</t>
        </is>
      </c>
      <c r="B916" s="1" t="n">
        <v>45404</v>
      </c>
      <c r="C916" s="1" t="n">
        <v>45894</v>
      </c>
      <c r="D916" t="inlineStr">
        <is>
          <t>VÄRMLANDS LÄN</t>
        </is>
      </c>
      <c r="E916" t="inlineStr">
        <is>
          <t>SUNNE</t>
        </is>
      </c>
      <c r="G916" t="n">
        <v>14.4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7230-2022</t>
        </is>
      </c>
      <c r="B917" s="1" t="n">
        <v>44606</v>
      </c>
      <c r="C917" s="1" t="n">
        <v>45894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59645-2020</t>
        </is>
      </c>
      <c r="B918" s="1" t="n">
        <v>44150</v>
      </c>
      <c r="C918" s="1" t="n">
        <v>45894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30218-2024</t>
        </is>
      </c>
      <c r="B919" s="1" t="n">
        <v>45490</v>
      </c>
      <c r="C919" s="1" t="n">
        <v>45894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27342-2025</t>
        </is>
      </c>
      <c r="B920" s="1" t="n">
        <v>45812.6177662037</v>
      </c>
      <c r="C920" s="1" t="n">
        <v>45894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39040-2024</t>
        </is>
      </c>
      <c r="B921" s="1" t="n">
        <v>45548</v>
      </c>
      <c r="C921" s="1" t="n">
        <v>45894</v>
      </c>
      <c r="D921" t="inlineStr">
        <is>
          <t>VÄRMLANDS LÄN</t>
        </is>
      </c>
      <c r="E921" t="inlineStr">
        <is>
          <t>SUNNE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54535-2023</t>
        </is>
      </c>
      <c r="B922" s="1" t="n">
        <v>45226</v>
      </c>
      <c r="C922" s="1" t="n">
        <v>45894</v>
      </c>
      <c r="D922" t="inlineStr">
        <is>
          <t>VÄRMLANDS LÄN</t>
        </is>
      </c>
      <c r="E922" t="inlineStr">
        <is>
          <t>SUNNE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58812-2022</t>
        </is>
      </c>
      <c r="B923" s="1" t="n">
        <v>44903.4503587963</v>
      </c>
      <c r="C923" s="1" t="n">
        <v>45894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27481-2025</t>
        </is>
      </c>
      <c r="B924" s="1" t="n">
        <v>45813.3796412037</v>
      </c>
      <c r="C924" s="1" t="n">
        <v>45894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30669-2021</t>
        </is>
      </c>
      <c r="B925" s="1" t="n">
        <v>44365.38503472223</v>
      </c>
      <c r="C925" s="1" t="n">
        <v>45894</v>
      </c>
      <c r="D925" t="inlineStr">
        <is>
          <t>VÄRMLANDS LÄN</t>
        </is>
      </c>
      <c r="E925" t="inlineStr">
        <is>
          <t>SUNNE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27475-2025</t>
        </is>
      </c>
      <c r="B926" s="1" t="n">
        <v>45813.37496527778</v>
      </c>
      <c r="C926" s="1" t="n">
        <v>45894</v>
      </c>
      <c r="D926" t="inlineStr">
        <is>
          <t>VÄRMLANDS LÄN</t>
        </is>
      </c>
      <c r="E926" t="inlineStr">
        <is>
          <t>SUNNE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28004-2024</t>
        </is>
      </c>
      <c r="B927" s="1" t="n">
        <v>45476.44668981482</v>
      </c>
      <c r="C927" s="1" t="n">
        <v>45894</v>
      </c>
      <c r="D927" t="inlineStr">
        <is>
          <t>VÄRMLANDS LÄN</t>
        </is>
      </c>
      <c r="E927" t="inlineStr">
        <is>
          <t>SUNNE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27444-2025</t>
        </is>
      </c>
      <c r="B928" s="1" t="n">
        <v>45813.321875</v>
      </c>
      <c r="C928" s="1" t="n">
        <v>45894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27239-2025</t>
        </is>
      </c>
      <c r="B929" s="1" t="n">
        <v>45812.45039351852</v>
      </c>
      <c r="C929" s="1" t="n">
        <v>45894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253-2021</t>
        </is>
      </c>
      <c r="B930" s="1" t="n">
        <v>44200</v>
      </c>
      <c r="C930" s="1" t="n">
        <v>45894</v>
      </c>
      <c r="D930" t="inlineStr">
        <is>
          <t>VÄRMLANDS LÄN</t>
        </is>
      </c>
      <c r="E930" t="inlineStr">
        <is>
          <t>SUNNE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351-2021</t>
        </is>
      </c>
      <c r="B931" s="1" t="n">
        <v>44201.47827546296</v>
      </c>
      <c r="C931" s="1" t="n">
        <v>45894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statliga verk och myndigheter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27710-2025</t>
        </is>
      </c>
      <c r="B932" s="1" t="n">
        <v>45813</v>
      </c>
      <c r="C932" s="1" t="n">
        <v>45894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27711-2025</t>
        </is>
      </c>
      <c r="B933" s="1" t="n">
        <v>45813</v>
      </c>
      <c r="C933" s="1" t="n">
        <v>45894</v>
      </c>
      <c r="D933" t="inlineStr">
        <is>
          <t>VÄRMLANDS LÄN</t>
        </is>
      </c>
      <c r="E933" t="inlineStr">
        <is>
          <t>SUNNE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12813-2025</t>
        </is>
      </c>
      <c r="B934" s="1" t="n">
        <v>45733</v>
      </c>
      <c r="C934" s="1" t="n">
        <v>45894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62703-2023</t>
        </is>
      </c>
      <c r="B935" s="1" t="n">
        <v>45271.54547453704</v>
      </c>
      <c r="C935" s="1" t="n">
        <v>45894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27484-2025</t>
        </is>
      </c>
      <c r="B936" s="1" t="n">
        <v>45813.38362268519</v>
      </c>
      <c r="C936" s="1" t="n">
        <v>45894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27302-2025</t>
        </is>
      </c>
      <c r="B937" s="1" t="n">
        <v>45812.57192129629</v>
      </c>
      <c r="C937" s="1" t="n">
        <v>45894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3637-2025</t>
        </is>
      </c>
      <c r="B938" s="1" t="n">
        <v>45681</v>
      </c>
      <c r="C938" s="1" t="n">
        <v>45894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3072-2024</t>
        </is>
      </c>
      <c r="B939" s="1" t="n">
        <v>45316.42262731482</v>
      </c>
      <c r="C939" s="1" t="n">
        <v>45894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7683-2025</t>
        </is>
      </c>
      <c r="B940" s="1" t="n">
        <v>45706</v>
      </c>
      <c r="C940" s="1" t="n">
        <v>45894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28055-2025</t>
        </is>
      </c>
      <c r="B941" s="1" t="n">
        <v>45817.66105324074</v>
      </c>
      <c r="C941" s="1" t="n">
        <v>45894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24506-2024</t>
        </is>
      </c>
      <c r="B942" s="1" t="n">
        <v>45460</v>
      </c>
      <c r="C942" s="1" t="n">
        <v>45894</v>
      </c>
      <c r="D942" t="inlineStr">
        <is>
          <t>VÄRMLANDS LÄN</t>
        </is>
      </c>
      <c r="E942" t="inlineStr">
        <is>
          <t>SUNNE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3679-2024</t>
        </is>
      </c>
      <c r="B943" s="1" t="n">
        <v>45321.37962962963</v>
      </c>
      <c r="C943" s="1" t="n">
        <v>45894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35901-2021</t>
        </is>
      </c>
      <c r="B944" s="1" t="n">
        <v>44387.60369212963</v>
      </c>
      <c r="C944" s="1" t="n">
        <v>45894</v>
      </c>
      <c r="D944" t="inlineStr">
        <is>
          <t>VÄRMLANDS LÄN</t>
        </is>
      </c>
      <c r="E944" t="inlineStr">
        <is>
          <t>SUNNE</t>
        </is>
      </c>
      <c r="G944" t="n">
        <v>11.9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56029-2023</t>
        </is>
      </c>
      <c r="B945" s="1" t="n">
        <v>45233</v>
      </c>
      <c r="C945" s="1" t="n">
        <v>45894</v>
      </c>
      <c r="D945" t="inlineStr">
        <is>
          <t>VÄRMLANDS LÄN</t>
        </is>
      </c>
      <c r="E945" t="inlineStr">
        <is>
          <t>SUNNE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35608-2025</t>
        </is>
      </c>
      <c r="B946" s="1" t="n">
        <v>45859.34502314815</v>
      </c>
      <c r="C946" s="1" t="n">
        <v>45894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35612-2025</t>
        </is>
      </c>
      <c r="B947" s="1" t="n">
        <v>45859.36667824074</v>
      </c>
      <c r="C947" s="1" t="n">
        <v>45894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35613-2025</t>
        </is>
      </c>
      <c r="B948" s="1" t="n">
        <v>45859.37608796296</v>
      </c>
      <c r="C948" s="1" t="n">
        <v>45894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37221-2022</t>
        </is>
      </c>
      <c r="B949" s="1" t="n">
        <v>44806.74005787037</v>
      </c>
      <c r="C949" s="1" t="n">
        <v>45894</v>
      </c>
      <c r="D949" t="inlineStr">
        <is>
          <t>VÄRMLANDS LÄN</t>
        </is>
      </c>
      <c r="E949" t="inlineStr">
        <is>
          <t>SUNNE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60696-2023</t>
        </is>
      </c>
      <c r="B950" s="1" t="n">
        <v>45260</v>
      </c>
      <c r="C950" s="1" t="n">
        <v>45894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51892-2020</t>
        </is>
      </c>
      <c r="B951" s="1" t="n">
        <v>44116</v>
      </c>
      <c r="C951" s="1" t="n">
        <v>45894</v>
      </c>
      <c r="D951" t="inlineStr">
        <is>
          <t>VÄRMLANDS LÄN</t>
        </is>
      </c>
      <c r="E951" t="inlineStr">
        <is>
          <t>SUNNE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22392-2021</t>
        </is>
      </c>
      <c r="B952" s="1" t="n">
        <v>44326.59961805555</v>
      </c>
      <c r="C952" s="1" t="n">
        <v>45894</v>
      </c>
      <c r="D952" t="inlineStr">
        <is>
          <t>VÄRMLANDS LÄN</t>
        </is>
      </c>
      <c r="E952" t="inlineStr">
        <is>
          <t>SUNNE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34375-2023</t>
        </is>
      </c>
      <c r="B953" s="1" t="n">
        <v>45131</v>
      </c>
      <c r="C953" s="1" t="n">
        <v>45894</v>
      </c>
      <c r="D953" t="inlineStr">
        <is>
          <t>VÄRMLANDS LÄN</t>
        </is>
      </c>
      <c r="E953" t="inlineStr">
        <is>
          <t>SUNNE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37218-2021</t>
        </is>
      </c>
      <c r="B954" s="1" t="n">
        <v>44396</v>
      </c>
      <c r="C954" s="1" t="n">
        <v>45894</v>
      </c>
      <c r="D954" t="inlineStr">
        <is>
          <t>VÄRMLANDS LÄN</t>
        </is>
      </c>
      <c r="E954" t="inlineStr">
        <is>
          <t>SUNNE</t>
        </is>
      </c>
      <c r="F954" t="inlineStr">
        <is>
          <t>Övriga Aktiebolag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35558-2025</t>
        </is>
      </c>
      <c r="B955" s="1" t="n">
        <v>45856.52908564815</v>
      </c>
      <c r="C955" s="1" t="n">
        <v>45894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62298-2020</t>
        </is>
      </c>
      <c r="B956" s="1" t="n">
        <v>44160</v>
      </c>
      <c r="C956" s="1" t="n">
        <v>45894</v>
      </c>
      <c r="D956" t="inlineStr">
        <is>
          <t>VÄRMLANDS LÄN</t>
        </is>
      </c>
      <c r="E956" t="inlineStr">
        <is>
          <t>SUNNE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35564-2025</t>
        </is>
      </c>
      <c r="B957" s="1" t="n">
        <v>45856.55047453703</v>
      </c>
      <c r="C957" s="1" t="n">
        <v>45894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12408-2024</t>
        </is>
      </c>
      <c r="B958" s="1" t="n">
        <v>45379.39612268518</v>
      </c>
      <c r="C958" s="1" t="n">
        <v>45894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30712-2023</t>
        </is>
      </c>
      <c r="B959" s="1" t="n">
        <v>45112</v>
      </c>
      <c r="C959" s="1" t="n">
        <v>45894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20057-2024</t>
        </is>
      </c>
      <c r="B960" s="1" t="n">
        <v>45434.3966087963</v>
      </c>
      <c r="C960" s="1" t="n">
        <v>45894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51420-2021</t>
        </is>
      </c>
      <c r="B961" s="1" t="n">
        <v>44461.90510416667</v>
      </c>
      <c r="C961" s="1" t="n">
        <v>45894</v>
      </c>
      <c r="D961" t="inlineStr">
        <is>
          <t>VÄRMLANDS LÄN</t>
        </is>
      </c>
      <c r="E961" t="inlineStr">
        <is>
          <t>SUNNE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35574-2025</t>
        </is>
      </c>
      <c r="B962" s="1" t="n">
        <v>45856.61221064815</v>
      </c>
      <c r="C962" s="1" t="n">
        <v>45894</v>
      </c>
      <c r="D962" t="inlineStr">
        <is>
          <t>VÄRMLANDS LÄN</t>
        </is>
      </c>
      <c r="E962" t="inlineStr">
        <is>
          <t>SUNNE</t>
        </is>
      </c>
      <c r="F962" t="inlineStr">
        <is>
          <t>Kyrkan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7400-2023</t>
        </is>
      </c>
      <c r="B963" s="1" t="n">
        <v>44971</v>
      </c>
      <c r="C963" s="1" t="n">
        <v>45894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35609-2025</t>
        </is>
      </c>
      <c r="B964" s="1" t="n">
        <v>45859.34877314815</v>
      </c>
      <c r="C964" s="1" t="n">
        <v>45894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1158-2025</t>
        </is>
      </c>
      <c r="B965" s="1" t="n">
        <v>45666.76282407407</v>
      </c>
      <c r="C965" s="1" t="n">
        <v>45894</v>
      </c>
      <c r="D965" t="inlineStr">
        <is>
          <t>VÄRMLANDS LÄN</t>
        </is>
      </c>
      <c r="E965" t="inlineStr">
        <is>
          <t>SUNNE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49217-2023</t>
        </is>
      </c>
      <c r="B966" s="1" t="n">
        <v>45210.61206018519</v>
      </c>
      <c r="C966" s="1" t="n">
        <v>45894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36468-2023</t>
        </is>
      </c>
      <c r="B967" s="1" t="n">
        <v>45152.67008101852</v>
      </c>
      <c r="C967" s="1" t="n">
        <v>45894</v>
      </c>
      <c r="D967" t="inlineStr">
        <is>
          <t>VÄRMLANDS LÄN</t>
        </is>
      </c>
      <c r="E967" t="inlineStr">
        <is>
          <t>SUNNE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58224-2024</t>
        </is>
      </c>
      <c r="B968" s="1" t="n">
        <v>45632.50833333333</v>
      </c>
      <c r="C968" s="1" t="n">
        <v>45894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1354-2025</t>
        </is>
      </c>
      <c r="B969" s="1" t="n">
        <v>45667</v>
      </c>
      <c r="C969" s="1" t="n">
        <v>45894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28205-2025</t>
        </is>
      </c>
      <c r="B970" s="1" t="n">
        <v>45818.44788194444</v>
      </c>
      <c r="C970" s="1" t="n">
        <v>45894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2063-2025</t>
        </is>
      </c>
      <c r="B971" s="1" t="n">
        <v>45672</v>
      </c>
      <c r="C971" s="1" t="n">
        <v>45894</v>
      </c>
      <c r="D971" t="inlineStr">
        <is>
          <t>VÄRMLANDS LÄN</t>
        </is>
      </c>
      <c r="E971" t="inlineStr">
        <is>
          <t>SUNNE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38873-2024</t>
        </is>
      </c>
      <c r="B972" s="1" t="n">
        <v>45547.64424768519</v>
      </c>
      <c r="C972" s="1" t="n">
        <v>45894</v>
      </c>
      <c r="D972" t="inlineStr">
        <is>
          <t>VÄRMLANDS LÄN</t>
        </is>
      </c>
      <c r="E972" t="inlineStr">
        <is>
          <t>SUNNE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28322-2025</t>
        </is>
      </c>
      <c r="B973" s="1" t="n">
        <v>45818.64170138889</v>
      </c>
      <c r="C973" s="1" t="n">
        <v>45894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28215-2025</t>
        </is>
      </c>
      <c r="B974" s="1" t="n">
        <v>45818.46724537037</v>
      </c>
      <c r="C974" s="1" t="n">
        <v>45894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48108-2023</t>
        </is>
      </c>
      <c r="B975" s="1" t="n">
        <v>45205.34498842592</v>
      </c>
      <c r="C975" s="1" t="n">
        <v>45894</v>
      </c>
      <c r="D975" t="inlineStr">
        <is>
          <t>VÄRMLANDS LÄN</t>
        </is>
      </c>
      <c r="E975" t="inlineStr">
        <is>
          <t>SUNNE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28525-2025</t>
        </is>
      </c>
      <c r="B976" s="1" t="n">
        <v>45819.49429398148</v>
      </c>
      <c r="C976" s="1" t="n">
        <v>45894</v>
      </c>
      <c r="D976" t="inlineStr">
        <is>
          <t>VÄRMLANDS LÄN</t>
        </is>
      </c>
      <c r="E976" t="inlineStr">
        <is>
          <t>SUNNE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47076-2023</t>
        </is>
      </c>
      <c r="B977" s="1" t="n">
        <v>45201.60648148148</v>
      </c>
      <c r="C977" s="1" t="n">
        <v>45894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60145-2022</t>
        </is>
      </c>
      <c r="B978" s="1" t="n">
        <v>44909</v>
      </c>
      <c r="C978" s="1" t="n">
        <v>45894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28627-2025</t>
        </is>
      </c>
      <c r="B979" s="1" t="n">
        <v>45819.62074074074</v>
      </c>
      <c r="C979" s="1" t="n">
        <v>45894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17830-2023</t>
        </is>
      </c>
      <c r="B980" s="1" t="n">
        <v>45037</v>
      </c>
      <c r="C980" s="1" t="n">
        <v>45894</v>
      </c>
      <c r="D980" t="inlineStr">
        <is>
          <t>VÄRMLANDS LÄN</t>
        </is>
      </c>
      <c r="E980" t="inlineStr">
        <is>
          <t>SUNNE</t>
        </is>
      </c>
      <c r="G980" t="n">
        <v>13.1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21920-2023</t>
        </is>
      </c>
      <c r="B981" s="1" t="n">
        <v>45068</v>
      </c>
      <c r="C981" s="1" t="n">
        <v>45894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35767-2025</t>
        </is>
      </c>
      <c r="B982" s="1" t="n">
        <v>45860.63605324074</v>
      </c>
      <c r="C982" s="1" t="n">
        <v>45894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30989-2023</t>
        </is>
      </c>
      <c r="B983" s="1" t="n">
        <v>45113.52239583333</v>
      </c>
      <c r="C983" s="1" t="n">
        <v>45894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7738-2025</t>
        </is>
      </c>
      <c r="B984" s="1" t="n">
        <v>45706.47546296296</v>
      </c>
      <c r="C984" s="1" t="n">
        <v>45894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35756-2025</t>
        </is>
      </c>
      <c r="B985" s="1" t="n">
        <v>45860.59840277778</v>
      </c>
      <c r="C985" s="1" t="n">
        <v>45894</v>
      </c>
      <c r="D985" t="inlineStr">
        <is>
          <t>VÄRMLANDS LÄN</t>
        </is>
      </c>
      <c r="E985" t="inlineStr">
        <is>
          <t>SUNNE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6641-2024</t>
        </is>
      </c>
      <c r="B986" s="1" t="n">
        <v>45341.65578703704</v>
      </c>
      <c r="C986" s="1" t="n">
        <v>45894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32572-2024</t>
        </is>
      </c>
      <c r="B987" s="1" t="n">
        <v>45513.56510416666</v>
      </c>
      <c r="C987" s="1" t="n">
        <v>45894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29175-2025</t>
        </is>
      </c>
      <c r="B988" s="1" t="n">
        <v>45821</v>
      </c>
      <c r="C988" s="1" t="n">
        <v>45894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28834-2025</t>
        </is>
      </c>
      <c r="B989" s="1" t="n">
        <v>45820.55716435185</v>
      </c>
      <c r="C989" s="1" t="n">
        <v>45894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4360-2025</t>
        </is>
      </c>
      <c r="B990" s="1" t="n">
        <v>45686.3312962963</v>
      </c>
      <c r="C990" s="1" t="n">
        <v>45894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38776-2024</t>
        </is>
      </c>
      <c r="B991" s="1" t="n">
        <v>45547.4672337963</v>
      </c>
      <c r="C991" s="1" t="n">
        <v>45894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29062-2025</t>
        </is>
      </c>
      <c r="B992" s="1" t="n">
        <v>45821.48908564815</v>
      </c>
      <c r="C992" s="1" t="n">
        <v>45894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56871-2023</t>
        </is>
      </c>
      <c r="B993" s="1" t="n">
        <v>45244.51956018519</v>
      </c>
      <c r="C993" s="1" t="n">
        <v>45894</v>
      </c>
      <c r="D993" t="inlineStr">
        <is>
          <t>VÄRMLANDS LÄN</t>
        </is>
      </c>
      <c r="E993" t="inlineStr">
        <is>
          <t>SUNNE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69231-2020</t>
        </is>
      </c>
      <c r="B994" s="1" t="n">
        <v>44192</v>
      </c>
      <c r="C994" s="1" t="n">
        <v>45894</v>
      </c>
      <c r="D994" t="inlineStr">
        <is>
          <t>VÄRMLANDS LÄN</t>
        </is>
      </c>
      <c r="E994" t="inlineStr">
        <is>
          <t>SUNNE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29178-2025</t>
        </is>
      </c>
      <c r="B995" s="1" t="n">
        <v>45821</v>
      </c>
      <c r="C995" s="1" t="n">
        <v>45894</v>
      </c>
      <c r="D995" t="inlineStr">
        <is>
          <t>VÄRMLANDS LÄN</t>
        </is>
      </c>
      <c r="E995" t="inlineStr">
        <is>
          <t>SUNNE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6944-2025</t>
        </is>
      </c>
      <c r="B996" s="1" t="n">
        <v>45701</v>
      </c>
      <c r="C996" s="1" t="n">
        <v>45894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183-2021</t>
        </is>
      </c>
      <c r="B997" s="1" t="n">
        <v>44200</v>
      </c>
      <c r="C997" s="1" t="n">
        <v>45894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31339-2023</t>
        </is>
      </c>
      <c r="B998" s="1" t="n">
        <v>45114</v>
      </c>
      <c r="C998" s="1" t="n">
        <v>45894</v>
      </c>
      <c r="D998" t="inlineStr">
        <is>
          <t>VÄRMLANDS LÄN</t>
        </is>
      </c>
      <c r="E998" t="inlineStr">
        <is>
          <t>SUNNE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28771-2025</t>
        </is>
      </c>
      <c r="B999" s="1" t="n">
        <v>45820.43418981481</v>
      </c>
      <c r="C999" s="1" t="n">
        <v>45894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29065-2025</t>
        </is>
      </c>
      <c r="B1000" s="1" t="n">
        <v>45821.49783564815</v>
      </c>
      <c r="C1000" s="1" t="n">
        <v>45894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36926-2024</t>
        </is>
      </c>
      <c r="B1001" s="1" t="n">
        <v>45538.66530092592</v>
      </c>
      <c r="C1001" s="1" t="n">
        <v>45894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28772-2025</t>
        </is>
      </c>
      <c r="B1002" s="1" t="n">
        <v>45820.43732638889</v>
      </c>
      <c r="C1002" s="1" t="n">
        <v>45894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24536-2023</t>
        </is>
      </c>
      <c r="B1003" s="1" t="n">
        <v>45082</v>
      </c>
      <c r="C1003" s="1" t="n">
        <v>45894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36119-2025</t>
        </is>
      </c>
      <c r="B1004" s="1" t="n">
        <v>45866</v>
      </c>
      <c r="C1004" s="1" t="n">
        <v>45894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61216-2024</t>
        </is>
      </c>
      <c r="B1005" s="1" t="n">
        <v>45644</v>
      </c>
      <c r="C1005" s="1" t="n">
        <v>45894</v>
      </c>
      <c r="D1005" t="inlineStr">
        <is>
          <t>VÄRMLANDS LÄN</t>
        </is>
      </c>
      <c r="E1005" t="inlineStr">
        <is>
          <t>SUNNE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29508-2025</t>
        </is>
      </c>
      <c r="B1006" s="1" t="n">
        <v>45825.30479166667</v>
      </c>
      <c r="C1006" s="1" t="n">
        <v>45894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15.2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834-2024</t>
        </is>
      </c>
      <c r="B1007" s="1" t="n">
        <v>45300</v>
      </c>
      <c r="C1007" s="1" t="n">
        <v>45894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statliga verk och myndigheter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29288-2025</t>
        </is>
      </c>
      <c r="B1008" s="1" t="n">
        <v>45824.43859953704</v>
      </c>
      <c r="C1008" s="1" t="n">
        <v>45894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11620-2021</t>
        </is>
      </c>
      <c r="B1009" s="1" t="n">
        <v>44264</v>
      </c>
      <c r="C1009" s="1" t="n">
        <v>45894</v>
      </c>
      <c r="D1009" t="inlineStr">
        <is>
          <t>VÄRMLANDS LÄN</t>
        </is>
      </c>
      <c r="E1009" t="inlineStr">
        <is>
          <t>SUNNE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58757-2021</t>
        </is>
      </c>
      <c r="B1010" s="1" t="n">
        <v>44489.53834490741</v>
      </c>
      <c r="C1010" s="1" t="n">
        <v>45894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3076-2024</t>
        </is>
      </c>
      <c r="B1011" s="1" t="n">
        <v>45316</v>
      </c>
      <c r="C1011" s="1" t="n">
        <v>45894</v>
      </c>
      <c r="D1011" t="inlineStr">
        <is>
          <t>VÄRMLANDS LÄN</t>
        </is>
      </c>
      <c r="E1011" t="inlineStr">
        <is>
          <t>SUNNE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3079-2024</t>
        </is>
      </c>
      <c r="B1012" s="1" t="n">
        <v>45316.43288194444</v>
      </c>
      <c r="C1012" s="1" t="n">
        <v>45894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26901-2023</t>
        </is>
      </c>
      <c r="B1013" s="1" t="n">
        <v>45093</v>
      </c>
      <c r="C1013" s="1" t="n">
        <v>45894</v>
      </c>
      <c r="D1013" t="inlineStr">
        <is>
          <t>VÄRMLANDS LÄN</t>
        </is>
      </c>
      <c r="E1013" t="inlineStr">
        <is>
          <t>SUNNE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24796-2023</t>
        </is>
      </c>
      <c r="B1014" s="1" t="n">
        <v>45084.71806712963</v>
      </c>
      <c r="C1014" s="1" t="n">
        <v>45894</v>
      </c>
      <c r="D1014" t="inlineStr">
        <is>
          <t>VÄRMLANDS LÄN</t>
        </is>
      </c>
      <c r="E1014" t="inlineStr">
        <is>
          <t>SUNNE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51786-2021</t>
        </is>
      </c>
      <c r="B1015" s="1" t="n">
        <v>44462.62216435185</v>
      </c>
      <c r="C1015" s="1" t="n">
        <v>45894</v>
      </c>
      <c r="D1015" t="inlineStr">
        <is>
          <t>VÄRMLANDS LÄN</t>
        </is>
      </c>
      <c r="E1015" t="inlineStr">
        <is>
          <t>SUNNE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12273-2025</t>
        </is>
      </c>
      <c r="B1016" s="1" t="n">
        <v>45729</v>
      </c>
      <c r="C1016" s="1" t="n">
        <v>45894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13035-2025</t>
        </is>
      </c>
      <c r="B1017" s="1" t="n">
        <v>45734.57458333333</v>
      </c>
      <c r="C1017" s="1" t="n">
        <v>45894</v>
      </c>
      <c r="D1017" t="inlineStr">
        <is>
          <t>VÄRMLANDS LÄN</t>
        </is>
      </c>
      <c r="E1017" t="inlineStr">
        <is>
          <t>SUNNE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29601-2025</t>
        </is>
      </c>
      <c r="B1018" s="1" t="n">
        <v>45825.41493055555</v>
      </c>
      <c r="C1018" s="1" t="n">
        <v>45894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50425-2023</t>
        </is>
      </c>
      <c r="B1019" s="1" t="n">
        <v>45216</v>
      </c>
      <c r="C1019" s="1" t="n">
        <v>45894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59047-2024</t>
        </is>
      </c>
      <c r="B1020" s="1" t="n">
        <v>45636.77380787037</v>
      </c>
      <c r="C1020" s="1" t="n">
        <v>45894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29824-2025</t>
        </is>
      </c>
      <c r="B1021" s="1" t="n">
        <v>45825</v>
      </c>
      <c r="C1021" s="1" t="n">
        <v>45894</v>
      </c>
      <c r="D1021" t="inlineStr">
        <is>
          <t>VÄRMLANDS LÄN</t>
        </is>
      </c>
      <c r="E1021" t="inlineStr">
        <is>
          <t>SUNNE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29825-2025</t>
        </is>
      </c>
      <c r="B1022" s="1" t="n">
        <v>45825</v>
      </c>
      <c r="C1022" s="1" t="n">
        <v>45894</v>
      </c>
      <c r="D1022" t="inlineStr">
        <is>
          <t>VÄRMLANDS LÄN</t>
        </is>
      </c>
      <c r="E1022" t="inlineStr">
        <is>
          <t>SUNNE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29304-2025</t>
        </is>
      </c>
      <c r="B1023" s="1" t="n">
        <v>45824.45938657408</v>
      </c>
      <c r="C1023" s="1" t="n">
        <v>45894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47162-2024</t>
        </is>
      </c>
      <c r="B1024" s="1" t="n">
        <v>45586.60469907407</v>
      </c>
      <c r="C1024" s="1" t="n">
        <v>45894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2977-2024</t>
        </is>
      </c>
      <c r="B1025" s="1" t="n">
        <v>45315.68362268519</v>
      </c>
      <c r="C1025" s="1" t="n">
        <v>45894</v>
      </c>
      <c r="D1025" t="inlineStr">
        <is>
          <t>VÄRMLANDS LÄN</t>
        </is>
      </c>
      <c r="E1025" t="inlineStr">
        <is>
          <t>SUNNE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38361-2022</t>
        </is>
      </c>
      <c r="B1026" s="1" t="n">
        <v>44812</v>
      </c>
      <c r="C1026" s="1" t="n">
        <v>45894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36097-2025</t>
        </is>
      </c>
      <c r="B1027" s="1" t="n">
        <v>45866.49163194445</v>
      </c>
      <c r="C1027" s="1" t="n">
        <v>45894</v>
      </c>
      <c r="D1027" t="inlineStr">
        <is>
          <t>VÄRMLANDS LÄN</t>
        </is>
      </c>
      <c r="E1027" t="inlineStr">
        <is>
          <t>SUNNE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1626-2023</t>
        </is>
      </c>
      <c r="B1028" s="1" t="n">
        <v>44937</v>
      </c>
      <c r="C1028" s="1" t="n">
        <v>45894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30006-2025</t>
        </is>
      </c>
      <c r="B1029" s="1" t="n">
        <v>45826.53123842592</v>
      </c>
      <c r="C1029" s="1" t="n">
        <v>45894</v>
      </c>
      <c r="D1029" t="inlineStr">
        <is>
          <t>VÄRMLANDS LÄN</t>
        </is>
      </c>
      <c r="E1029" t="inlineStr">
        <is>
          <t>SUNNE</t>
        </is>
      </c>
      <c r="F1029" t="inlineStr">
        <is>
          <t>Kommuner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13618-2022</t>
        </is>
      </c>
      <c r="B1030" s="1" t="n">
        <v>44648.5796412037</v>
      </c>
      <c r="C1030" s="1" t="n">
        <v>45894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36550-2023</t>
        </is>
      </c>
      <c r="B1031" s="1" t="n">
        <v>45153.38835648148</v>
      </c>
      <c r="C1031" s="1" t="n">
        <v>45894</v>
      </c>
      <c r="D1031" t="inlineStr">
        <is>
          <t>VÄRMLANDS LÄN</t>
        </is>
      </c>
      <c r="E1031" t="inlineStr">
        <is>
          <t>SUNNE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9900-2023</t>
        </is>
      </c>
      <c r="B1032" s="1" t="n">
        <v>44985.37166666667</v>
      </c>
      <c r="C1032" s="1" t="n">
        <v>45894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30974-2023</t>
        </is>
      </c>
      <c r="B1033" s="1" t="n">
        <v>45113</v>
      </c>
      <c r="C1033" s="1" t="n">
        <v>45894</v>
      </c>
      <c r="D1033" t="inlineStr">
        <is>
          <t>VÄRMLANDS LÄN</t>
        </is>
      </c>
      <c r="E1033" t="inlineStr">
        <is>
          <t>SUNNE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28235-2024</t>
        </is>
      </c>
      <c r="B1034" s="1" t="n">
        <v>45477.38921296296</v>
      </c>
      <c r="C1034" s="1" t="n">
        <v>45894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30027-2025</t>
        </is>
      </c>
      <c r="B1035" s="1" t="n">
        <v>45826.56497685185</v>
      </c>
      <c r="C1035" s="1" t="n">
        <v>45894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53749-2021</t>
        </is>
      </c>
      <c r="B1036" s="1" t="n">
        <v>44469</v>
      </c>
      <c r="C1036" s="1" t="n">
        <v>45894</v>
      </c>
      <c r="D1036" t="inlineStr">
        <is>
          <t>VÄRMLANDS LÄN</t>
        </is>
      </c>
      <c r="E1036" t="inlineStr">
        <is>
          <t>SUNNE</t>
        </is>
      </c>
      <c r="F1036" t="inlineStr">
        <is>
          <t>Kyrkan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1633-2025</t>
        </is>
      </c>
      <c r="B1037" s="1" t="n">
        <v>45670.63444444445</v>
      </c>
      <c r="C1037" s="1" t="n">
        <v>45894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2332-2025</t>
        </is>
      </c>
      <c r="B1038" s="1" t="n">
        <v>45673.64961805556</v>
      </c>
      <c r="C1038" s="1" t="n">
        <v>45894</v>
      </c>
      <c r="D1038" t="inlineStr">
        <is>
          <t>VÄRMLANDS LÄN</t>
        </is>
      </c>
      <c r="E1038" t="inlineStr">
        <is>
          <t>SUNNE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12527-2024</t>
        </is>
      </c>
      <c r="B1039" s="1" t="n">
        <v>45379.61871527778</v>
      </c>
      <c r="C1039" s="1" t="n">
        <v>45894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23027-2023</t>
        </is>
      </c>
      <c r="B1040" s="1" t="n">
        <v>45074</v>
      </c>
      <c r="C1040" s="1" t="n">
        <v>45894</v>
      </c>
      <c r="D1040" t="inlineStr">
        <is>
          <t>VÄRMLANDS LÄN</t>
        </is>
      </c>
      <c r="E1040" t="inlineStr">
        <is>
          <t>SUNNE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42388-2022</t>
        </is>
      </c>
      <c r="B1041" s="1" t="n">
        <v>44831</v>
      </c>
      <c r="C1041" s="1" t="n">
        <v>45894</v>
      </c>
      <c r="D1041" t="inlineStr">
        <is>
          <t>VÄRMLANDS LÄN</t>
        </is>
      </c>
      <c r="E1041" t="inlineStr">
        <is>
          <t>SUNNE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9445-2024</t>
        </is>
      </c>
      <c r="B1042" s="1" t="n">
        <v>45359.50938657407</v>
      </c>
      <c r="C1042" s="1" t="n">
        <v>45894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46790-2024</t>
        </is>
      </c>
      <c r="B1043" s="1" t="n">
        <v>45583</v>
      </c>
      <c r="C1043" s="1" t="n">
        <v>45894</v>
      </c>
      <c r="D1043" t="inlineStr">
        <is>
          <t>VÄRMLANDS LÄN</t>
        </is>
      </c>
      <c r="E1043" t="inlineStr">
        <is>
          <t>SUNNE</t>
        </is>
      </c>
      <c r="F1043" t="inlineStr">
        <is>
          <t>Kommuner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60999-2024</t>
        </is>
      </c>
      <c r="B1044" s="1" t="n">
        <v>45645.43425925926</v>
      </c>
      <c r="C1044" s="1" t="n">
        <v>45894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44860-2022</t>
        </is>
      </c>
      <c r="B1045" s="1" t="n">
        <v>44841</v>
      </c>
      <c r="C1045" s="1" t="n">
        <v>45894</v>
      </c>
      <c r="D1045" t="inlineStr">
        <is>
          <t>VÄRMLANDS LÄN</t>
        </is>
      </c>
      <c r="E1045" t="inlineStr">
        <is>
          <t>SUNNE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37666-2023</t>
        </is>
      </c>
      <c r="B1046" s="1" t="n">
        <v>45159</v>
      </c>
      <c r="C1046" s="1" t="n">
        <v>45894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18740-2024</t>
        </is>
      </c>
      <c r="B1047" s="1" t="n">
        <v>45426.49829861111</v>
      </c>
      <c r="C1047" s="1" t="n">
        <v>45894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30041-2025</t>
        </is>
      </c>
      <c r="B1048" s="1" t="n">
        <v>45826.57394675926</v>
      </c>
      <c r="C1048" s="1" t="n">
        <v>45894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1759-2022</t>
        </is>
      </c>
      <c r="B1049" s="1" t="n">
        <v>44574</v>
      </c>
      <c r="C1049" s="1" t="n">
        <v>45894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2519-2022</t>
        </is>
      </c>
      <c r="B1050" s="1" t="n">
        <v>44579</v>
      </c>
      <c r="C1050" s="1" t="n">
        <v>45894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269-2025</t>
        </is>
      </c>
      <c r="B1051" s="1" t="n">
        <v>45660</v>
      </c>
      <c r="C1051" s="1" t="n">
        <v>45894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29948-2025</t>
        </is>
      </c>
      <c r="B1052" s="1" t="n">
        <v>45826.46422453703</v>
      </c>
      <c r="C1052" s="1" t="n">
        <v>45894</v>
      </c>
      <c r="D1052" t="inlineStr">
        <is>
          <t>VÄRMLANDS LÄN</t>
        </is>
      </c>
      <c r="E1052" t="inlineStr">
        <is>
          <t>SUNNE</t>
        </is>
      </c>
      <c r="F1052" t="inlineStr">
        <is>
          <t>Kyrkan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52580-2024</t>
        </is>
      </c>
      <c r="B1053" s="1" t="n">
        <v>45609</v>
      </c>
      <c r="C1053" s="1" t="n">
        <v>45894</v>
      </c>
      <c r="D1053" t="inlineStr">
        <is>
          <t>VÄRMLANDS LÄN</t>
        </is>
      </c>
      <c r="E1053" t="inlineStr">
        <is>
          <t>SUNNE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29967-2025</t>
        </is>
      </c>
      <c r="B1054" s="1" t="n">
        <v>45826.48854166667</v>
      </c>
      <c r="C1054" s="1" t="n">
        <v>45894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11505-2024</t>
        </is>
      </c>
      <c r="B1055" s="1" t="n">
        <v>45372</v>
      </c>
      <c r="C1055" s="1" t="n">
        <v>45894</v>
      </c>
      <c r="D1055" t="inlineStr">
        <is>
          <t>VÄRMLANDS LÄN</t>
        </is>
      </c>
      <c r="E1055" t="inlineStr">
        <is>
          <t>SUNNE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18801-2025</t>
        </is>
      </c>
      <c r="B1056" s="1" t="n">
        <v>45764</v>
      </c>
      <c r="C1056" s="1" t="n">
        <v>45894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18353-2025</t>
        </is>
      </c>
      <c r="B1057" s="1" t="n">
        <v>45762</v>
      </c>
      <c r="C1057" s="1" t="n">
        <v>45894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18359-2025</t>
        </is>
      </c>
      <c r="B1058" s="1" t="n">
        <v>45762</v>
      </c>
      <c r="C1058" s="1" t="n">
        <v>45894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59694-2022</t>
        </is>
      </c>
      <c r="B1059" s="1" t="n">
        <v>44908.38121527778</v>
      </c>
      <c r="C1059" s="1" t="n">
        <v>45894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56652-2022</t>
        </is>
      </c>
      <c r="B1060" s="1" t="n">
        <v>44893.63410879629</v>
      </c>
      <c r="C1060" s="1" t="n">
        <v>45894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6362-2023</t>
        </is>
      </c>
      <c r="B1061" s="1" t="n">
        <v>44965</v>
      </c>
      <c r="C1061" s="1" t="n">
        <v>45894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20637-2021</t>
        </is>
      </c>
      <c r="B1062" s="1" t="n">
        <v>44316.40224537037</v>
      </c>
      <c r="C1062" s="1" t="n">
        <v>45894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44900.3946412037</v>
      </c>
      <c r="C1063" s="1" t="n">
        <v>45894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6403-2023</t>
        </is>
      </c>
      <c r="B1064" s="1" t="n">
        <v>44965</v>
      </c>
      <c r="C1064" s="1" t="n">
        <v>45894</v>
      </c>
      <c r="D1064" t="inlineStr">
        <is>
          <t>VÄRMLANDS LÄN</t>
        </is>
      </c>
      <c r="E1064" t="inlineStr">
        <is>
          <t>SUNNE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51849-2021</t>
        </is>
      </c>
      <c r="B1065" s="1" t="n">
        <v>44462</v>
      </c>
      <c r="C1065" s="1" t="n">
        <v>45894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262-2023</t>
        </is>
      </c>
      <c r="B1066" s="1" t="n">
        <v>44928</v>
      </c>
      <c r="C1066" s="1" t="n">
        <v>45894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24521-2024</t>
        </is>
      </c>
      <c r="B1067" s="1" t="n">
        <v>45460</v>
      </c>
      <c r="C1067" s="1" t="n">
        <v>45894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52309-2024</t>
        </is>
      </c>
      <c r="B1068" s="1" t="n">
        <v>45608.82700231481</v>
      </c>
      <c r="C1068" s="1" t="n">
        <v>45894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40174-2021</t>
        </is>
      </c>
      <c r="B1069" s="1" t="n">
        <v>44418</v>
      </c>
      <c r="C1069" s="1" t="n">
        <v>45894</v>
      </c>
      <c r="D1069" t="inlineStr">
        <is>
          <t>VÄRMLANDS LÄN</t>
        </is>
      </c>
      <c r="E1069" t="inlineStr">
        <is>
          <t>SUNNE</t>
        </is>
      </c>
      <c r="F1069" t="inlineStr">
        <is>
          <t>Övriga Aktiebolag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36822-2025</t>
        </is>
      </c>
      <c r="B1070" s="1" t="n">
        <v>45873.9018287037</v>
      </c>
      <c r="C1070" s="1" t="n">
        <v>45894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30832-2024</t>
        </is>
      </c>
      <c r="B1071" s="1" t="n">
        <v>45497.55288194444</v>
      </c>
      <c r="C1071" s="1" t="n">
        <v>45894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9769-2021</t>
        </is>
      </c>
      <c r="B1072" s="1" t="n">
        <v>44252.62789351852</v>
      </c>
      <c r="C1072" s="1" t="n">
        <v>45894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30942-2025</t>
        </is>
      </c>
      <c r="B1073" s="1" t="n">
        <v>45832.40898148148</v>
      </c>
      <c r="C1073" s="1" t="n">
        <v>45894</v>
      </c>
      <c r="D1073" t="inlineStr">
        <is>
          <t>VÄRMLANDS LÄN</t>
        </is>
      </c>
      <c r="E1073" t="inlineStr">
        <is>
          <t>SUNNE</t>
        </is>
      </c>
      <c r="F1073" t="inlineStr">
        <is>
          <t>Kyrkan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63095-2023</t>
        </is>
      </c>
      <c r="B1074" s="1" t="n">
        <v>45273.39255787037</v>
      </c>
      <c r="C1074" s="1" t="n">
        <v>45894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52521-2023</t>
        </is>
      </c>
      <c r="B1075" s="1" t="n">
        <v>45225.50306712963</v>
      </c>
      <c r="C1075" s="1" t="n">
        <v>45894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32393-2022</t>
        </is>
      </c>
      <c r="B1076" s="1" t="n">
        <v>44781</v>
      </c>
      <c r="C1076" s="1" t="n">
        <v>45894</v>
      </c>
      <c r="D1076" t="inlineStr">
        <is>
          <t>VÄRMLANDS LÄN</t>
        </is>
      </c>
      <c r="E1076" t="inlineStr">
        <is>
          <t>SUNNE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62183-2022</t>
        </is>
      </c>
      <c r="B1077" s="1" t="n">
        <v>44922.55553240741</v>
      </c>
      <c r="C1077" s="1" t="n">
        <v>45894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20236-2022</t>
        </is>
      </c>
      <c r="B1078" s="1" t="n">
        <v>44698</v>
      </c>
      <c r="C1078" s="1" t="n">
        <v>45894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23406-2022</t>
        </is>
      </c>
      <c r="B1079" s="1" t="n">
        <v>44720</v>
      </c>
      <c r="C1079" s="1" t="n">
        <v>45894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68452-2020</t>
        </is>
      </c>
      <c r="B1080" s="1" t="n">
        <v>44186</v>
      </c>
      <c r="C1080" s="1" t="n">
        <v>45894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38169-2023</t>
        </is>
      </c>
      <c r="B1081" s="1" t="n">
        <v>45161</v>
      </c>
      <c r="C1081" s="1" t="n">
        <v>45894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36923-2025</t>
        </is>
      </c>
      <c r="B1082" s="1" t="n">
        <v>45874.54039351852</v>
      </c>
      <c r="C1082" s="1" t="n">
        <v>45894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60701-2024</t>
        </is>
      </c>
      <c r="B1083" s="1" t="n">
        <v>45644.48877314815</v>
      </c>
      <c r="C1083" s="1" t="n">
        <v>45894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50346-2023</t>
        </is>
      </c>
      <c r="B1084" s="1" t="n">
        <v>45216.57738425926</v>
      </c>
      <c r="C1084" s="1" t="n">
        <v>45894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50815-2024</t>
        </is>
      </c>
      <c r="B1085" s="1" t="n">
        <v>45602.55113425926</v>
      </c>
      <c r="C1085" s="1" t="n">
        <v>45894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64446-2023</t>
        </is>
      </c>
      <c r="B1086" s="1" t="n">
        <v>45280</v>
      </c>
      <c r="C1086" s="1" t="n">
        <v>45894</v>
      </c>
      <c r="D1086" t="inlineStr">
        <is>
          <t>VÄRMLANDS LÄN</t>
        </is>
      </c>
      <c r="E1086" t="inlineStr">
        <is>
          <t>SUNNE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9753-2025</t>
        </is>
      </c>
      <c r="B1087" s="1" t="n">
        <v>45716</v>
      </c>
      <c r="C1087" s="1" t="n">
        <v>45894</v>
      </c>
      <c r="D1087" t="inlineStr">
        <is>
          <t>VÄRMLANDS LÄN</t>
        </is>
      </c>
      <c r="E1087" t="inlineStr">
        <is>
          <t>SUNNE</t>
        </is>
      </c>
      <c r="G1087" t="n">
        <v>13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37006-2025</t>
        </is>
      </c>
      <c r="B1088" s="1" t="n">
        <v>45874</v>
      </c>
      <c r="C1088" s="1" t="n">
        <v>45894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44914.34523148148</v>
      </c>
      <c r="C1089" s="1" t="n">
        <v>45894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45894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47456-2023</t>
        </is>
      </c>
      <c r="B1091" s="1" t="n">
        <v>45202</v>
      </c>
      <c r="C1091" s="1" t="n">
        <v>45894</v>
      </c>
      <c r="D1091" t="inlineStr">
        <is>
          <t>VÄRMLANDS LÄN</t>
        </is>
      </c>
      <c r="E1091" t="inlineStr">
        <is>
          <t>SUNNE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36829-2025</t>
        </is>
      </c>
      <c r="B1092" s="1" t="n">
        <v>45874.34097222222</v>
      </c>
      <c r="C1092" s="1" t="n">
        <v>45894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36867-2025</t>
        </is>
      </c>
      <c r="B1093" s="1" t="n">
        <v>45874.42763888889</v>
      </c>
      <c r="C1093" s="1" t="n">
        <v>45894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8692-2023</t>
        </is>
      </c>
      <c r="B1094" s="1" t="n">
        <v>44978.33378472222</v>
      </c>
      <c r="C1094" s="1" t="n">
        <v>45894</v>
      </c>
      <c r="D1094" t="inlineStr">
        <is>
          <t>VÄRMLANDS LÄN</t>
        </is>
      </c>
      <c r="E1094" t="inlineStr">
        <is>
          <t>SUNNE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11912-2023</t>
        </is>
      </c>
      <c r="B1095" s="1" t="n">
        <v>44995.46153935185</v>
      </c>
      <c r="C1095" s="1" t="n">
        <v>45894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6697-2022</t>
        </is>
      </c>
      <c r="B1096" s="1" t="n">
        <v>44602.42381944445</v>
      </c>
      <c r="C1096" s="1" t="n">
        <v>45894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44896-2021</t>
        </is>
      </c>
      <c r="B1097" s="1" t="n">
        <v>44438</v>
      </c>
      <c r="C1097" s="1" t="n">
        <v>45894</v>
      </c>
      <c r="D1097" t="inlineStr">
        <is>
          <t>VÄRMLANDS LÄN</t>
        </is>
      </c>
      <c r="E1097" t="inlineStr">
        <is>
          <t>SUNNE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36875-2025</t>
        </is>
      </c>
      <c r="B1098" s="1" t="n">
        <v>45874.43059027778</v>
      </c>
      <c r="C1098" s="1" t="n">
        <v>45894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36898-2025</t>
        </is>
      </c>
      <c r="B1099" s="1" t="n">
        <v>45874.47643518518</v>
      </c>
      <c r="C1099" s="1" t="n">
        <v>45894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36885-2025</t>
        </is>
      </c>
      <c r="B1100" s="1" t="n">
        <v>45874.4428125</v>
      </c>
      <c r="C1100" s="1" t="n">
        <v>45894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15741-2025</t>
        </is>
      </c>
      <c r="B1101" s="1" t="n">
        <v>45747</v>
      </c>
      <c r="C1101" s="1" t="n">
        <v>45894</v>
      </c>
      <c r="D1101" t="inlineStr">
        <is>
          <t>VÄRMLANDS LÄN</t>
        </is>
      </c>
      <c r="E1101" t="inlineStr">
        <is>
          <t>SUNNE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15752-2025</t>
        </is>
      </c>
      <c r="B1102" s="1" t="n">
        <v>45748.55623842592</v>
      </c>
      <c r="C1102" s="1" t="n">
        <v>45894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19454-2022</t>
        </is>
      </c>
      <c r="B1103" s="1" t="n">
        <v>44693</v>
      </c>
      <c r="C1103" s="1" t="n">
        <v>45894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6037-2023</t>
        </is>
      </c>
      <c r="B1104" s="1" t="n">
        <v>44964.45631944444</v>
      </c>
      <c r="C1104" s="1" t="n">
        <v>45894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8911-2024</t>
        </is>
      </c>
      <c r="B1105" s="1" t="n">
        <v>45357</v>
      </c>
      <c r="C1105" s="1" t="n">
        <v>45894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6566-2023</t>
        </is>
      </c>
      <c r="B1106" s="1" t="n">
        <v>44966</v>
      </c>
      <c r="C1106" s="1" t="n">
        <v>45894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44312-2024</t>
        </is>
      </c>
      <c r="B1107" s="1" t="n">
        <v>45573</v>
      </c>
      <c r="C1107" s="1" t="n">
        <v>45894</v>
      </c>
      <c r="D1107" t="inlineStr">
        <is>
          <t>VÄRMLANDS LÄN</t>
        </is>
      </c>
      <c r="E1107" t="inlineStr">
        <is>
          <t>SUNNE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19494-2023</t>
        </is>
      </c>
      <c r="B1108" s="1" t="n">
        <v>45050</v>
      </c>
      <c r="C1108" s="1" t="n">
        <v>45894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12442-2022</t>
        </is>
      </c>
      <c r="B1109" s="1" t="n">
        <v>44638</v>
      </c>
      <c r="C1109" s="1" t="n">
        <v>45894</v>
      </c>
      <c r="D1109" t="inlineStr">
        <is>
          <t>VÄRMLANDS LÄN</t>
        </is>
      </c>
      <c r="E1109" t="inlineStr">
        <is>
          <t>SUNNE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32118-2025</t>
        </is>
      </c>
      <c r="B1110" s="1" t="n">
        <v>45835.48957175926</v>
      </c>
      <c r="C1110" s="1" t="n">
        <v>45894</v>
      </c>
      <c r="D1110" t="inlineStr">
        <is>
          <t>VÄRMLANDS LÄN</t>
        </is>
      </c>
      <c r="E1110" t="inlineStr">
        <is>
          <t>SUNNE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50753-2024</t>
        </is>
      </c>
      <c r="B1111" s="1" t="n">
        <v>45602.42717592593</v>
      </c>
      <c r="C1111" s="1" t="n">
        <v>45894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31975-2025</t>
        </is>
      </c>
      <c r="B1112" s="1" t="n">
        <v>45835.35438657407</v>
      </c>
      <c r="C1112" s="1" t="n">
        <v>45894</v>
      </c>
      <c r="D1112" t="inlineStr">
        <is>
          <t>VÄRMLANDS LÄN</t>
        </is>
      </c>
      <c r="E1112" t="inlineStr">
        <is>
          <t>SUNNE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45665-2023</t>
        </is>
      </c>
      <c r="B1113" s="1" t="n">
        <v>45194</v>
      </c>
      <c r="C1113" s="1" t="n">
        <v>45894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53-2023</t>
        </is>
      </c>
      <c r="B1114" s="1" t="n">
        <v>44928.4027199074</v>
      </c>
      <c r="C1114" s="1" t="n">
        <v>45894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37481-2025</t>
        </is>
      </c>
      <c r="B1115" s="1" t="n">
        <v>45877.61613425926</v>
      </c>
      <c r="C1115" s="1" t="n">
        <v>45894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21632-2024</t>
        </is>
      </c>
      <c r="B1116" s="1" t="n">
        <v>45442.33895833333</v>
      </c>
      <c r="C1116" s="1" t="n">
        <v>45894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309-2021</t>
        </is>
      </c>
      <c r="B1117" s="1" t="n">
        <v>44201</v>
      </c>
      <c r="C1117" s="1" t="n">
        <v>45894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4566-2022</t>
        </is>
      </c>
      <c r="B1118" s="1" t="n">
        <v>44591.63807870371</v>
      </c>
      <c r="C1118" s="1" t="n">
        <v>45894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31713-2025</t>
        </is>
      </c>
      <c r="B1119" s="1" t="n">
        <v>45834.45006944444</v>
      </c>
      <c r="C1119" s="1" t="n">
        <v>45894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29001-2023</t>
        </is>
      </c>
      <c r="B1120" s="1" t="n">
        <v>45104.63811342593</v>
      </c>
      <c r="C1120" s="1" t="n">
        <v>45894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72781-2021</t>
        </is>
      </c>
      <c r="B1121" s="1" t="n">
        <v>44547.33819444444</v>
      </c>
      <c r="C1121" s="1" t="n">
        <v>45894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20156-2023</t>
        </is>
      </c>
      <c r="B1122" s="1" t="n">
        <v>45055</v>
      </c>
      <c r="C1122" s="1" t="n">
        <v>45894</v>
      </c>
      <c r="D1122" t="inlineStr">
        <is>
          <t>VÄRMLANDS LÄN</t>
        </is>
      </c>
      <c r="E1122" t="inlineStr">
        <is>
          <t>SUNNE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10394-2024</t>
        </is>
      </c>
      <c r="B1123" s="1" t="n">
        <v>45365.66694444444</v>
      </c>
      <c r="C1123" s="1" t="n">
        <v>45894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26608-2023</t>
        </is>
      </c>
      <c r="B1124" s="1" t="n">
        <v>45092</v>
      </c>
      <c r="C1124" s="1" t="n">
        <v>45894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38435-2023</t>
        </is>
      </c>
      <c r="B1125" s="1" t="n">
        <v>45162</v>
      </c>
      <c r="C1125" s="1" t="n">
        <v>45894</v>
      </c>
      <c r="D1125" t="inlineStr">
        <is>
          <t>VÄRMLANDS LÄN</t>
        </is>
      </c>
      <c r="E1125" t="inlineStr">
        <is>
          <t>SUNNE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34553-2024</t>
        </is>
      </c>
      <c r="B1126" s="1" t="n">
        <v>45525</v>
      </c>
      <c r="C1126" s="1" t="n">
        <v>45894</v>
      </c>
      <c r="D1126" t="inlineStr">
        <is>
          <t>VÄRMLANDS LÄN</t>
        </is>
      </c>
      <c r="E1126" t="inlineStr">
        <is>
          <t>SUNNE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42447-2023</t>
        </is>
      </c>
      <c r="B1127" s="1" t="n">
        <v>45180</v>
      </c>
      <c r="C1127" s="1" t="n">
        <v>45894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9742-2025</t>
        </is>
      </c>
      <c r="B1128" s="1" t="n">
        <v>45716</v>
      </c>
      <c r="C1128" s="1" t="n">
        <v>45894</v>
      </c>
      <c r="D1128" t="inlineStr">
        <is>
          <t>VÄRMLANDS LÄN</t>
        </is>
      </c>
      <c r="E1128" t="inlineStr">
        <is>
          <t>SUNNE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1958-2024</t>
        </is>
      </c>
      <c r="B1129" s="1" t="n">
        <v>45308</v>
      </c>
      <c r="C1129" s="1" t="n">
        <v>45894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59288-2024</t>
        </is>
      </c>
      <c r="B1130" s="1" t="n">
        <v>45636</v>
      </c>
      <c r="C1130" s="1" t="n">
        <v>45894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25797-2024</t>
        </is>
      </c>
      <c r="B1131" s="1" t="n">
        <v>45467.35356481482</v>
      </c>
      <c r="C1131" s="1" t="n">
        <v>45894</v>
      </c>
      <c r="D1131" t="inlineStr">
        <is>
          <t>VÄRMLANDS LÄN</t>
        </is>
      </c>
      <c r="E1131" t="inlineStr">
        <is>
          <t>SUNNE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4022-2025</t>
        </is>
      </c>
      <c r="B1132" s="1" t="n">
        <v>45684.59275462963</v>
      </c>
      <c r="C1132" s="1" t="n">
        <v>45894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48028-2023</t>
        </is>
      </c>
      <c r="B1133" s="1" t="n">
        <v>45204.7071875</v>
      </c>
      <c r="C1133" s="1" t="n">
        <v>45894</v>
      </c>
      <c r="D1133" t="inlineStr">
        <is>
          <t>VÄRMLANDS LÄN</t>
        </is>
      </c>
      <c r="E1133" t="inlineStr">
        <is>
          <t>SUNNE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48053-2023</t>
        </is>
      </c>
      <c r="B1134" s="1" t="n">
        <v>45204</v>
      </c>
      <c r="C1134" s="1" t="n">
        <v>45894</v>
      </c>
      <c r="D1134" t="inlineStr">
        <is>
          <t>VÄRMLANDS LÄN</t>
        </is>
      </c>
      <c r="E1134" t="inlineStr">
        <is>
          <t>SUNNE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46071-2023</t>
        </is>
      </c>
      <c r="B1135" s="1" t="n">
        <v>45196.46587962963</v>
      </c>
      <c r="C1135" s="1" t="n">
        <v>45894</v>
      </c>
      <c r="D1135" t="inlineStr">
        <is>
          <t>VÄRMLANDS LÄN</t>
        </is>
      </c>
      <c r="E1135" t="inlineStr">
        <is>
          <t>SUNNE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49683-2023</t>
        </is>
      </c>
      <c r="B1136" s="1" t="n">
        <v>45212</v>
      </c>
      <c r="C1136" s="1" t="n">
        <v>45894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17030-2023</t>
        </is>
      </c>
      <c r="B1137" s="1" t="n">
        <v>45034.39105324074</v>
      </c>
      <c r="C1137" s="1" t="n">
        <v>45894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58097-2022</t>
        </is>
      </c>
      <c r="B1138" s="1" t="n">
        <v>44900.63787037037</v>
      </c>
      <c r="C1138" s="1" t="n">
        <v>45894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26302-2023</t>
        </is>
      </c>
      <c r="B1139" s="1" t="n">
        <v>45091</v>
      </c>
      <c r="C1139" s="1" t="n">
        <v>45894</v>
      </c>
      <c r="D1139" t="inlineStr">
        <is>
          <t>VÄRMLANDS LÄN</t>
        </is>
      </c>
      <c r="E1139" t="inlineStr">
        <is>
          <t>SUNNE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1304-2025</t>
        </is>
      </c>
      <c r="B1140" s="1" t="n">
        <v>45667.54837962963</v>
      </c>
      <c r="C1140" s="1" t="n">
        <v>45894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23728-2023</t>
        </is>
      </c>
      <c r="B1141" s="1" t="n">
        <v>45077</v>
      </c>
      <c r="C1141" s="1" t="n">
        <v>45894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28925-2023</t>
        </is>
      </c>
      <c r="B1142" s="1" t="n">
        <v>45104</v>
      </c>
      <c r="C1142" s="1" t="n">
        <v>45894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978-2023</t>
        </is>
      </c>
      <c r="B1143" s="1" t="n">
        <v>44935</v>
      </c>
      <c r="C1143" s="1" t="n">
        <v>45894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18389-2025</t>
        </is>
      </c>
      <c r="B1144" s="1" t="n">
        <v>45762</v>
      </c>
      <c r="C1144" s="1" t="n">
        <v>45894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10252-2024</t>
        </is>
      </c>
      <c r="B1145" s="1" t="n">
        <v>45365</v>
      </c>
      <c r="C1145" s="1" t="n">
        <v>45894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31525-2021</t>
        </is>
      </c>
      <c r="B1146" s="1" t="n">
        <v>44369</v>
      </c>
      <c r="C1146" s="1" t="n">
        <v>45894</v>
      </c>
      <c r="D1146" t="inlineStr">
        <is>
          <t>VÄRMLANDS LÄN</t>
        </is>
      </c>
      <c r="E1146" t="inlineStr">
        <is>
          <t>SUNNE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51851-2023</t>
        </is>
      </c>
      <c r="B1147" s="1" t="n">
        <v>45223.34915509259</v>
      </c>
      <c r="C1147" s="1" t="n">
        <v>45894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19340-2022</t>
        </is>
      </c>
      <c r="B1148" s="1" t="n">
        <v>44692.64092592592</v>
      </c>
      <c r="C1148" s="1" t="n">
        <v>45894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37312-2025</t>
        </is>
      </c>
      <c r="B1149" s="1" t="n">
        <v>45876.60413194444</v>
      </c>
      <c r="C1149" s="1" t="n">
        <v>45894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58129-2022</t>
        </is>
      </c>
      <c r="B1150" s="1" t="n">
        <v>44900</v>
      </c>
      <c r="C1150" s="1" t="n">
        <v>45894</v>
      </c>
      <c r="D1150" t="inlineStr">
        <is>
          <t>VÄRMLANDS LÄN</t>
        </is>
      </c>
      <c r="E1150" t="inlineStr">
        <is>
          <t>SUNNE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37382-2025</t>
        </is>
      </c>
      <c r="B1151" s="1" t="n">
        <v>45877.37577546296</v>
      </c>
      <c r="C1151" s="1" t="n">
        <v>45894</v>
      </c>
      <c r="D1151" t="inlineStr">
        <is>
          <t>VÄRMLANDS LÄN</t>
        </is>
      </c>
      <c r="E1151" t="inlineStr">
        <is>
          <t>SUNNE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14877-2025</t>
        </is>
      </c>
      <c r="B1152" s="1" t="n">
        <v>45743.46116898148</v>
      </c>
      <c r="C1152" s="1" t="n">
        <v>45894</v>
      </c>
      <c r="D1152" t="inlineStr">
        <is>
          <t>VÄRMLANDS LÄN</t>
        </is>
      </c>
      <c r="E1152" t="inlineStr">
        <is>
          <t>SUNNE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37483-2025</t>
        </is>
      </c>
      <c r="B1153" s="1" t="n">
        <v>45877.61876157407</v>
      </c>
      <c r="C1153" s="1" t="n">
        <v>45894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37314-2025</t>
        </is>
      </c>
      <c r="B1154" s="1" t="n">
        <v>45876.61037037037</v>
      </c>
      <c r="C1154" s="1" t="n">
        <v>45894</v>
      </c>
      <c r="D1154" t="inlineStr">
        <is>
          <t>VÄRMLANDS LÄN</t>
        </is>
      </c>
      <c r="E1154" t="inlineStr">
        <is>
          <t>SUNNE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50775-2024</t>
        </is>
      </c>
      <c r="B1155" s="1" t="n">
        <v>45602</v>
      </c>
      <c r="C1155" s="1" t="n">
        <v>45894</v>
      </c>
      <c r="D1155" t="inlineStr">
        <is>
          <t>VÄRMLANDS LÄN</t>
        </is>
      </c>
      <c r="E1155" t="inlineStr">
        <is>
          <t>SUNNE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7654-2025</t>
        </is>
      </c>
      <c r="B1156" s="1" t="n">
        <v>45705</v>
      </c>
      <c r="C1156" s="1" t="n">
        <v>45894</v>
      </c>
      <c r="D1156" t="inlineStr">
        <is>
          <t>VÄRMLANDS LÄN</t>
        </is>
      </c>
      <c r="E1156" t="inlineStr">
        <is>
          <t>SUNNE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32616-2025</t>
        </is>
      </c>
      <c r="B1157" s="1" t="n">
        <v>45838.64261574074</v>
      </c>
      <c r="C1157" s="1" t="n">
        <v>45894</v>
      </c>
      <c r="D1157" t="inlineStr">
        <is>
          <t>VÄRMLANDS LÄN</t>
        </is>
      </c>
      <c r="E1157" t="inlineStr">
        <is>
          <t>SUNNE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50130-2023</t>
        </is>
      </c>
      <c r="B1158" s="1" t="n">
        <v>45215.65230324074</v>
      </c>
      <c r="C1158" s="1" t="n">
        <v>45894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2930-2022</t>
        </is>
      </c>
      <c r="B1159" s="1" t="n">
        <v>44581</v>
      </c>
      <c r="C1159" s="1" t="n">
        <v>45894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32994-2025</t>
        </is>
      </c>
      <c r="B1160" s="1" t="n">
        <v>45839</v>
      </c>
      <c r="C1160" s="1" t="n">
        <v>45894</v>
      </c>
      <c r="D1160" t="inlineStr">
        <is>
          <t>VÄRMLANDS LÄN</t>
        </is>
      </c>
      <c r="E1160" t="inlineStr">
        <is>
          <t>SUNNE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37629-2025</t>
        </is>
      </c>
      <c r="B1161" s="1" t="n">
        <v>45880.46224537037</v>
      </c>
      <c r="C1161" s="1" t="n">
        <v>45894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42985-2023</t>
        </is>
      </c>
      <c r="B1162" s="1" t="n">
        <v>45182</v>
      </c>
      <c r="C1162" s="1" t="n">
        <v>45894</v>
      </c>
      <c r="D1162" t="inlineStr">
        <is>
          <t>VÄRMLANDS LÄN</t>
        </is>
      </c>
      <c r="E1162" t="inlineStr">
        <is>
          <t>SUNNE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33765-2022</t>
        </is>
      </c>
      <c r="B1163" s="1" t="n">
        <v>44790</v>
      </c>
      <c r="C1163" s="1" t="n">
        <v>45894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18426-2025</t>
        </is>
      </c>
      <c r="B1164" s="1" t="n">
        <v>45762.62719907407</v>
      </c>
      <c r="C1164" s="1" t="n">
        <v>45894</v>
      </c>
      <c r="D1164" t="inlineStr">
        <is>
          <t>VÄRMLANDS LÄN</t>
        </is>
      </c>
      <c r="E1164" t="inlineStr">
        <is>
          <t>SUNNE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9840-2023</t>
        </is>
      </c>
      <c r="B1165" s="1" t="n">
        <v>44984</v>
      </c>
      <c r="C1165" s="1" t="n">
        <v>45894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60689-2023</t>
        </is>
      </c>
      <c r="B1166" s="1" t="n">
        <v>45260</v>
      </c>
      <c r="C1166" s="1" t="n">
        <v>45894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58851-2023</t>
        </is>
      </c>
      <c r="B1167" s="1" t="n">
        <v>45252</v>
      </c>
      <c r="C1167" s="1" t="n">
        <v>45894</v>
      </c>
      <c r="D1167" t="inlineStr">
        <is>
          <t>VÄRMLANDS LÄN</t>
        </is>
      </c>
      <c r="E1167" t="inlineStr">
        <is>
          <t>SUNNE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32423-2025</t>
        </is>
      </c>
      <c r="B1168" s="1" t="n">
        <v>45838.35469907407</v>
      </c>
      <c r="C1168" s="1" t="n">
        <v>45894</v>
      </c>
      <c r="D1168" t="inlineStr">
        <is>
          <t>VÄRMLANDS LÄN</t>
        </is>
      </c>
      <c r="E1168" t="inlineStr">
        <is>
          <t>SUNNE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36686-2021</t>
        </is>
      </c>
      <c r="B1169" s="1" t="n">
        <v>44392.48008101852</v>
      </c>
      <c r="C1169" s="1" t="n">
        <v>45894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32583-2025</t>
        </is>
      </c>
      <c r="B1170" s="1" t="n">
        <v>45838.59938657407</v>
      </c>
      <c r="C1170" s="1" t="n">
        <v>45894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37990-2025</t>
        </is>
      </c>
      <c r="B1171" s="1" t="n">
        <v>45881.70932870371</v>
      </c>
      <c r="C1171" s="1" t="n">
        <v>45894</v>
      </c>
      <c r="D1171" t="inlineStr">
        <is>
          <t>VÄRMLANDS LÄN</t>
        </is>
      </c>
      <c r="E1171" t="inlineStr">
        <is>
          <t>SUNNE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37832-2025</t>
        </is>
      </c>
      <c r="B1172" s="1" t="n">
        <v>45881.42045138889</v>
      </c>
      <c r="C1172" s="1" t="n">
        <v>45894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37782-2025</t>
        </is>
      </c>
      <c r="B1173" s="1" t="n">
        <v>45880.93476851852</v>
      </c>
      <c r="C1173" s="1" t="n">
        <v>45894</v>
      </c>
      <c r="D1173" t="inlineStr">
        <is>
          <t>VÄRMLANDS LÄN</t>
        </is>
      </c>
      <c r="E1173" t="inlineStr">
        <is>
          <t>SUNNE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34055-2023</t>
        </is>
      </c>
      <c r="B1174" s="1" t="n">
        <v>45125</v>
      </c>
      <c r="C1174" s="1" t="n">
        <v>45894</v>
      </c>
      <c r="D1174" t="inlineStr">
        <is>
          <t>VÄRMLANDS LÄN</t>
        </is>
      </c>
      <c r="E1174" t="inlineStr">
        <is>
          <t>SUNNE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17036-2023</t>
        </is>
      </c>
      <c r="B1175" s="1" t="n">
        <v>45034</v>
      </c>
      <c r="C1175" s="1" t="n">
        <v>45894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Aktiebolag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21577-2024</t>
        </is>
      </c>
      <c r="B1176" s="1" t="n">
        <v>45441</v>
      </c>
      <c r="C1176" s="1" t="n">
        <v>45894</v>
      </c>
      <c r="D1176" t="inlineStr">
        <is>
          <t>VÄRMLANDS LÄN</t>
        </is>
      </c>
      <c r="E1176" t="inlineStr">
        <is>
          <t>SUNNE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37705-2025</t>
        </is>
      </c>
      <c r="B1177" s="1" t="n">
        <v>45880.59276620371</v>
      </c>
      <c r="C1177" s="1" t="n">
        <v>45894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20457-2025</t>
        </is>
      </c>
      <c r="B1178" s="1" t="n">
        <v>45775.5158912037</v>
      </c>
      <c r="C1178" s="1" t="n">
        <v>45894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32562-2025</t>
        </is>
      </c>
      <c r="B1179" s="1" t="n">
        <v>45838.57280092593</v>
      </c>
      <c r="C1179" s="1" t="n">
        <v>45894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37992-2025</t>
        </is>
      </c>
      <c r="B1180" s="1" t="n">
        <v>45881.71462962963</v>
      </c>
      <c r="C1180" s="1" t="n">
        <v>45894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37993-2025</t>
        </is>
      </c>
      <c r="B1181" s="1" t="n">
        <v>45881.72263888889</v>
      </c>
      <c r="C1181" s="1" t="n">
        <v>45894</v>
      </c>
      <c r="D1181" t="inlineStr">
        <is>
          <t>VÄRMLANDS LÄN</t>
        </is>
      </c>
      <c r="E1181" t="inlineStr">
        <is>
          <t>SUNNE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27991-2023</t>
        </is>
      </c>
      <c r="B1182" s="1" t="n">
        <v>45098.86320601852</v>
      </c>
      <c r="C1182" s="1" t="n">
        <v>45894</v>
      </c>
      <c r="D1182" t="inlineStr">
        <is>
          <t>VÄRMLANDS LÄN</t>
        </is>
      </c>
      <c r="E1182" t="inlineStr">
        <is>
          <t>SUNNE</t>
        </is>
      </c>
      <c r="G1182" t="n">
        <v>13.9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55423-2021</t>
        </is>
      </c>
      <c r="B1183" s="1" t="n">
        <v>44475</v>
      </c>
      <c r="C1183" s="1" t="n">
        <v>45894</v>
      </c>
      <c r="D1183" t="inlineStr">
        <is>
          <t>VÄRMLANDS LÄN</t>
        </is>
      </c>
      <c r="E1183" t="inlineStr">
        <is>
          <t>SUNNE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55430-2021</t>
        </is>
      </c>
      <c r="B1184" s="1" t="n">
        <v>44475</v>
      </c>
      <c r="C1184" s="1" t="n">
        <v>45894</v>
      </c>
      <c r="D1184" t="inlineStr">
        <is>
          <t>VÄRMLANDS LÄN</t>
        </is>
      </c>
      <c r="E1184" t="inlineStr">
        <is>
          <t>SUNNE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6504-2025</t>
        </is>
      </c>
      <c r="B1185" s="1" t="n">
        <v>45699</v>
      </c>
      <c r="C1185" s="1" t="n">
        <v>45894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38289-2025</t>
        </is>
      </c>
      <c r="B1186" s="1" t="n">
        <v>45883.43831018519</v>
      </c>
      <c r="C1186" s="1" t="n">
        <v>45894</v>
      </c>
      <c r="D1186" t="inlineStr">
        <is>
          <t>VÄRMLANDS LÄN</t>
        </is>
      </c>
      <c r="E1186" t="inlineStr">
        <is>
          <t>SUNNE</t>
        </is>
      </c>
      <c r="G1186" t="n">
        <v>14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16712-2025</t>
        </is>
      </c>
      <c r="B1187" s="1" t="n">
        <v>45754.48180555556</v>
      </c>
      <c r="C1187" s="1" t="n">
        <v>45894</v>
      </c>
      <c r="D1187" t="inlineStr">
        <is>
          <t>VÄRMLANDS LÄN</t>
        </is>
      </c>
      <c r="E1187" t="inlineStr">
        <is>
          <t>SUNNE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252-2022</t>
        </is>
      </c>
      <c r="B1188" s="1" t="n">
        <v>44565</v>
      </c>
      <c r="C1188" s="1" t="n">
        <v>45894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33478-2025</t>
        </is>
      </c>
      <c r="B1189" s="1" t="n">
        <v>45841.4953587963</v>
      </c>
      <c r="C1189" s="1" t="n">
        <v>45894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4564-2025</t>
        </is>
      </c>
      <c r="B1190" s="1" t="n">
        <v>45687.46071759259</v>
      </c>
      <c r="C1190" s="1" t="n">
        <v>45894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9557-2025</t>
        </is>
      </c>
      <c r="B1191" s="1" t="n">
        <v>45714</v>
      </c>
      <c r="C1191" s="1" t="n">
        <v>45894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31621-2021</t>
        </is>
      </c>
      <c r="B1192" s="1" t="n">
        <v>44369</v>
      </c>
      <c r="C1192" s="1" t="n">
        <v>45894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33516-2025</t>
        </is>
      </c>
      <c r="B1193" s="1" t="n">
        <v>45841.5347800926</v>
      </c>
      <c r="C1193" s="1" t="n">
        <v>45894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55079-2022</t>
        </is>
      </c>
      <c r="B1194" s="1" t="n">
        <v>44886</v>
      </c>
      <c r="C1194" s="1" t="n">
        <v>45894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54735-2023</t>
        </is>
      </c>
      <c r="B1195" s="1" t="n">
        <v>45236.38716435185</v>
      </c>
      <c r="C1195" s="1" t="n">
        <v>45894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3302-2025</t>
        </is>
      </c>
      <c r="B1196" s="1" t="n">
        <v>45679.6528587963</v>
      </c>
      <c r="C1196" s="1" t="n">
        <v>45894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44096-2024</t>
        </is>
      </c>
      <c r="B1197" s="1" t="n">
        <v>45572.6249537037</v>
      </c>
      <c r="C1197" s="1" t="n">
        <v>45894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7287-2025</t>
        </is>
      </c>
      <c r="B1198" s="1" t="n">
        <v>45702</v>
      </c>
      <c r="C1198" s="1" t="n">
        <v>45894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30304-2024</t>
        </is>
      </c>
      <c r="B1199" s="1" t="n">
        <v>45490.69657407407</v>
      </c>
      <c r="C1199" s="1" t="n">
        <v>45894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18925-2025</t>
        </is>
      </c>
      <c r="B1200" s="1" t="n">
        <v>45764</v>
      </c>
      <c r="C1200" s="1" t="n">
        <v>45894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46120-2023</t>
        </is>
      </c>
      <c r="B1201" s="1" t="n">
        <v>45196.55380787037</v>
      </c>
      <c r="C1201" s="1" t="n">
        <v>45894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6434-2023</t>
        </is>
      </c>
      <c r="B1202" s="1" t="n">
        <v>44965.87659722222</v>
      </c>
      <c r="C1202" s="1" t="n">
        <v>45894</v>
      </c>
      <c r="D1202" t="inlineStr">
        <is>
          <t>VÄRMLANDS LÄN</t>
        </is>
      </c>
      <c r="E1202" t="inlineStr">
        <is>
          <t>SUNNE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38011-2025</t>
        </is>
      </c>
      <c r="B1203" s="1" t="n">
        <v>45882.30717592593</v>
      </c>
      <c r="C1203" s="1" t="n">
        <v>45894</v>
      </c>
      <c r="D1203" t="inlineStr">
        <is>
          <t>VÄRMLANDS LÄN</t>
        </is>
      </c>
      <c r="E1203" t="inlineStr">
        <is>
          <t>SUNNE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62149-2024</t>
        </is>
      </c>
      <c r="B1204" s="1" t="n">
        <v>45646</v>
      </c>
      <c r="C1204" s="1" t="n">
        <v>45894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58131-2022</t>
        </is>
      </c>
      <c r="B1205" s="1" t="n">
        <v>44900.67949074074</v>
      </c>
      <c r="C1205" s="1" t="n">
        <v>45894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201-2021</t>
        </is>
      </c>
      <c r="B1206" s="1" t="n">
        <v>44200</v>
      </c>
      <c r="C1206" s="1" t="n">
        <v>45894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210-2021</t>
        </is>
      </c>
      <c r="B1207" s="1" t="n">
        <v>44200</v>
      </c>
      <c r="C1207" s="1" t="n">
        <v>45894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33027-2025</t>
        </is>
      </c>
      <c r="B1208" s="1" t="n">
        <v>45840.38318287037</v>
      </c>
      <c r="C1208" s="1" t="n">
        <v>45894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58664-2024</t>
        </is>
      </c>
      <c r="B1209" s="1" t="n">
        <v>45635</v>
      </c>
      <c r="C1209" s="1" t="n">
        <v>45894</v>
      </c>
      <c r="D1209" t="inlineStr">
        <is>
          <t>VÄRMLANDS LÄN</t>
        </is>
      </c>
      <c r="E1209" t="inlineStr">
        <is>
          <t>SUNNE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33627-2025</t>
        </is>
      </c>
      <c r="B1210" s="1" t="n">
        <v>45841.63614583333</v>
      </c>
      <c r="C1210" s="1" t="n">
        <v>45894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9588-2025</t>
        </is>
      </c>
      <c r="B1211" s="1" t="n">
        <v>45714</v>
      </c>
      <c r="C1211" s="1" t="n">
        <v>45894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33632-2025</t>
        </is>
      </c>
      <c r="B1212" s="1" t="n">
        <v>45841.64119212963</v>
      </c>
      <c r="C1212" s="1" t="n">
        <v>45894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21875-2022</t>
        </is>
      </c>
      <c r="B1213" s="1" t="n">
        <v>44711</v>
      </c>
      <c r="C1213" s="1" t="n">
        <v>45894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33653-2025</t>
        </is>
      </c>
      <c r="B1214" s="1" t="n">
        <v>45841</v>
      </c>
      <c r="C1214" s="1" t="n">
        <v>45894</v>
      </c>
      <c r="D1214" t="inlineStr">
        <is>
          <t>VÄRMLANDS LÄN</t>
        </is>
      </c>
      <c r="E1214" t="inlineStr">
        <is>
          <t>SUNNE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29489-2022</t>
        </is>
      </c>
      <c r="B1215" s="1" t="n">
        <v>44753</v>
      </c>
      <c r="C1215" s="1" t="n">
        <v>45894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57316-2021</t>
        </is>
      </c>
      <c r="B1216" s="1" t="n">
        <v>44483</v>
      </c>
      <c r="C1216" s="1" t="n">
        <v>45894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42523-2023</t>
        </is>
      </c>
      <c r="B1217" s="1" t="n">
        <v>45181</v>
      </c>
      <c r="C1217" s="1" t="n">
        <v>45894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14252-2023</t>
        </is>
      </c>
      <c r="B1218" s="1" t="n">
        <v>45009</v>
      </c>
      <c r="C1218" s="1" t="n">
        <v>45894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48237-2021</t>
        </is>
      </c>
      <c r="B1219" s="1" t="n">
        <v>44449</v>
      </c>
      <c r="C1219" s="1" t="n">
        <v>45894</v>
      </c>
      <c r="D1219" t="inlineStr">
        <is>
          <t>VÄRMLANDS LÄN</t>
        </is>
      </c>
      <c r="E1219" t="inlineStr">
        <is>
          <t>SUNNE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6095-2025</t>
        </is>
      </c>
      <c r="B1220" s="1" t="n">
        <v>45697</v>
      </c>
      <c r="C1220" s="1" t="n">
        <v>45894</v>
      </c>
      <c r="D1220" t="inlineStr">
        <is>
          <t>VÄRMLANDS LÄN</t>
        </is>
      </c>
      <c r="E1220" t="inlineStr">
        <is>
          <t>SUNNE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33896-2025</t>
        </is>
      </c>
      <c r="B1221" s="1" t="n">
        <v>45842.59207175926</v>
      </c>
      <c r="C1221" s="1" t="n">
        <v>45894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20017-2025</t>
        </is>
      </c>
      <c r="B1222" s="1" t="n">
        <v>45772.31625</v>
      </c>
      <c r="C1222" s="1" t="n">
        <v>45894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statliga verk och myndigheter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10509-2024</t>
        </is>
      </c>
      <c r="B1223" s="1" t="n">
        <v>45366</v>
      </c>
      <c r="C1223" s="1" t="n">
        <v>45894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33774-2025</t>
        </is>
      </c>
      <c r="B1224" s="1" t="n">
        <v>45842.39324074074</v>
      </c>
      <c r="C1224" s="1" t="n">
        <v>45894</v>
      </c>
      <c r="D1224" t="inlineStr">
        <is>
          <t>VÄRMLANDS LÄN</t>
        </is>
      </c>
      <c r="E1224" t="inlineStr">
        <is>
          <t>SUNNE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33778-2025</t>
        </is>
      </c>
      <c r="B1225" s="1" t="n">
        <v>45842.39819444445</v>
      </c>
      <c r="C1225" s="1" t="n">
        <v>45894</v>
      </c>
      <c r="D1225" t="inlineStr">
        <is>
          <t>VÄRMLANDS LÄN</t>
        </is>
      </c>
      <c r="E1225" t="inlineStr">
        <is>
          <t>SUNNE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34164-2025</t>
        </is>
      </c>
      <c r="B1226" s="1" t="n">
        <v>45845.58019675926</v>
      </c>
      <c r="C1226" s="1" t="n">
        <v>45894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34249-2025</t>
        </is>
      </c>
      <c r="B1227" s="1" t="n">
        <v>45845.68298611111</v>
      </c>
      <c r="C1227" s="1" t="n">
        <v>45894</v>
      </c>
      <c r="D1227" t="inlineStr">
        <is>
          <t>VÄRMLANDS LÄN</t>
        </is>
      </c>
      <c r="E1227" t="inlineStr">
        <is>
          <t>SUNNE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5652-2024</t>
        </is>
      </c>
      <c r="B1228" s="1" t="n">
        <v>45334.63503472223</v>
      </c>
      <c r="C1228" s="1" t="n">
        <v>45894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5653-2024</t>
        </is>
      </c>
      <c r="B1229" s="1" t="n">
        <v>45334.63668981481</v>
      </c>
      <c r="C1229" s="1" t="n">
        <v>45894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56433-2022</t>
        </is>
      </c>
      <c r="B1230" s="1" t="n">
        <v>44891.82001157408</v>
      </c>
      <c r="C1230" s="1" t="n">
        <v>45894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38839-2025</t>
        </is>
      </c>
      <c r="B1231" s="1" t="n">
        <v>45887.53543981481</v>
      </c>
      <c r="C1231" s="1" t="n">
        <v>45894</v>
      </c>
      <c r="D1231" t="inlineStr">
        <is>
          <t>VÄRMLANDS LÄN</t>
        </is>
      </c>
      <c r="E1231" t="inlineStr">
        <is>
          <t>SUNNE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18783-2025</t>
        </is>
      </c>
      <c r="B1232" s="1" t="n">
        <v>45764.33594907408</v>
      </c>
      <c r="C1232" s="1" t="n">
        <v>45894</v>
      </c>
      <c r="D1232" t="inlineStr">
        <is>
          <t>VÄRMLANDS LÄN</t>
        </is>
      </c>
      <c r="E1232" t="inlineStr">
        <is>
          <t>SUNNE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33768-2025</t>
        </is>
      </c>
      <c r="B1233" s="1" t="n">
        <v>45842.38961805555</v>
      </c>
      <c r="C1233" s="1" t="n">
        <v>45894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44127-2020</t>
        </is>
      </c>
      <c r="B1234" s="1" t="n">
        <v>44082</v>
      </c>
      <c r="C1234" s="1" t="n">
        <v>45894</v>
      </c>
      <c r="D1234" t="inlineStr">
        <is>
          <t>VÄRMLANDS LÄN</t>
        </is>
      </c>
      <c r="E1234" t="inlineStr">
        <is>
          <t>SUNNE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54036-2022</t>
        </is>
      </c>
      <c r="B1235" s="1" t="n">
        <v>44881.45065972222</v>
      </c>
      <c r="C1235" s="1" t="n">
        <v>45894</v>
      </c>
      <c r="D1235" t="inlineStr">
        <is>
          <t>VÄRMLANDS LÄN</t>
        </is>
      </c>
      <c r="E1235" t="inlineStr">
        <is>
          <t>SUNNE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44623-2023</t>
        </is>
      </c>
      <c r="B1236" s="1" t="n">
        <v>45189.64806712963</v>
      </c>
      <c r="C1236" s="1" t="n">
        <v>45894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92-2023</t>
        </is>
      </c>
      <c r="B1237" s="1" t="n">
        <v>44918</v>
      </c>
      <c r="C1237" s="1" t="n">
        <v>45894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6481-2025</t>
        </is>
      </c>
      <c r="B1238" s="1" t="n">
        <v>45699</v>
      </c>
      <c r="C1238" s="1" t="n">
        <v>45894</v>
      </c>
      <c r="D1238" t="inlineStr">
        <is>
          <t>VÄRMLANDS LÄN</t>
        </is>
      </c>
      <c r="E1238" t="inlineStr">
        <is>
          <t>SUNNE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49428-2024</t>
        </is>
      </c>
      <c r="B1239" s="1" t="n">
        <v>45595</v>
      </c>
      <c r="C1239" s="1" t="n">
        <v>45894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5861-2023</t>
        </is>
      </c>
      <c r="B1240" s="1" t="n">
        <v>44959</v>
      </c>
      <c r="C1240" s="1" t="n">
        <v>45894</v>
      </c>
      <c r="D1240" t="inlineStr">
        <is>
          <t>VÄRMLANDS LÄN</t>
        </is>
      </c>
      <c r="E1240" t="inlineStr">
        <is>
          <t>SUNNE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38855-2025</t>
        </is>
      </c>
      <c r="B1241" s="1" t="n">
        <v>45887.55829861111</v>
      </c>
      <c r="C1241" s="1" t="n">
        <v>45894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6709-2021</t>
        </is>
      </c>
      <c r="B1242" s="1" t="n">
        <v>44236</v>
      </c>
      <c r="C1242" s="1" t="n">
        <v>45894</v>
      </c>
      <c r="D1242" t="inlineStr">
        <is>
          <t>VÄRMLANDS LÄN</t>
        </is>
      </c>
      <c r="E1242" t="inlineStr">
        <is>
          <t>SUNNE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39641-2021</t>
        </is>
      </c>
      <c r="B1243" s="1" t="n">
        <v>44417</v>
      </c>
      <c r="C1243" s="1" t="n">
        <v>45894</v>
      </c>
      <c r="D1243" t="inlineStr">
        <is>
          <t>VÄRMLANDS LÄN</t>
        </is>
      </c>
      <c r="E1243" t="inlineStr">
        <is>
          <t>SUNNE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31702-2024</t>
        </is>
      </c>
      <c r="B1244" s="1" t="n">
        <v>45508</v>
      </c>
      <c r="C1244" s="1" t="n">
        <v>45894</v>
      </c>
      <c r="D1244" t="inlineStr">
        <is>
          <t>VÄRMLANDS LÄN</t>
        </is>
      </c>
      <c r="E1244" t="inlineStr">
        <is>
          <t>SUNNE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7338-2025</t>
        </is>
      </c>
      <c r="B1245" s="1" t="n">
        <v>45703</v>
      </c>
      <c r="C1245" s="1" t="n">
        <v>45894</v>
      </c>
      <c r="D1245" t="inlineStr">
        <is>
          <t>VÄRMLANDS LÄN</t>
        </is>
      </c>
      <c r="E1245" t="inlineStr">
        <is>
          <t>SUNNE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33955-2025</t>
        </is>
      </c>
      <c r="B1246" s="1" t="n">
        <v>45842.67679398148</v>
      </c>
      <c r="C1246" s="1" t="n">
        <v>45894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7494-2022</t>
        </is>
      </c>
      <c r="B1247" s="1" t="n">
        <v>44607.44984953704</v>
      </c>
      <c r="C1247" s="1" t="n">
        <v>45894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52512-2023</t>
        </is>
      </c>
      <c r="B1248" s="1" t="n">
        <v>45225.47777777778</v>
      </c>
      <c r="C1248" s="1" t="n">
        <v>45894</v>
      </c>
      <c r="D1248" t="inlineStr">
        <is>
          <t>VÄRMLANDS LÄN</t>
        </is>
      </c>
      <c r="E1248" t="inlineStr">
        <is>
          <t>SUNNE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38866-2025</t>
        </is>
      </c>
      <c r="B1249" s="1" t="n">
        <v>45887.56744212963</v>
      </c>
      <c r="C1249" s="1" t="n">
        <v>45894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49887-2021</t>
        </is>
      </c>
      <c r="B1250" s="1" t="n">
        <v>44455</v>
      </c>
      <c r="C1250" s="1" t="n">
        <v>45894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19908-2025</t>
        </is>
      </c>
      <c r="B1251" s="1" t="n">
        <v>45771.6046875</v>
      </c>
      <c r="C1251" s="1" t="n">
        <v>45894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34192-2025</t>
        </is>
      </c>
      <c r="B1252" s="1" t="n">
        <v>45845.61989583333</v>
      </c>
      <c r="C1252" s="1" t="n">
        <v>45894</v>
      </c>
      <c r="D1252" t="inlineStr">
        <is>
          <t>VÄRMLANDS LÄN</t>
        </is>
      </c>
      <c r="E1252" t="inlineStr">
        <is>
          <t>SUNNE</t>
        </is>
      </c>
      <c r="F1252" t="inlineStr">
        <is>
          <t>Kommuner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47225-2023</t>
        </is>
      </c>
      <c r="B1253" s="1" t="n">
        <v>45196</v>
      </c>
      <c r="C1253" s="1" t="n">
        <v>45894</v>
      </c>
      <c r="D1253" t="inlineStr">
        <is>
          <t>VÄRMLANDS LÄN</t>
        </is>
      </c>
      <c r="E1253" t="inlineStr">
        <is>
          <t>SUNNE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50829-2021</t>
        </is>
      </c>
      <c r="B1254" s="1" t="n">
        <v>44460.50233796296</v>
      </c>
      <c r="C1254" s="1" t="n">
        <v>45894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33772-2025</t>
        </is>
      </c>
      <c r="B1255" s="1" t="n">
        <v>45842.39123842592</v>
      </c>
      <c r="C1255" s="1" t="n">
        <v>45894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33784-2025</t>
        </is>
      </c>
      <c r="B1256" s="1" t="n">
        <v>45842.40771990741</v>
      </c>
      <c r="C1256" s="1" t="n">
        <v>45894</v>
      </c>
      <c r="D1256" t="inlineStr">
        <is>
          <t>VÄRMLANDS LÄN</t>
        </is>
      </c>
      <c r="E1256" t="inlineStr">
        <is>
          <t>SUNNE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43302-2022</t>
        </is>
      </c>
      <c r="B1257" s="1" t="n">
        <v>44834.54349537037</v>
      </c>
      <c r="C1257" s="1" t="n">
        <v>45894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34008-2025</t>
        </is>
      </c>
      <c r="B1258" s="1" t="n">
        <v>45844.82642361111</v>
      </c>
      <c r="C1258" s="1" t="n">
        <v>45894</v>
      </c>
      <c r="D1258" t="inlineStr">
        <is>
          <t>VÄRMLANDS LÄN</t>
        </is>
      </c>
      <c r="E1258" t="inlineStr">
        <is>
          <t>SUNNE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34009-2025</t>
        </is>
      </c>
      <c r="B1259" s="1" t="n">
        <v>45844.82790509259</v>
      </c>
      <c r="C1259" s="1" t="n">
        <v>45894</v>
      </c>
      <c r="D1259" t="inlineStr">
        <is>
          <t>VÄRMLANDS LÄN</t>
        </is>
      </c>
      <c r="E1259" t="inlineStr">
        <is>
          <t>SUNNE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39277-2025</t>
        </is>
      </c>
      <c r="B1260" s="1" t="n">
        <v>45889.39391203703</v>
      </c>
      <c r="C1260" s="1" t="n">
        <v>45894</v>
      </c>
      <c r="D1260" t="inlineStr">
        <is>
          <t>VÄRMLANDS LÄN</t>
        </is>
      </c>
      <c r="E1260" t="inlineStr">
        <is>
          <t>SUNNE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15743-2025</t>
        </is>
      </c>
      <c r="B1261" s="1" t="n">
        <v>45748.54895833333</v>
      </c>
      <c r="C1261" s="1" t="n">
        <v>45894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39107-2025</t>
        </is>
      </c>
      <c r="B1262" s="1" t="n">
        <v>45888.53887731482</v>
      </c>
      <c r="C1262" s="1" t="n">
        <v>45894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34295-2022</t>
        </is>
      </c>
      <c r="B1263" s="1" t="n">
        <v>44792</v>
      </c>
      <c r="C1263" s="1" t="n">
        <v>45894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28968-2021</t>
        </is>
      </c>
      <c r="B1264" s="1" t="n">
        <v>44358</v>
      </c>
      <c r="C1264" s="1" t="n">
        <v>45894</v>
      </c>
      <c r="D1264" t="inlineStr">
        <is>
          <t>VÄRMLANDS LÄN</t>
        </is>
      </c>
      <c r="E1264" t="inlineStr">
        <is>
          <t>SUNNE</t>
        </is>
      </c>
      <c r="G1264" t="n">
        <v>16.6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37790-2024</t>
        </is>
      </c>
      <c r="B1265" s="1" t="n">
        <v>45543.32729166667</v>
      </c>
      <c r="C1265" s="1" t="n">
        <v>45894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19497-2023</t>
        </is>
      </c>
      <c r="B1266" s="1" t="n">
        <v>45050</v>
      </c>
      <c r="C1266" s="1" t="n">
        <v>45894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8941-2023</t>
        </is>
      </c>
      <c r="B1267" s="1" t="n">
        <v>44979.45167824074</v>
      </c>
      <c r="C1267" s="1" t="n">
        <v>45894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6703-2025</t>
        </is>
      </c>
      <c r="B1268" s="1" t="n">
        <v>45700</v>
      </c>
      <c r="C1268" s="1" t="n">
        <v>45894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39336-2025</t>
        </is>
      </c>
      <c r="B1269" s="1" t="n">
        <v>45889.49408564815</v>
      </c>
      <c r="C1269" s="1" t="n">
        <v>45894</v>
      </c>
      <c r="D1269" t="inlineStr">
        <is>
          <t>VÄRMLANDS LÄN</t>
        </is>
      </c>
      <c r="E1269" t="inlineStr">
        <is>
          <t>SUNNE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3392-2025</t>
        </is>
      </c>
      <c r="B1270" s="1" t="n">
        <v>45680.36237268519</v>
      </c>
      <c r="C1270" s="1" t="n">
        <v>45894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34538-2025</t>
        </is>
      </c>
      <c r="B1271" s="1" t="n">
        <v>45847.53019675926</v>
      </c>
      <c r="C1271" s="1" t="n">
        <v>45894</v>
      </c>
      <c r="D1271" t="inlineStr">
        <is>
          <t>VÄRMLANDS LÄN</t>
        </is>
      </c>
      <c r="E1271" t="inlineStr">
        <is>
          <t>SUNNE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58531-2023</t>
        </is>
      </c>
      <c r="B1272" s="1" t="n">
        <v>45250</v>
      </c>
      <c r="C1272" s="1" t="n">
        <v>45894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11065-2024</t>
        </is>
      </c>
      <c r="B1273" s="1" t="n">
        <v>45370</v>
      </c>
      <c r="C1273" s="1" t="n">
        <v>45894</v>
      </c>
      <c r="D1273" t="inlineStr">
        <is>
          <t>VÄRMLANDS LÄN</t>
        </is>
      </c>
      <c r="E1273" t="inlineStr">
        <is>
          <t>SUNNE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11640-2023</t>
        </is>
      </c>
      <c r="B1274" s="1" t="n">
        <v>44994.45181712963</v>
      </c>
      <c r="C1274" s="1" t="n">
        <v>45894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39055-2025</t>
        </is>
      </c>
      <c r="B1275" s="1" t="n">
        <v>45888.45291666667</v>
      </c>
      <c r="C1275" s="1" t="n">
        <v>45894</v>
      </c>
      <c r="D1275" t="inlineStr">
        <is>
          <t>VÄRMLANDS LÄN</t>
        </is>
      </c>
      <c r="E1275" t="inlineStr">
        <is>
          <t>SUNNE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7928-2025</t>
        </is>
      </c>
      <c r="B1276" s="1" t="n">
        <v>45707.36717592592</v>
      </c>
      <c r="C1276" s="1" t="n">
        <v>45894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18356-2025</t>
        </is>
      </c>
      <c r="B1277" s="1" t="n">
        <v>45762</v>
      </c>
      <c r="C1277" s="1" t="n">
        <v>45894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17604-2025</t>
        </is>
      </c>
      <c r="B1278" s="1" t="n">
        <v>45757.72967592593</v>
      </c>
      <c r="C1278" s="1" t="n">
        <v>45894</v>
      </c>
      <c r="D1278" t="inlineStr">
        <is>
          <t>VÄRMLANDS LÄN</t>
        </is>
      </c>
      <c r="E1278" t="inlineStr">
        <is>
          <t>SUNNE</t>
        </is>
      </c>
      <c r="F1278" t="inlineStr">
        <is>
          <t>Övriga Aktiebolag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45894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17579-2024</t>
        </is>
      </c>
      <c r="B1280" s="1" t="n">
        <v>45415.86181712963</v>
      </c>
      <c r="C1280" s="1" t="n">
        <v>45894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55900-2024</t>
        </is>
      </c>
      <c r="B1281" s="1" t="n">
        <v>45623</v>
      </c>
      <c r="C1281" s="1" t="n">
        <v>45894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34543-2025</t>
        </is>
      </c>
      <c r="B1282" s="1" t="n">
        <v>45847.53372685185</v>
      </c>
      <c r="C1282" s="1" t="n">
        <v>45894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19543-2025</t>
        </is>
      </c>
      <c r="B1283" s="1" t="n">
        <v>45770.48678240741</v>
      </c>
      <c r="C1283" s="1" t="n">
        <v>45894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20032-2025</t>
        </is>
      </c>
      <c r="B1284" s="1" t="n">
        <v>45772.35950231482</v>
      </c>
      <c r="C1284" s="1" t="n">
        <v>45894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11634-2021</t>
        </is>
      </c>
      <c r="B1285" s="1" t="n">
        <v>44264.6606712963</v>
      </c>
      <c r="C1285" s="1" t="n">
        <v>45894</v>
      </c>
      <c r="D1285" t="inlineStr">
        <is>
          <t>VÄRMLANDS LÄN</t>
        </is>
      </c>
      <c r="E1285" t="inlineStr">
        <is>
          <t>SUNNE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45752-2024</t>
        </is>
      </c>
      <c r="B1286" s="1" t="n">
        <v>45579</v>
      </c>
      <c r="C1286" s="1" t="n">
        <v>45894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6669-2023</t>
        </is>
      </c>
      <c r="B1287" s="1" t="n">
        <v>44963</v>
      </c>
      <c r="C1287" s="1" t="n">
        <v>45894</v>
      </c>
      <c r="D1287" t="inlineStr">
        <is>
          <t>VÄRMLANDS LÄN</t>
        </is>
      </c>
      <c r="E1287" t="inlineStr">
        <is>
          <t>SUNNE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57711-2023</t>
        </is>
      </c>
      <c r="B1288" s="1" t="n">
        <v>45243</v>
      </c>
      <c r="C1288" s="1" t="n">
        <v>45894</v>
      </c>
      <c r="D1288" t="inlineStr">
        <is>
          <t>VÄRMLANDS LÄN</t>
        </is>
      </c>
      <c r="E1288" t="inlineStr">
        <is>
          <t>SUNNE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33318-2022</t>
        </is>
      </c>
      <c r="B1289" s="1" t="n">
        <v>44788</v>
      </c>
      <c r="C1289" s="1" t="n">
        <v>45894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34951-2025</t>
        </is>
      </c>
      <c r="B1290" s="1" t="n">
        <v>45849.59826388889</v>
      </c>
      <c r="C1290" s="1" t="n">
        <v>45894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39813-2025</t>
        </is>
      </c>
      <c r="B1291" s="1" t="n">
        <v>45891.52354166667</v>
      </c>
      <c r="C1291" s="1" t="n">
        <v>45894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26309-2023</t>
        </is>
      </c>
      <c r="B1292" s="1" t="n">
        <v>45091</v>
      </c>
      <c r="C1292" s="1" t="n">
        <v>45894</v>
      </c>
      <c r="D1292" t="inlineStr">
        <is>
          <t>VÄRMLANDS LÄN</t>
        </is>
      </c>
      <c r="E1292" t="inlineStr">
        <is>
          <t>SUNNE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18116-2023</t>
        </is>
      </c>
      <c r="B1293" s="1" t="n">
        <v>45040</v>
      </c>
      <c r="C1293" s="1" t="n">
        <v>45894</v>
      </c>
      <c r="D1293" t="inlineStr">
        <is>
          <t>VÄRMLANDS LÄN</t>
        </is>
      </c>
      <c r="E1293" t="inlineStr">
        <is>
          <t>SUNNE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28572-2022</t>
        </is>
      </c>
      <c r="B1294" s="1" t="n">
        <v>44748.46479166667</v>
      </c>
      <c r="C1294" s="1" t="n">
        <v>45894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39519-2025</t>
        </is>
      </c>
      <c r="B1295" s="1" t="n">
        <v>45890.42920138889</v>
      </c>
      <c r="C1295" s="1" t="n">
        <v>45894</v>
      </c>
      <c r="D1295" t="inlineStr">
        <is>
          <t>VÄRMLANDS LÄN</t>
        </is>
      </c>
      <c r="E1295" t="inlineStr">
        <is>
          <t>SUNNE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34936-2025</t>
        </is>
      </c>
      <c r="B1296" s="1" t="n">
        <v>45849.57689814815</v>
      </c>
      <c r="C1296" s="1" t="n">
        <v>45894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19198-2025</t>
        </is>
      </c>
      <c r="B1297" s="1" t="n">
        <v>45769.42725694444</v>
      </c>
      <c r="C1297" s="1" t="n">
        <v>45894</v>
      </c>
      <c r="D1297" t="inlineStr">
        <is>
          <t>VÄRMLANDS LÄN</t>
        </is>
      </c>
      <c r="E1297" t="inlineStr">
        <is>
          <t>SUNNE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2171-2023</t>
        </is>
      </c>
      <c r="B1298" s="1" t="n">
        <v>44941.95304398148</v>
      </c>
      <c r="C1298" s="1" t="n">
        <v>45894</v>
      </c>
      <c r="D1298" t="inlineStr">
        <is>
          <t>VÄRMLANDS LÄN</t>
        </is>
      </c>
      <c r="E1298" t="inlineStr">
        <is>
          <t>SUNNE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2173-2023</t>
        </is>
      </c>
      <c r="B1299" s="1" t="n">
        <v>44941.95513888889</v>
      </c>
      <c r="C1299" s="1" t="n">
        <v>45894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55121-2024</t>
        </is>
      </c>
      <c r="B1300" s="1" t="n">
        <v>45621.45894675926</v>
      </c>
      <c r="C1300" s="1" t="n">
        <v>45894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39503-2025</t>
        </is>
      </c>
      <c r="B1301" s="1" t="n">
        <v>45890.40311342593</v>
      </c>
      <c r="C1301" s="1" t="n">
        <v>45894</v>
      </c>
      <c r="D1301" t="inlineStr">
        <is>
          <t>VÄRMLANDS LÄN</t>
        </is>
      </c>
      <c r="E1301" t="inlineStr">
        <is>
          <t>SUNNE</t>
        </is>
      </c>
      <c r="F1301" t="inlineStr">
        <is>
          <t>Kyrkan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46102-2023</t>
        </is>
      </c>
      <c r="B1302" s="1" t="n">
        <v>45196.5344212963</v>
      </c>
      <c r="C1302" s="1" t="n">
        <v>45894</v>
      </c>
      <c r="D1302" t="inlineStr">
        <is>
          <t>VÄRMLANDS LÄN</t>
        </is>
      </c>
      <c r="E1302" t="inlineStr">
        <is>
          <t>SUNNE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39540-2025</t>
        </is>
      </c>
      <c r="B1303" s="1" t="n">
        <v>45890.45358796296</v>
      </c>
      <c r="C1303" s="1" t="n">
        <v>45894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46112-2023</t>
        </is>
      </c>
      <c r="B1304" s="1" t="n">
        <v>45196.54818287037</v>
      </c>
      <c r="C1304" s="1" t="n">
        <v>45894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3148-2025</t>
        </is>
      </c>
      <c r="B1305" s="1" t="n">
        <v>45678.89115740741</v>
      </c>
      <c r="C1305" s="1" t="n">
        <v>45894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43153-2024</t>
        </is>
      </c>
      <c r="B1306" s="1" t="n">
        <v>45567</v>
      </c>
      <c r="C1306" s="1" t="n">
        <v>45894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43157-2024</t>
        </is>
      </c>
      <c r="B1307" s="1" t="n">
        <v>45567</v>
      </c>
      <c r="C1307" s="1" t="n">
        <v>45894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14660-2022</t>
        </is>
      </c>
      <c r="B1308" s="1" t="n">
        <v>44655</v>
      </c>
      <c r="C1308" s="1" t="n">
        <v>45894</v>
      </c>
      <c r="D1308" t="inlineStr">
        <is>
          <t>VÄRMLANDS LÄN</t>
        </is>
      </c>
      <c r="E1308" t="inlineStr">
        <is>
          <t>SUNNE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55399-2024</t>
        </is>
      </c>
      <c r="B1309" s="1" t="n">
        <v>45622.35171296296</v>
      </c>
      <c r="C1309" s="1" t="n">
        <v>45894</v>
      </c>
      <c r="D1309" t="inlineStr">
        <is>
          <t>VÄRMLANDS LÄN</t>
        </is>
      </c>
      <c r="E1309" t="inlineStr">
        <is>
          <t>SUNNE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55487-2024</t>
        </is>
      </c>
      <c r="B1310" s="1" t="n">
        <v>45622</v>
      </c>
      <c r="C1310" s="1" t="n">
        <v>45894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51009-2024</t>
        </is>
      </c>
      <c r="B1311" s="1" t="n">
        <v>45603.39179398148</v>
      </c>
      <c r="C1311" s="1" t="n">
        <v>45894</v>
      </c>
      <c r="D1311" t="inlineStr">
        <is>
          <t>VÄRMLANDS LÄN</t>
        </is>
      </c>
      <c r="E1311" t="inlineStr">
        <is>
          <t>SUNNE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39469-2025</t>
        </is>
      </c>
      <c r="B1312" s="1" t="n">
        <v>45889</v>
      </c>
      <c r="C1312" s="1" t="n">
        <v>45894</v>
      </c>
      <c r="D1312" t="inlineStr">
        <is>
          <t>VÄRMLANDS LÄN</t>
        </is>
      </c>
      <c r="E1312" t="inlineStr">
        <is>
          <t>SUNNE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31075-2024</t>
        </is>
      </c>
      <c r="B1313" s="1" t="n">
        <v>45502</v>
      </c>
      <c r="C1313" s="1" t="n">
        <v>45894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60763-2024</t>
        </is>
      </c>
      <c r="B1314" s="1" t="n">
        <v>45644</v>
      </c>
      <c r="C1314" s="1" t="n">
        <v>45894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69232-2020</t>
        </is>
      </c>
      <c r="B1315" s="1" t="n">
        <v>44192</v>
      </c>
      <c r="C1315" s="1" t="n">
        <v>45894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61093-2023</t>
        </is>
      </c>
      <c r="B1316" s="1" t="n">
        <v>45261.6424537037</v>
      </c>
      <c r="C1316" s="1" t="n">
        <v>45894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12119-2023</t>
        </is>
      </c>
      <c r="B1317" s="1" t="n">
        <v>44998</v>
      </c>
      <c r="C1317" s="1" t="n">
        <v>45894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32371-2024</t>
        </is>
      </c>
      <c r="B1318" s="1" t="n">
        <v>45512.59020833333</v>
      </c>
      <c r="C1318" s="1" t="n">
        <v>45894</v>
      </c>
      <c r="D1318" t="inlineStr">
        <is>
          <t>VÄRMLANDS LÄN</t>
        </is>
      </c>
      <c r="E1318" t="inlineStr">
        <is>
          <t>SUNNE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32370-2024</t>
        </is>
      </c>
      <c r="B1319" s="1" t="n">
        <v>45512.58751157407</v>
      </c>
      <c r="C1319" s="1" t="n">
        <v>45894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9440-2023</t>
        </is>
      </c>
      <c r="B1320" s="1" t="n">
        <v>44981.52952546296</v>
      </c>
      <c r="C1320" s="1" t="n">
        <v>45894</v>
      </c>
      <c r="D1320" t="inlineStr">
        <is>
          <t>VÄRMLANDS LÄN</t>
        </is>
      </c>
      <c r="E1320" t="inlineStr">
        <is>
          <t>SUNNE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20650-2023</t>
        </is>
      </c>
      <c r="B1321" s="1" t="n">
        <v>45058</v>
      </c>
      <c r="C1321" s="1" t="n">
        <v>45894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44484-2022</t>
        </is>
      </c>
      <c r="B1322" s="1" t="n">
        <v>44840.35667824074</v>
      </c>
      <c r="C1322" s="1" t="n">
        <v>45894</v>
      </c>
      <c r="D1322" t="inlineStr">
        <is>
          <t>VÄRMLANDS LÄN</t>
        </is>
      </c>
      <c r="E1322" t="inlineStr">
        <is>
          <t>SUNNE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44383-2024</t>
        </is>
      </c>
      <c r="B1323" s="1" t="n">
        <v>45573</v>
      </c>
      <c r="C1323" s="1" t="n">
        <v>45894</v>
      </c>
      <c r="D1323" t="inlineStr">
        <is>
          <t>VÄRMLANDS LÄN</t>
        </is>
      </c>
      <c r="E1323" t="inlineStr">
        <is>
          <t>SUNNE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33623-2022</t>
        </is>
      </c>
      <c r="B1324" s="1" t="n">
        <v>44789</v>
      </c>
      <c r="C1324" s="1" t="n">
        <v>45894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62039-2022</t>
        </is>
      </c>
      <c r="B1325" s="1" t="n">
        <v>44918</v>
      </c>
      <c r="C1325" s="1" t="n">
        <v>45894</v>
      </c>
      <c r="D1325" t="inlineStr">
        <is>
          <t>VÄRMLANDS LÄN</t>
        </is>
      </c>
      <c r="E1325" t="inlineStr">
        <is>
          <t>SUNNE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61419-2023</t>
        </is>
      </c>
      <c r="B1326" s="1" t="n">
        <v>45264.67577546297</v>
      </c>
      <c r="C1326" s="1" t="n">
        <v>45894</v>
      </c>
      <c r="D1326" t="inlineStr">
        <is>
          <t>VÄRMLANDS LÄN</t>
        </is>
      </c>
      <c r="E1326" t="inlineStr">
        <is>
          <t>SUNNE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22964-2024</t>
        </is>
      </c>
      <c r="B1327" s="1" t="n">
        <v>45449.55700231482</v>
      </c>
      <c r="C1327" s="1" t="n">
        <v>45894</v>
      </c>
      <c r="D1327" t="inlineStr">
        <is>
          <t>VÄRMLANDS LÄN</t>
        </is>
      </c>
      <c r="E1327" t="inlineStr">
        <is>
          <t>SUNNE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3336-2024</t>
        </is>
      </c>
      <c r="B1328" s="1" t="n">
        <v>45317.57612268518</v>
      </c>
      <c r="C1328" s="1" t="n">
        <v>45894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13208-2025</t>
        </is>
      </c>
      <c r="B1329" s="1" t="n">
        <v>45735.43711805555</v>
      </c>
      <c r="C1329" s="1" t="n">
        <v>45894</v>
      </c>
      <c r="D1329" t="inlineStr">
        <is>
          <t>VÄRMLANDS LÄN</t>
        </is>
      </c>
      <c r="E1329" t="inlineStr">
        <is>
          <t>SUNNE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28026-2023</t>
        </is>
      </c>
      <c r="B1330" s="1" t="n">
        <v>45098.98056712963</v>
      </c>
      <c r="C1330" s="1" t="n">
        <v>45894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1736-2025</t>
        </is>
      </c>
      <c r="B1331" s="1" t="n">
        <v>45671.38667824074</v>
      </c>
      <c r="C1331" s="1" t="n">
        <v>45894</v>
      </c>
      <c r="D1331" t="inlineStr">
        <is>
          <t>VÄRMLANDS LÄN</t>
        </is>
      </c>
      <c r="E1331" t="inlineStr">
        <is>
          <t>SUNNE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1737-2025</t>
        </is>
      </c>
      <c r="B1332" s="1" t="n">
        <v>45671.39046296296</v>
      </c>
      <c r="C1332" s="1" t="n">
        <v>45894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47107-2024</t>
        </is>
      </c>
      <c r="B1333" s="1" t="n">
        <v>45586</v>
      </c>
      <c r="C1333" s="1" t="n">
        <v>45894</v>
      </c>
      <c r="D1333" t="inlineStr">
        <is>
          <t>VÄRMLANDS LÄN</t>
        </is>
      </c>
      <c r="E1333" t="inlineStr">
        <is>
          <t>SUNNE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10547-2022</t>
        </is>
      </c>
      <c r="B1334" s="1" t="n">
        <v>44623</v>
      </c>
      <c r="C1334" s="1" t="n">
        <v>45894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38659-2024</t>
        </is>
      </c>
      <c r="B1335" s="1" t="n">
        <v>45546</v>
      </c>
      <c r="C1335" s="1" t="n">
        <v>45894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41017-2024</t>
        </is>
      </c>
      <c r="B1336" s="1" t="n">
        <v>45559</v>
      </c>
      <c r="C1336" s="1" t="n">
        <v>45894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12271-2025</t>
        </is>
      </c>
      <c r="B1337" s="1" t="n">
        <v>45729</v>
      </c>
      <c r="C1337" s="1" t="n">
        <v>45894</v>
      </c>
      <c r="D1337" t="inlineStr">
        <is>
          <t>VÄRMLANDS LÄN</t>
        </is>
      </c>
      <c r="E1337" t="inlineStr">
        <is>
          <t>SUNNE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34723-2022</t>
        </is>
      </c>
      <c r="B1338" s="1" t="n">
        <v>44795</v>
      </c>
      <c r="C1338" s="1" t="n">
        <v>45894</v>
      </c>
      <c r="D1338" t="inlineStr">
        <is>
          <t>VÄRMLANDS LÄN</t>
        </is>
      </c>
      <c r="E1338" t="inlineStr">
        <is>
          <t>SUNNE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5088-2022</t>
        </is>
      </c>
      <c r="B1339" s="1" t="n">
        <v>44593</v>
      </c>
      <c r="C1339" s="1" t="n">
        <v>45894</v>
      </c>
      <c r="D1339" t="inlineStr">
        <is>
          <t>VÄRMLANDS LÄN</t>
        </is>
      </c>
      <c r="E1339" t="inlineStr">
        <is>
          <t>SUNNE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15226-2025</t>
        </is>
      </c>
      <c r="B1340" s="1" t="n">
        <v>45744.59296296296</v>
      </c>
      <c r="C1340" s="1" t="n">
        <v>45894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25796-2024</t>
        </is>
      </c>
      <c r="B1341" s="1" t="n">
        <v>45467.34659722223</v>
      </c>
      <c r="C1341" s="1" t="n">
        <v>45894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8585-2022</t>
        </is>
      </c>
      <c r="B1342" s="1" t="n">
        <v>44613</v>
      </c>
      <c r="C1342" s="1" t="n">
        <v>45894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43865-2024</t>
        </is>
      </c>
      <c r="B1343" s="1" t="n">
        <v>45572.37413194445</v>
      </c>
      <c r="C1343" s="1" t="n">
        <v>45894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34707-2022</t>
        </is>
      </c>
      <c r="B1344" s="1" t="n">
        <v>44795.57873842592</v>
      </c>
      <c r="C1344" s="1" t="n">
        <v>45894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10.4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22192-2022</t>
        </is>
      </c>
      <c r="B1345" s="1" t="n">
        <v>44712.48921296297</v>
      </c>
      <c r="C1345" s="1" t="n">
        <v>45894</v>
      </c>
      <c r="D1345" t="inlineStr">
        <is>
          <t>VÄRMLANDS LÄN</t>
        </is>
      </c>
      <c r="E1345" t="inlineStr">
        <is>
          <t>SUNNE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33992-2024</t>
        </is>
      </c>
      <c r="B1346" s="1" t="n">
        <v>45523.53612268518</v>
      </c>
      <c r="C1346" s="1" t="n">
        <v>45894</v>
      </c>
      <c r="D1346" t="inlineStr">
        <is>
          <t>VÄRMLANDS LÄN</t>
        </is>
      </c>
      <c r="E1346" t="inlineStr">
        <is>
          <t>SUNNE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18434-2025</t>
        </is>
      </c>
      <c r="B1347" s="1" t="n">
        <v>45762.63959490741</v>
      </c>
      <c r="C1347" s="1" t="n">
        <v>45894</v>
      </c>
      <c r="D1347" t="inlineStr">
        <is>
          <t>VÄRMLANDS LÄN</t>
        </is>
      </c>
      <c r="E1347" t="inlineStr">
        <is>
          <t>SUNNE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10349-2025</t>
        </is>
      </c>
      <c r="B1348" s="1" t="n">
        <v>45720</v>
      </c>
      <c r="C1348" s="1" t="n">
        <v>45894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34374-2023</t>
        </is>
      </c>
      <c r="B1349" s="1" t="n">
        <v>45131</v>
      </c>
      <c r="C1349" s="1" t="n">
        <v>45894</v>
      </c>
      <c r="D1349" t="inlineStr">
        <is>
          <t>VÄRMLANDS LÄN</t>
        </is>
      </c>
      <c r="E1349" t="inlineStr">
        <is>
          <t>SUNNE</t>
        </is>
      </c>
      <c r="G1349" t="n">
        <v>11.7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684-2025</t>
        </is>
      </c>
      <c r="B1350" s="1" t="n">
        <v>45665.13362268519</v>
      </c>
      <c r="C1350" s="1" t="n">
        <v>45894</v>
      </c>
      <c r="D1350" t="inlineStr">
        <is>
          <t>VÄRMLANDS LÄN</t>
        </is>
      </c>
      <c r="E1350" t="inlineStr">
        <is>
          <t>SUNNE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45206-2023</t>
        </is>
      </c>
      <c r="B1351" s="1" t="n">
        <v>45191.55560185185</v>
      </c>
      <c r="C1351" s="1" t="n">
        <v>45894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55163-2024</t>
        </is>
      </c>
      <c r="B1352" s="1" t="n">
        <v>45621.51796296296</v>
      </c>
      <c r="C1352" s="1" t="n">
        <v>45894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20106-2024</t>
        </is>
      </c>
      <c r="B1353" s="1" t="n">
        <v>45434.48952546297</v>
      </c>
      <c r="C1353" s="1" t="n">
        <v>45894</v>
      </c>
      <c r="D1353" t="inlineStr">
        <is>
          <t>VÄRMLANDS LÄN</t>
        </is>
      </c>
      <c r="E1353" t="inlineStr">
        <is>
          <t>SUNNE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9593-2025</t>
        </is>
      </c>
      <c r="B1354" s="1" t="n">
        <v>45714</v>
      </c>
      <c r="C1354" s="1" t="n">
        <v>45894</v>
      </c>
      <c r="D1354" t="inlineStr">
        <is>
          <t>VÄRMLANDS LÄN</t>
        </is>
      </c>
      <c r="E1354" t="inlineStr">
        <is>
          <t>SUNNE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6569-2023</t>
        </is>
      </c>
      <c r="B1355" s="1" t="n">
        <v>44966.46943287037</v>
      </c>
      <c r="C1355" s="1" t="n">
        <v>45894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31606-2021</t>
        </is>
      </c>
      <c r="B1356" s="1" t="n">
        <v>44369</v>
      </c>
      <c r="C1356" s="1" t="n">
        <v>45894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2025-08-25T08:33:21Z</dcterms:created>
  <dcterms:modified xmlns:dcterms="http://purl.org/dc/terms/" xmlns:xsi="http://www.w3.org/2001/XMLSchema-instance" xsi:type="dcterms:W3CDTF">2025-08-25T08:33:22Z</dcterms:modified>
</cp:coreProperties>
</file>