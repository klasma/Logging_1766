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46138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46138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46138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46138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46138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46138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46138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46138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46138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46138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46138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46138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46138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40235-2022</t>
        </is>
      </c>
      <c r="B19" s="1" t="n">
        <v>44820.66109953704</v>
      </c>
      <c r="C19" s="1" t="n">
        <v>46138</v>
      </c>
      <c r="D19" t="inlineStr">
        <is>
          <t>VÄRMLANDS LÄN</t>
        </is>
      </c>
      <c r="E19" t="inlineStr">
        <is>
          <t>SUNNE</t>
        </is>
      </c>
      <c r="G19" t="n">
        <v>6.5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Dofttaggsvamp
Grantaggsvamp</t>
        </is>
      </c>
      <c r="S19">
        <f>HYPERLINK("https://klasma.github.io/Logging_1766/artfynd/A 40235-2022 artfynd.xlsx", "A 40235-2022")</f>
        <v/>
      </c>
      <c r="T19">
        <f>HYPERLINK("https://klasma.github.io/Logging_1766/kartor/A 40235-2022 karta.png", "A 40235-2022")</f>
        <v/>
      </c>
      <c r="V19">
        <f>HYPERLINK("https://klasma.github.io/Logging_1766/klagomål/A 40235-2022 FSC-klagomål.docx", "A 40235-2022")</f>
        <v/>
      </c>
      <c r="W19">
        <f>HYPERLINK("https://klasma.github.io/Logging_1766/klagomålsmail/A 40235-2022 FSC-klagomål mail.docx", "A 40235-2022")</f>
        <v/>
      </c>
      <c r="X19">
        <f>HYPERLINK("https://klasma.github.io/Logging_1766/tillsyn/A 40235-2022 tillsynsbegäran.docx", "A 40235-2022")</f>
        <v/>
      </c>
      <c r="Y19">
        <f>HYPERLINK("https://klasma.github.io/Logging_1766/tillsynsmail/A 40235-2022 tillsynsbegäran mail.docx", "A 40235-2022")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46138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46138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46138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46138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46138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46138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46138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15915-2025</t>
        </is>
      </c>
      <c r="B27" s="1" t="n">
        <v>45749</v>
      </c>
      <c r="C27" s="1" t="n">
        <v>46138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15915-2025 artfynd.xlsx", "A 15915-2025")</f>
        <v/>
      </c>
      <c r="T27">
        <f>HYPERLINK("https://klasma.github.io/Logging_1766/kartor/A 15915-2025 karta.png", "A 15915-2025")</f>
        <v/>
      </c>
      <c r="V27">
        <f>HYPERLINK("https://klasma.github.io/Logging_1766/klagomål/A 15915-2025 FSC-klagomål.docx", "A 15915-2025")</f>
        <v/>
      </c>
      <c r="W27">
        <f>HYPERLINK("https://klasma.github.io/Logging_1766/klagomålsmail/A 15915-2025 FSC-klagomål mail.docx", "A 15915-2025")</f>
        <v/>
      </c>
      <c r="X27">
        <f>HYPERLINK("https://klasma.github.io/Logging_1766/tillsyn/A 15915-2025 tillsynsbegäran.docx", "A 15915-2025")</f>
        <v/>
      </c>
      <c r="Y27">
        <f>HYPERLINK("https://klasma.github.io/Logging_1766/tillsynsmail/A 15915-2025 tillsynsbegäran mail.docx", "A 15915-2025")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46138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46138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46138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46138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33653-2025</t>
        </is>
      </c>
      <c r="B32" s="1" t="n">
        <v>45841</v>
      </c>
      <c r="C32" s="1" t="n">
        <v>46138</v>
      </c>
      <c r="D32" t="inlineStr">
        <is>
          <t>VÄRMLANDS LÄN</t>
        </is>
      </c>
      <c r="E32" t="inlineStr">
        <is>
          <t>SUNNE</t>
        </is>
      </c>
      <c r="G32" t="n">
        <v>9.300000000000001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33653-2025 artfynd.xlsx", "A 33653-2025")</f>
        <v/>
      </c>
      <c r="T32">
        <f>HYPERLINK("https://klasma.github.io/Logging_1766/kartor/A 33653-2025 karta.png", "A 33653-2025")</f>
        <v/>
      </c>
      <c r="V32">
        <f>HYPERLINK("https://klasma.github.io/Logging_1766/klagomål/A 33653-2025 FSC-klagomål.docx", "A 33653-2025")</f>
        <v/>
      </c>
      <c r="W32">
        <f>HYPERLINK("https://klasma.github.io/Logging_1766/klagomålsmail/A 33653-2025 FSC-klagomål mail.docx", "A 33653-2025")</f>
        <v/>
      </c>
      <c r="X32">
        <f>HYPERLINK("https://klasma.github.io/Logging_1766/tillsyn/A 33653-2025 tillsynsbegäran.docx", "A 33653-2025")</f>
        <v/>
      </c>
      <c r="Y32">
        <f>HYPERLINK("https://klasma.github.io/Logging_1766/tillsynsmail/A 33653-2025 tillsynsbegäran mail.docx", "A 33653-2025")</f>
        <v/>
      </c>
    </row>
    <row r="33" ht="15" customHeight="1">
      <c r="A33" t="inlineStr">
        <is>
          <t>A 56522-2025</t>
        </is>
      </c>
      <c r="B33" s="1" t="n">
        <v>45974</v>
      </c>
      <c r="C33" s="1" t="n">
        <v>46138</v>
      </c>
      <c r="D33" t="inlineStr">
        <is>
          <t>VÄRMLANDS LÄN</t>
        </is>
      </c>
      <c r="E33" t="inlineStr">
        <is>
          <t>SUNNE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Bandad skulderbock</t>
        </is>
      </c>
      <c r="S33">
        <f>HYPERLINK("https://klasma.github.io/Logging_1766/artfynd/A 56522-2025 artfynd.xlsx", "A 56522-2025")</f>
        <v/>
      </c>
      <c r="T33">
        <f>HYPERLINK("https://klasma.github.io/Logging_1766/kartor/A 56522-2025 karta.png", "A 56522-2025")</f>
        <v/>
      </c>
      <c r="V33">
        <f>HYPERLINK("https://klasma.github.io/Logging_1766/klagomål/A 56522-2025 FSC-klagomål.docx", "A 56522-2025")</f>
        <v/>
      </c>
      <c r="W33">
        <f>HYPERLINK("https://klasma.github.io/Logging_1766/klagomålsmail/A 56522-2025 FSC-klagomål mail.docx", "A 56522-2025")</f>
        <v/>
      </c>
      <c r="X33">
        <f>HYPERLINK("https://klasma.github.io/Logging_1766/tillsyn/A 56522-2025 tillsynsbegäran.docx", "A 56522-2025")</f>
        <v/>
      </c>
      <c r="Y33">
        <f>HYPERLINK("https://klasma.github.io/Logging_1766/tillsynsmail/A 56522-2025 tillsynsbegäran mail.docx", "A 56522-2025")</f>
        <v/>
      </c>
    </row>
    <row r="34" ht="15" customHeight="1">
      <c r="A34" t="inlineStr">
        <is>
          <t>A 35767-2025</t>
        </is>
      </c>
      <c r="B34" s="1" t="n">
        <v>45860.63605324074</v>
      </c>
      <c r="C34" s="1" t="n">
        <v>46138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35767-2025 artfynd.xlsx", "A 35767-2025")</f>
        <v/>
      </c>
      <c r="T34">
        <f>HYPERLINK("https://klasma.github.io/Logging_1766/kartor/A 35767-2025 karta.png", "A 35767-2025")</f>
        <v/>
      </c>
      <c r="V34">
        <f>HYPERLINK("https://klasma.github.io/Logging_1766/klagomål/A 35767-2025 FSC-klagomål.docx", "A 35767-2025")</f>
        <v/>
      </c>
      <c r="W34">
        <f>HYPERLINK("https://klasma.github.io/Logging_1766/klagomålsmail/A 35767-2025 FSC-klagomål mail.docx", "A 35767-2025")</f>
        <v/>
      </c>
      <c r="X34">
        <f>HYPERLINK("https://klasma.github.io/Logging_1766/tillsyn/A 35767-2025 tillsynsbegäran.docx", "A 35767-2025")</f>
        <v/>
      </c>
      <c r="Y34">
        <f>HYPERLINK("https://klasma.github.io/Logging_1766/tillsynsmail/A 35767-2025 tillsynsbegäran mail.docx", "A 35767-2025")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46138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383-2026</t>
        </is>
      </c>
      <c r="B36" s="1" t="n">
        <v>46027.77</v>
      </c>
      <c r="C36" s="1" t="n">
        <v>46138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HYPERLINK("https://klasma.github.io/Logging_1766/artfynd/A 383-2026 artfynd.xlsx", "A 383-2026")</f>
        <v/>
      </c>
      <c r="T36">
        <f>HYPERLINK("https://klasma.github.io/Logging_1766/kartor/A 383-2026 karta.png", "A 383-2026")</f>
        <v/>
      </c>
      <c r="V36">
        <f>HYPERLINK("https://klasma.github.io/Logging_1766/klagomål/A 383-2026 FSC-klagomål.docx", "A 383-2026")</f>
        <v/>
      </c>
      <c r="W36">
        <f>HYPERLINK("https://klasma.github.io/Logging_1766/klagomålsmail/A 383-2026 FSC-klagomål mail.docx", "A 383-2026")</f>
        <v/>
      </c>
      <c r="X36">
        <f>HYPERLINK("https://klasma.github.io/Logging_1766/tillsyn/A 383-2026 tillsynsbegäran.docx", "A 383-2026")</f>
        <v/>
      </c>
      <c r="Y36">
        <f>HYPERLINK("https://klasma.github.io/Logging_1766/tillsynsmail/A 383-2026 tillsynsbegäran mail.docx", "A 383-2026")</f>
        <v/>
      </c>
      <c r="Z36">
        <f>HYPERLINK("https://klasma.github.io/Logging_1766/fåglar/A 383-2026 prioriterade fågelarter.docx", "A 383-2026")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46138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46138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46138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46138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46138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46138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46138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46138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46138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46138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46138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46138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46138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46138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46138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46138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46138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46138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46138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46138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46138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46138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46138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46138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46138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46138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46138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46138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46138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46138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46138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46138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46138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46138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46138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46138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46138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46138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46138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46138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46138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46138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46138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46138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46138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46138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46138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46138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46138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46138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46138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46138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46138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46138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46138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46138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46138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46138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46138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46138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46138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46138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46138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46138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46138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46138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46138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46138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46138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46138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46138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46138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46138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46138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46138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46138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46138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46138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46138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46138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46138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46138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46138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46138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46138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46138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46138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46138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46138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46138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46138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46138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46138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46138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46138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46138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46138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46138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46138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46138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46138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259-2022</t>
        </is>
      </c>
      <c r="B139" s="1" t="n">
        <v>44565</v>
      </c>
      <c r="C139" s="1" t="n">
        <v>46138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46138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46138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53495-2021</t>
        </is>
      </c>
      <c r="B142" s="1" t="n">
        <v>44468</v>
      </c>
      <c r="C142" s="1" t="n">
        <v>46138</v>
      </c>
      <c r="D142" t="inlineStr">
        <is>
          <t>VÄRMLANDS LÄN</t>
        </is>
      </c>
      <c r="E142" t="inlineStr">
        <is>
          <t>SUNNE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41982-2021</t>
        </is>
      </c>
      <c r="B143" s="1" t="n">
        <v>44426</v>
      </c>
      <c r="C143" s="1" t="n">
        <v>46138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46138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46138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46138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46138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46138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44809.34965277778</v>
      </c>
      <c r="C149" s="1" t="n">
        <v>46138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46138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46138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46138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46138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46138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46138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46138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46138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46138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46138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46138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46138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49732-2022</t>
        </is>
      </c>
      <c r="B162" s="1" t="n">
        <v>44862.56357638889</v>
      </c>
      <c r="C162" s="1" t="n">
        <v>46138</v>
      </c>
      <c r="D162" t="inlineStr">
        <is>
          <t>VÄRMLANDS LÄN</t>
        </is>
      </c>
      <c r="E162" t="inlineStr">
        <is>
          <t>SUNNE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46138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46138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46138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46138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46138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46138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22491-2022</t>
        </is>
      </c>
      <c r="B169" s="1" t="n">
        <v>44713</v>
      </c>
      <c r="C169" s="1" t="n">
        <v>46138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48134-2022</t>
        </is>
      </c>
      <c r="B170" s="1" t="n">
        <v>44857.91674768519</v>
      </c>
      <c r="C170" s="1" t="n">
        <v>46138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46138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52146-2021</t>
        </is>
      </c>
      <c r="B172" s="1" t="n">
        <v>44463</v>
      </c>
      <c r="C172" s="1" t="n">
        <v>46138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33005-2021</t>
        </is>
      </c>
      <c r="B173" s="1" t="n">
        <v>44376.46671296296</v>
      </c>
      <c r="C173" s="1" t="n">
        <v>46138</v>
      </c>
      <c r="D173" t="inlineStr">
        <is>
          <t>VÄRMLANDS LÄN</t>
        </is>
      </c>
      <c r="E173" t="inlineStr">
        <is>
          <t>SUNNE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62334-2021</t>
        </is>
      </c>
      <c r="B174" s="1" t="n">
        <v>44501</v>
      </c>
      <c r="C174" s="1" t="n">
        <v>46138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65074-2021</t>
        </is>
      </c>
      <c r="B175" s="1" t="n">
        <v>44515</v>
      </c>
      <c r="C175" s="1" t="n">
        <v>46138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73470-2021</t>
        </is>
      </c>
      <c r="B176" s="1" t="n">
        <v>44551</v>
      </c>
      <c r="C176" s="1" t="n">
        <v>46138</v>
      </c>
      <c r="D176" t="inlineStr">
        <is>
          <t>VÄRMLANDS LÄN</t>
        </is>
      </c>
      <c r="E176" t="inlineStr">
        <is>
          <t>SUNNE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46138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39125-2021</t>
        </is>
      </c>
      <c r="B178" s="1" t="n">
        <v>44412</v>
      </c>
      <c r="C178" s="1" t="n">
        <v>46138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46138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46138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35349-2022</t>
        </is>
      </c>
      <c r="B181" s="1" t="n">
        <v>44798.52652777778</v>
      </c>
      <c r="C181" s="1" t="n">
        <v>46138</v>
      </c>
      <c r="D181" t="inlineStr">
        <is>
          <t>VÄRMLANDS LÄN</t>
        </is>
      </c>
      <c r="E181" t="inlineStr">
        <is>
          <t>SUNNE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35973-2022</t>
        </is>
      </c>
      <c r="B182" s="1" t="n">
        <v>44802</v>
      </c>
      <c r="C182" s="1" t="n">
        <v>46138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46138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46138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46138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46138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46138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46138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46138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44720.49045138889</v>
      </c>
      <c r="C190" s="1" t="n">
        <v>46138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46138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46138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46138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20042-2022</t>
        </is>
      </c>
      <c r="B194" s="1" t="n">
        <v>44697.7060300926</v>
      </c>
      <c r="C194" s="1" t="n">
        <v>46138</v>
      </c>
      <c r="D194" t="inlineStr">
        <is>
          <t>VÄRMLANDS LÄN</t>
        </is>
      </c>
      <c r="E194" t="inlineStr">
        <is>
          <t>SUNNE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46138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46138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46138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46138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1605-2022</t>
        </is>
      </c>
      <c r="B199" s="1" t="n">
        <v>44573</v>
      </c>
      <c r="C199" s="1" t="n">
        <v>46138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39849-2021</t>
        </is>
      </c>
      <c r="B200" s="1" t="n">
        <v>44417</v>
      </c>
      <c r="C200" s="1" t="n">
        <v>46138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46138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46138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58531-2023</t>
        </is>
      </c>
      <c r="B203" s="1" t="n">
        <v>45250</v>
      </c>
      <c r="C203" s="1" t="n">
        <v>46138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11065-2024</t>
        </is>
      </c>
      <c r="B204" s="1" t="n">
        <v>45370</v>
      </c>
      <c r="C204" s="1" t="n">
        <v>46138</v>
      </c>
      <c r="D204" t="inlineStr">
        <is>
          <t>VÄRMLANDS LÄN</t>
        </is>
      </c>
      <c r="E204" t="inlineStr">
        <is>
          <t>SUNNE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11640-2023</t>
        </is>
      </c>
      <c r="B205" s="1" t="n">
        <v>44994.45181712963</v>
      </c>
      <c r="C205" s="1" t="n">
        <v>46138</v>
      </c>
      <c r="D205" t="inlineStr">
        <is>
          <t>VÄRMLANDS LÄN</t>
        </is>
      </c>
      <c r="E205" t="inlineStr">
        <is>
          <t>SUNNE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53629-2021</t>
        </is>
      </c>
      <c r="B206" s="1" t="n">
        <v>44469.39340277778</v>
      </c>
      <c r="C206" s="1" t="n">
        <v>46138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46138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18356-2025</t>
        </is>
      </c>
      <c r="B208" s="1" t="n">
        <v>45762</v>
      </c>
      <c r="C208" s="1" t="n">
        <v>46138</v>
      </c>
      <c r="D208" t="inlineStr">
        <is>
          <t>VÄRMLANDS LÄN</t>
        </is>
      </c>
      <c r="E208" t="inlineStr">
        <is>
          <t>SUNNE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46138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37474-2024</t>
        </is>
      </c>
      <c r="B210" s="1" t="n">
        <v>45541.29113425926</v>
      </c>
      <c r="C210" s="1" t="n">
        <v>46138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17033-2022</t>
        </is>
      </c>
      <c r="B211" s="1" t="n">
        <v>44676</v>
      </c>
      <c r="C211" s="1" t="n">
        <v>46138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55900-2024</t>
        </is>
      </c>
      <c r="B212" s="1" t="n">
        <v>45623</v>
      </c>
      <c r="C212" s="1" t="n">
        <v>46138</v>
      </c>
      <c r="D212" t="inlineStr">
        <is>
          <t>VÄRMLANDS LÄN</t>
        </is>
      </c>
      <c r="E212" t="inlineStr">
        <is>
          <t>SUNNE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19543-2025</t>
        </is>
      </c>
      <c r="B213" s="1" t="n">
        <v>45770.48678240741</v>
      </c>
      <c r="C213" s="1" t="n">
        <v>46138</v>
      </c>
      <c r="D213" t="inlineStr">
        <is>
          <t>VÄRMLANDS LÄN</t>
        </is>
      </c>
      <c r="E213" t="inlineStr">
        <is>
          <t>SUNNE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44869-2023</t>
        </is>
      </c>
      <c r="B214" s="1" t="n">
        <v>45190.5977199074</v>
      </c>
      <c r="C214" s="1" t="n">
        <v>46138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3995-2022</t>
        </is>
      </c>
      <c r="B215" s="1" t="n">
        <v>44587</v>
      </c>
      <c r="C215" s="1" t="n">
        <v>46138</v>
      </c>
      <c r="D215" t="inlineStr">
        <is>
          <t>VÄRMLANDS LÄN</t>
        </is>
      </c>
      <c r="E215" t="inlineStr">
        <is>
          <t>SUNNE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34909-2022</t>
        </is>
      </c>
      <c r="B216" s="1" t="n">
        <v>44796</v>
      </c>
      <c r="C216" s="1" t="n">
        <v>46138</v>
      </c>
      <c r="D216" t="inlineStr">
        <is>
          <t>VÄRMLANDS LÄN</t>
        </is>
      </c>
      <c r="E216" t="inlineStr">
        <is>
          <t>SUNNE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18183-2023</t>
        </is>
      </c>
      <c r="B217" s="1" t="n">
        <v>45041.35148148148</v>
      </c>
      <c r="C217" s="1" t="n">
        <v>46138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22121-2022</t>
        </is>
      </c>
      <c r="B218" s="1" t="n">
        <v>44712</v>
      </c>
      <c r="C218" s="1" t="n">
        <v>46138</v>
      </c>
      <c r="D218" t="inlineStr">
        <is>
          <t>VÄRMLANDS LÄN</t>
        </is>
      </c>
      <c r="E218" t="inlineStr">
        <is>
          <t>SUNNE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2171-2023</t>
        </is>
      </c>
      <c r="B219" s="1" t="n">
        <v>44941.95304398148</v>
      </c>
      <c r="C219" s="1" t="n">
        <v>46138</v>
      </c>
      <c r="D219" t="inlineStr">
        <is>
          <t>VÄRMLANDS LÄN</t>
        </is>
      </c>
      <c r="E219" t="inlineStr">
        <is>
          <t>SUNNE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2173-2023</t>
        </is>
      </c>
      <c r="B220" s="1" t="n">
        <v>44941.95513888889</v>
      </c>
      <c r="C220" s="1" t="n">
        <v>46138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55121-2024</t>
        </is>
      </c>
      <c r="B221" s="1" t="n">
        <v>45621.45894675926</v>
      </c>
      <c r="C221" s="1" t="n">
        <v>46138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13305-2025</t>
        </is>
      </c>
      <c r="B222" s="1" t="n">
        <v>45735.57909722222</v>
      </c>
      <c r="C222" s="1" t="n">
        <v>46138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13306-2025</t>
        </is>
      </c>
      <c r="B223" s="1" t="n">
        <v>45735.57915509259</v>
      </c>
      <c r="C223" s="1" t="n">
        <v>46138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17512-2022</t>
        </is>
      </c>
      <c r="B224" s="1" t="n">
        <v>44679.55215277777</v>
      </c>
      <c r="C224" s="1" t="n">
        <v>46138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72410-2021</t>
        </is>
      </c>
      <c r="B225" s="1" t="n">
        <v>44545.62045138889</v>
      </c>
      <c r="C225" s="1" t="n">
        <v>46138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46138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3148-2025</t>
        </is>
      </c>
      <c r="B227" s="1" t="n">
        <v>45678.89115740741</v>
      </c>
      <c r="C227" s="1" t="n">
        <v>46138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5709-2025</t>
        </is>
      </c>
      <c r="B228" s="1" t="n">
        <v>45694.45340277778</v>
      </c>
      <c r="C228" s="1" t="n">
        <v>46138</v>
      </c>
      <c r="D228" t="inlineStr">
        <is>
          <t>VÄRMLANDS LÄN</t>
        </is>
      </c>
      <c r="E228" t="inlineStr">
        <is>
          <t>SUNNE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14660-2022</t>
        </is>
      </c>
      <c r="B229" s="1" t="n">
        <v>44655</v>
      </c>
      <c r="C229" s="1" t="n">
        <v>46138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17817-2025</t>
        </is>
      </c>
      <c r="B230" s="1" t="n">
        <v>45758</v>
      </c>
      <c r="C230" s="1" t="n">
        <v>46138</v>
      </c>
      <c r="D230" t="inlineStr">
        <is>
          <t>VÄRMLANDS LÄN</t>
        </is>
      </c>
      <c r="E230" t="inlineStr">
        <is>
          <t>SUNNE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55399-2024</t>
        </is>
      </c>
      <c r="B231" s="1" t="n">
        <v>45622.35171296296</v>
      </c>
      <c r="C231" s="1" t="n">
        <v>46138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28025-2023</t>
        </is>
      </c>
      <c r="B232" s="1" t="n">
        <v>45098.9759837963</v>
      </c>
      <c r="C232" s="1" t="n">
        <v>46138</v>
      </c>
      <c r="D232" t="inlineStr">
        <is>
          <t>VÄRMLANDS LÄN</t>
        </is>
      </c>
      <c r="E232" t="inlineStr">
        <is>
          <t>SUNNE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50557-2021</t>
        </is>
      </c>
      <c r="B233" s="1" t="n">
        <v>44459</v>
      </c>
      <c r="C233" s="1" t="n">
        <v>46138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46138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19870-2021</t>
        </is>
      </c>
      <c r="B235" s="1" t="n">
        <v>44313</v>
      </c>
      <c r="C235" s="1" t="n">
        <v>46138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44066-2021</t>
        </is>
      </c>
      <c r="B236" s="1" t="n">
        <v>44434</v>
      </c>
      <c r="C236" s="1" t="n">
        <v>46138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73322-2021</t>
        </is>
      </c>
      <c r="B237" s="1" t="n">
        <v>44551.34428240741</v>
      </c>
      <c r="C237" s="1" t="n">
        <v>46138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30645-2024</t>
        </is>
      </c>
      <c r="B238" s="1" t="n">
        <v>45495.58692129629</v>
      </c>
      <c r="C238" s="1" t="n">
        <v>46138</v>
      </c>
      <c r="D238" t="inlineStr">
        <is>
          <t>VÄRMLANDS LÄN</t>
        </is>
      </c>
      <c r="E238" t="inlineStr">
        <is>
          <t>SUNNE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37212-2021</t>
        </is>
      </c>
      <c r="B239" s="1" t="n">
        <v>44396</v>
      </c>
      <c r="C239" s="1" t="n">
        <v>46138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9138-2022</t>
        </is>
      </c>
      <c r="B240" s="1" t="n">
        <v>44615</v>
      </c>
      <c r="C240" s="1" t="n">
        <v>46138</v>
      </c>
      <c r="D240" t="inlineStr">
        <is>
          <t>VÄRMLANDS LÄN</t>
        </is>
      </c>
      <c r="E240" t="inlineStr">
        <is>
          <t>SUNNE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40599-2021</t>
        </is>
      </c>
      <c r="B241" s="1" t="n">
        <v>44420</v>
      </c>
      <c r="C241" s="1" t="n">
        <v>46138</v>
      </c>
      <c r="D241" t="inlineStr">
        <is>
          <t>VÄRMLANDS LÄN</t>
        </is>
      </c>
      <c r="E241" t="inlineStr">
        <is>
          <t>SUNNE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10029-2022</t>
        </is>
      </c>
      <c r="B242" s="1" t="n">
        <v>44621</v>
      </c>
      <c r="C242" s="1" t="n">
        <v>46138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31603-2021</t>
        </is>
      </c>
      <c r="B243" s="1" t="n">
        <v>44369</v>
      </c>
      <c r="C243" s="1" t="n">
        <v>46138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31576-2021</t>
        </is>
      </c>
      <c r="B244" s="1" t="n">
        <v>44369</v>
      </c>
      <c r="C244" s="1" t="n">
        <v>46138</v>
      </c>
      <c r="D244" t="inlineStr">
        <is>
          <t>VÄRMLANDS LÄN</t>
        </is>
      </c>
      <c r="E244" t="inlineStr">
        <is>
          <t>SUNNE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31430-2022</t>
        </is>
      </c>
      <c r="B245" s="1" t="n">
        <v>44774</v>
      </c>
      <c r="C245" s="1" t="n">
        <v>46138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32370-2024</t>
        </is>
      </c>
      <c r="B246" s="1" t="n">
        <v>45512.58751157407</v>
      </c>
      <c r="C246" s="1" t="n">
        <v>46138</v>
      </c>
      <c r="D246" t="inlineStr">
        <is>
          <t>VÄRMLANDS LÄN</t>
        </is>
      </c>
      <c r="E246" t="inlineStr">
        <is>
          <t>SUNNE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9440-2023</t>
        </is>
      </c>
      <c r="B247" s="1" t="n">
        <v>44981.52952546296</v>
      </c>
      <c r="C247" s="1" t="n">
        <v>46138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46138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46138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20650-2023</t>
        </is>
      </c>
      <c r="B250" s="1" t="n">
        <v>45058</v>
      </c>
      <c r="C250" s="1" t="n">
        <v>46138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46138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46138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50827-2021</t>
        </is>
      </c>
      <c r="B253" s="1" t="n">
        <v>44460.49873842593</v>
      </c>
      <c r="C253" s="1" t="n">
        <v>46138</v>
      </c>
      <c r="D253" t="inlineStr">
        <is>
          <t>VÄRMLANDS LÄN</t>
        </is>
      </c>
      <c r="E253" t="inlineStr">
        <is>
          <t>SUNNE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44383-2024</t>
        </is>
      </c>
      <c r="B254" s="1" t="n">
        <v>45573</v>
      </c>
      <c r="C254" s="1" t="n">
        <v>46138</v>
      </c>
      <c r="D254" t="inlineStr">
        <is>
          <t>VÄRMLANDS LÄN</t>
        </is>
      </c>
      <c r="E254" t="inlineStr">
        <is>
          <t>SUNNE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58367-2021</t>
        </is>
      </c>
      <c r="B255" s="1" t="n">
        <v>44488</v>
      </c>
      <c r="C255" s="1" t="n">
        <v>46138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26580-2021</t>
        </is>
      </c>
      <c r="B256" s="1" t="n">
        <v>44348</v>
      </c>
      <c r="C256" s="1" t="n">
        <v>46138</v>
      </c>
      <c r="D256" t="inlineStr">
        <is>
          <t>VÄRMLANDS LÄN</t>
        </is>
      </c>
      <c r="E256" t="inlineStr">
        <is>
          <t>SUNNE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61419-2023</t>
        </is>
      </c>
      <c r="B257" s="1" t="n">
        <v>45264.67577546297</v>
      </c>
      <c r="C257" s="1" t="n">
        <v>46138</v>
      </c>
      <c r="D257" t="inlineStr">
        <is>
          <t>VÄRMLANDS LÄN</t>
        </is>
      </c>
      <c r="E257" t="inlineStr">
        <is>
          <t>SUNNE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28876-2022</t>
        </is>
      </c>
      <c r="B258" s="1" t="n">
        <v>44749</v>
      </c>
      <c r="C258" s="1" t="n">
        <v>46138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24172-2023</t>
        </is>
      </c>
      <c r="B259" s="1" t="n">
        <v>45079</v>
      </c>
      <c r="C259" s="1" t="n">
        <v>46138</v>
      </c>
      <c r="D259" t="inlineStr">
        <is>
          <t>VÄRMLANDS LÄN</t>
        </is>
      </c>
      <c r="E259" t="inlineStr">
        <is>
          <t>SUNNE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63356-2021</t>
        </is>
      </c>
      <c r="B260" s="1" t="n">
        <v>44508.48819444444</v>
      </c>
      <c r="C260" s="1" t="n">
        <v>46138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11424-2022</t>
        </is>
      </c>
      <c r="B261" s="1" t="n">
        <v>44630</v>
      </c>
      <c r="C261" s="1" t="n">
        <v>46138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22964-2024</t>
        </is>
      </c>
      <c r="B262" s="1" t="n">
        <v>45449.55700231482</v>
      </c>
      <c r="C262" s="1" t="n">
        <v>46138</v>
      </c>
      <c r="D262" t="inlineStr">
        <is>
          <t>VÄRMLANDS LÄN</t>
        </is>
      </c>
      <c r="E262" t="inlineStr">
        <is>
          <t>SUNNE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45299-2021</t>
        </is>
      </c>
      <c r="B263" s="1" t="n">
        <v>44439</v>
      </c>
      <c r="C263" s="1" t="n">
        <v>46138</v>
      </c>
      <c r="D263" t="inlineStr">
        <is>
          <t>VÄRMLANDS LÄN</t>
        </is>
      </c>
      <c r="E263" t="inlineStr">
        <is>
          <t>SUNNE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62166-2024</t>
        </is>
      </c>
      <c r="B264" s="1" t="n">
        <v>45657.43004629629</v>
      </c>
      <c r="C264" s="1" t="n">
        <v>46138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30207-2023</t>
        </is>
      </c>
      <c r="B265" s="1" t="n">
        <v>45110</v>
      </c>
      <c r="C265" s="1" t="n">
        <v>46138</v>
      </c>
      <c r="D265" t="inlineStr">
        <is>
          <t>VÄRMLANDS LÄN</t>
        </is>
      </c>
      <c r="E265" t="inlineStr">
        <is>
          <t>SUNNE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30785-2021</t>
        </is>
      </c>
      <c r="B266" s="1" t="n">
        <v>44365.49452546296</v>
      </c>
      <c r="C266" s="1" t="n">
        <v>46138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42705-2021</t>
        </is>
      </c>
      <c r="B267" s="1" t="n">
        <v>44428</v>
      </c>
      <c r="C267" s="1" t="n">
        <v>46138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1736-2025</t>
        </is>
      </c>
      <c r="B268" s="1" t="n">
        <v>45671.38667824074</v>
      </c>
      <c r="C268" s="1" t="n">
        <v>46138</v>
      </c>
      <c r="D268" t="inlineStr">
        <is>
          <t>VÄRMLANDS LÄN</t>
        </is>
      </c>
      <c r="E268" t="inlineStr">
        <is>
          <t>SUNNE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1737-2025</t>
        </is>
      </c>
      <c r="B269" s="1" t="n">
        <v>45671.39046296296</v>
      </c>
      <c r="C269" s="1" t="n">
        <v>46138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63899-2021</t>
        </is>
      </c>
      <c r="B270" s="1" t="n">
        <v>44509</v>
      </c>
      <c r="C270" s="1" t="n">
        <v>46138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27224-2021</t>
        </is>
      </c>
      <c r="B271" s="1" t="n">
        <v>44350</v>
      </c>
      <c r="C271" s="1" t="n">
        <v>46138</v>
      </c>
      <c r="D271" t="inlineStr">
        <is>
          <t>VÄRMLANDS LÄN</t>
        </is>
      </c>
      <c r="E271" t="inlineStr">
        <is>
          <t>SUNNE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46138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63090-2023</t>
        </is>
      </c>
      <c r="B273" s="1" t="n">
        <v>45273</v>
      </c>
      <c r="C273" s="1" t="n">
        <v>46138</v>
      </c>
      <c r="D273" t="inlineStr">
        <is>
          <t>VÄRMLANDS LÄN</t>
        </is>
      </c>
      <c r="E273" t="inlineStr">
        <is>
          <t>SUNNE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48853-2022</t>
        </is>
      </c>
      <c r="B274" s="1" t="n">
        <v>44859</v>
      </c>
      <c r="C274" s="1" t="n">
        <v>46138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51194-2021</t>
        </is>
      </c>
      <c r="B275" s="1" t="n">
        <v>44461</v>
      </c>
      <c r="C275" s="1" t="n">
        <v>46138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12271-2025</t>
        </is>
      </c>
      <c r="B276" s="1" t="n">
        <v>45729</v>
      </c>
      <c r="C276" s="1" t="n">
        <v>46138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14050-2025</t>
        </is>
      </c>
      <c r="B277" s="1" t="n">
        <v>45738</v>
      </c>
      <c r="C277" s="1" t="n">
        <v>46138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5088-2022</t>
        </is>
      </c>
      <c r="B278" s="1" t="n">
        <v>44593</v>
      </c>
      <c r="C278" s="1" t="n">
        <v>46138</v>
      </c>
      <c r="D278" t="inlineStr">
        <is>
          <t>VÄRMLANDS LÄN</t>
        </is>
      </c>
      <c r="E278" t="inlineStr">
        <is>
          <t>SUNNE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15226-2025</t>
        </is>
      </c>
      <c r="B279" s="1" t="n">
        <v>45744.59296296296</v>
      </c>
      <c r="C279" s="1" t="n">
        <v>46138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8585-2022</t>
        </is>
      </c>
      <c r="B280" s="1" t="n">
        <v>44613</v>
      </c>
      <c r="C280" s="1" t="n">
        <v>46138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34707-2022</t>
        </is>
      </c>
      <c r="B281" s="1" t="n">
        <v>44795.57873842592</v>
      </c>
      <c r="C281" s="1" t="n">
        <v>46138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52042-2023</t>
        </is>
      </c>
      <c r="B282" s="1" t="n">
        <v>45223</v>
      </c>
      <c r="C282" s="1" t="n">
        <v>46138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16294-2025</t>
        </is>
      </c>
      <c r="B283" s="1" t="n">
        <v>45750</v>
      </c>
      <c r="C283" s="1" t="n">
        <v>46138</v>
      </c>
      <c r="D283" t="inlineStr">
        <is>
          <t>VÄRMLANDS LÄN</t>
        </is>
      </c>
      <c r="E283" t="inlineStr">
        <is>
          <t>SUNNE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22192-2022</t>
        </is>
      </c>
      <c r="B284" s="1" t="n">
        <v>44712.48921296297</v>
      </c>
      <c r="C284" s="1" t="n">
        <v>46138</v>
      </c>
      <c r="D284" t="inlineStr">
        <is>
          <t>VÄRMLANDS LÄN</t>
        </is>
      </c>
      <c r="E284" t="inlineStr">
        <is>
          <t>SUNNE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45327-2021</t>
        </is>
      </c>
      <c r="B285" s="1" t="n">
        <v>44439.78618055556</v>
      </c>
      <c r="C285" s="1" t="n">
        <v>46138</v>
      </c>
      <c r="D285" t="inlineStr">
        <is>
          <t>VÄRMLANDS LÄN</t>
        </is>
      </c>
      <c r="E285" t="inlineStr">
        <is>
          <t>SUNNE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7749-2025</t>
        </is>
      </c>
      <c r="B286" s="1" t="n">
        <v>45706.49357638889</v>
      </c>
      <c r="C286" s="1" t="n">
        <v>46138</v>
      </c>
      <c r="D286" t="inlineStr">
        <is>
          <t>VÄRMLANDS LÄN</t>
        </is>
      </c>
      <c r="E286" t="inlineStr">
        <is>
          <t>SUNNE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9173-2023</t>
        </is>
      </c>
      <c r="B287" s="1" t="n">
        <v>44980</v>
      </c>
      <c r="C287" s="1" t="n">
        <v>46138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35558-2023</t>
        </is>
      </c>
      <c r="B288" s="1" t="n">
        <v>45147</v>
      </c>
      <c r="C288" s="1" t="n">
        <v>46138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18434-2025</t>
        </is>
      </c>
      <c r="B289" s="1" t="n">
        <v>45762.63959490741</v>
      </c>
      <c r="C289" s="1" t="n">
        <v>46138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7051-2023</t>
        </is>
      </c>
      <c r="B290" s="1" t="n">
        <v>44969</v>
      </c>
      <c r="C290" s="1" t="n">
        <v>46138</v>
      </c>
      <c r="D290" t="inlineStr">
        <is>
          <t>VÄRMLANDS LÄN</t>
        </is>
      </c>
      <c r="E290" t="inlineStr">
        <is>
          <t>SUNNE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7052-2023</t>
        </is>
      </c>
      <c r="B291" s="1" t="n">
        <v>44969</v>
      </c>
      <c r="C291" s="1" t="n">
        <v>46138</v>
      </c>
      <c r="D291" t="inlineStr">
        <is>
          <t>VÄRMLANDS LÄN</t>
        </is>
      </c>
      <c r="E291" t="inlineStr">
        <is>
          <t>SUNNE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46683-2022</t>
        </is>
      </c>
      <c r="B292" s="1" t="n">
        <v>44851.35893518518</v>
      </c>
      <c r="C292" s="1" t="n">
        <v>46138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3852-2024</t>
        </is>
      </c>
      <c r="B293" s="1" t="n">
        <v>45322</v>
      </c>
      <c r="C293" s="1" t="n">
        <v>46138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15453-2024</t>
        </is>
      </c>
      <c r="B294" s="1" t="n">
        <v>45401</v>
      </c>
      <c r="C294" s="1" t="n">
        <v>46138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55147-2022</t>
        </is>
      </c>
      <c r="B295" s="1" t="n">
        <v>44886</v>
      </c>
      <c r="C295" s="1" t="n">
        <v>46138</v>
      </c>
      <c r="D295" t="inlineStr">
        <is>
          <t>VÄRMLANDS LÄN</t>
        </is>
      </c>
      <c r="E295" t="inlineStr">
        <is>
          <t>SUNNE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48052-2023</t>
        </is>
      </c>
      <c r="B296" s="1" t="n">
        <v>45204</v>
      </c>
      <c r="C296" s="1" t="n">
        <v>46138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40485-2022</t>
        </is>
      </c>
      <c r="B297" s="1" t="n">
        <v>44823.57565972222</v>
      </c>
      <c r="C297" s="1" t="n">
        <v>46138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37381-2021</t>
        </is>
      </c>
      <c r="B298" s="1" t="n">
        <v>44398</v>
      </c>
      <c r="C298" s="1" t="n">
        <v>46138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56738-2024</t>
        </is>
      </c>
      <c r="B299" s="1" t="n">
        <v>45628</v>
      </c>
      <c r="C299" s="1" t="n">
        <v>46138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17691-2025</t>
        </is>
      </c>
      <c r="B300" s="1" t="n">
        <v>45758.4083912037</v>
      </c>
      <c r="C300" s="1" t="n">
        <v>46138</v>
      </c>
      <c r="D300" t="inlineStr">
        <is>
          <t>VÄRMLANDS LÄN</t>
        </is>
      </c>
      <c r="E300" t="inlineStr">
        <is>
          <t>SUNNE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20435-2024</t>
        </is>
      </c>
      <c r="B301" s="1" t="n">
        <v>45435.61392361111</v>
      </c>
      <c r="C301" s="1" t="n">
        <v>46138</v>
      </c>
      <c r="D301" t="inlineStr">
        <is>
          <t>VÄRMLANDS LÄN</t>
        </is>
      </c>
      <c r="E301" t="inlineStr">
        <is>
          <t>SUNNE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50872-2024</t>
        </is>
      </c>
      <c r="B302" s="1" t="n">
        <v>45602.64645833334</v>
      </c>
      <c r="C302" s="1" t="n">
        <v>46138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54977-2022</t>
        </is>
      </c>
      <c r="B303" s="1" t="n">
        <v>44886</v>
      </c>
      <c r="C303" s="1" t="n">
        <v>46138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50684-2024</t>
        </is>
      </c>
      <c r="B304" s="1" t="n">
        <v>45602.31829861111</v>
      </c>
      <c r="C304" s="1" t="n">
        <v>46138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44433-2023</t>
        </is>
      </c>
      <c r="B305" s="1" t="n">
        <v>45183</v>
      </c>
      <c r="C305" s="1" t="n">
        <v>46138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32093-2022</t>
        </is>
      </c>
      <c r="B306" s="1" t="n">
        <v>44778</v>
      </c>
      <c r="C306" s="1" t="n">
        <v>46138</v>
      </c>
      <c r="D306" t="inlineStr">
        <is>
          <t>VÄRMLANDS LÄN</t>
        </is>
      </c>
      <c r="E306" t="inlineStr">
        <is>
          <t>SUNNE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40714-2022</t>
        </is>
      </c>
      <c r="B307" s="1" t="n">
        <v>44824.49069444444</v>
      </c>
      <c r="C307" s="1" t="n">
        <v>46138</v>
      </c>
      <c r="D307" t="inlineStr">
        <is>
          <t>VÄRMLANDS LÄN</t>
        </is>
      </c>
      <c r="E307" t="inlineStr">
        <is>
          <t>SUNNE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3147-2025</t>
        </is>
      </c>
      <c r="B308" s="1" t="n">
        <v>45678.88856481481</v>
      </c>
      <c r="C308" s="1" t="n">
        <v>46138</v>
      </c>
      <c r="D308" t="inlineStr">
        <is>
          <t>VÄRMLANDS LÄN</t>
        </is>
      </c>
      <c r="E308" t="inlineStr">
        <is>
          <t>SUNNE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10232-2024</t>
        </is>
      </c>
      <c r="B309" s="1" t="n">
        <v>45365</v>
      </c>
      <c r="C309" s="1" t="n">
        <v>46138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17124-2024</t>
        </is>
      </c>
      <c r="B310" s="1" t="n">
        <v>45412.58369212963</v>
      </c>
      <c r="C310" s="1" t="n">
        <v>46138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2525-2023</t>
        </is>
      </c>
      <c r="B311" s="1" t="n">
        <v>44943</v>
      </c>
      <c r="C311" s="1" t="n">
        <v>46138</v>
      </c>
      <c r="D311" t="inlineStr">
        <is>
          <t>VÄRMLANDS LÄN</t>
        </is>
      </c>
      <c r="E311" t="inlineStr">
        <is>
          <t>SUNNE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44369-2022</t>
        </is>
      </c>
      <c r="B312" s="1" t="n">
        <v>44839</v>
      </c>
      <c r="C312" s="1" t="n">
        <v>46138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46138-2023</t>
        </is>
      </c>
      <c r="B313" s="1" t="n">
        <v>45196.56465277778</v>
      </c>
      <c r="C313" s="1" t="n">
        <v>46138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50825-2024</t>
        </is>
      </c>
      <c r="B314" s="1" t="n">
        <v>45602</v>
      </c>
      <c r="C314" s="1" t="n">
        <v>46138</v>
      </c>
      <c r="D314" t="inlineStr">
        <is>
          <t>VÄRMLANDS LÄN</t>
        </is>
      </c>
      <c r="E314" t="inlineStr">
        <is>
          <t>SUNNE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15170-2022</t>
        </is>
      </c>
      <c r="B315" s="1" t="n">
        <v>44658.53688657407</v>
      </c>
      <c r="C315" s="1" t="n">
        <v>46138</v>
      </c>
      <c r="D315" t="inlineStr">
        <is>
          <t>VÄRMLANDS LÄN</t>
        </is>
      </c>
      <c r="E315" t="inlineStr">
        <is>
          <t>SUNNE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17031-2022</t>
        </is>
      </c>
      <c r="B316" s="1" t="n">
        <v>44676</v>
      </c>
      <c r="C316" s="1" t="n">
        <v>46138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11659-2025</t>
        </is>
      </c>
      <c r="B317" s="1" t="n">
        <v>45726</v>
      </c>
      <c r="C317" s="1" t="n">
        <v>46138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29958-2024</t>
        </is>
      </c>
      <c r="B318" s="1" t="n">
        <v>45488</v>
      </c>
      <c r="C318" s="1" t="n">
        <v>46138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56549-2024</t>
        </is>
      </c>
      <c r="B319" s="1" t="n">
        <v>45625</v>
      </c>
      <c r="C319" s="1" t="n">
        <v>46138</v>
      </c>
      <c r="D319" t="inlineStr">
        <is>
          <t>VÄRMLANDS LÄN</t>
        </is>
      </c>
      <c r="E319" t="inlineStr">
        <is>
          <t>SUNNE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73050-2021</t>
        </is>
      </c>
      <c r="B320" s="1" t="n">
        <v>44550</v>
      </c>
      <c r="C320" s="1" t="n">
        <v>46138</v>
      </c>
      <c r="D320" t="inlineStr">
        <is>
          <t>VÄRMLANDS LÄN</t>
        </is>
      </c>
      <c r="E320" t="inlineStr">
        <is>
          <t>SUNNE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13397-2024</t>
        </is>
      </c>
      <c r="B321" s="1" t="n">
        <v>45387.42944444445</v>
      </c>
      <c r="C321" s="1" t="n">
        <v>46138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31020-2024</t>
        </is>
      </c>
      <c r="B322" s="1" t="n">
        <v>45499</v>
      </c>
      <c r="C322" s="1" t="n">
        <v>46138</v>
      </c>
      <c r="D322" t="inlineStr">
        <is>
          <t>VÄRMLANDS LÄN</t>
        </is>
      </c>
      <c r="E322" t="inlineStr">
        <is>
          <t>SUNNE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16403-2024</t>
        </is>
      </c>
      <c r="B323" s="1" t="n">
        <v>45407.63439814815</v>
      </c>
      <c r="C323" s="1" t="n">
        <v>46138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37993-2021</t>
        </is>
      </c>
      <c r="B324" s="1" t="n">
        <v>44404</v>
      </c>
      <c r="C324" s="1" t="n">
        <v>46138</v>
      </c>
      <c r="D324" t="inlineStr">
        <is>
          <t>VÄRMLANDS LÄN</t>
        </is>
      </c>
      <c r="E324" t="inlineStr">
        <is>
          <t>SUNNE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25429-2023</t>
        </is>
      </c>
      <c r="B325" s="1" t="n">
        <v>45089.40971064815</v>
      </c>
      <c r="C325" s="1" t="n">
        <v>46138</v>
      </c>
      <c r="D325" t="inlineStr">
        <is>
          <t>VÄRMLANDS LÄN</t>
        </is>
      </c>
      <c r="E325" t="inlineStr">
        <is>
          <t>SUNNE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27053-2023</t>
        </is>
      </c>
      <c r="B326" s="1" t="n">
        <v>45095</v>
      </c>
      <c r="C326" s="1" t="n">
        <v>46138</v>
      </c>
      <c r="D326" t="inlineStr">
        <is>
          <t>VÄRMLANDS LÄN</t>
        </is>
      </c>
      <c r="E326" t="inlineStr">
        <is>
          <t>SUNNE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16015-2023</t>
        </is>
      </c>
      <c r="B327" s="1" t="n">
        <v>45026</v>
      </c>
      <c r="C327" s="1" t="n">
        <v>46138</v>
      </c>
      <c r="D327" t="inlineStr">
        <is>
          <t>VÄRMLANDS LÄN</t>
        </is>
      </c>
      <c r="E327" t="inlineStr">
        <is>
          <t>SUNNE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13198-2023</t>
        </is>
      </c>
      <c r="B328" s="1" t="n">
        <v>45002.63953703704</v>
      </c>
      <c r="C328" s="1" t="n">
        <v>46138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43312-2023</t>
        </is>
      </c>
      <c r="B329" s="1" t="n">
        <v>45183.60768518518</v>
      </c>
      <c r="C329" s="1" t="n">
        <v>46138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2691-2022</t>
        </is>
      </c>
      <c r="B330" s="1" t="n">
        <v>44580</v>
      </c>
      <c r="C330" s="1" t="n">
        <v>46138</v>
      </c>
      <c r="D330" t="inlineStr">
        <is>
          <t>VÄRMLANDS LÄN</t>
        </is>
      </c>
      <c r="E330" t="inlineStr">
        <is>
          <t>SUNNE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48265-2022</t>
        </is>
      </c>
      <c r="B331" s="1" t="n">
        <v>44858.48615740741</v>
      </c>
      <c r="C331" s="1" t="n">
        <v>46138</v>
      </c>
      <c r="D331" t="inlineStr">
        <is>
          <t>VÄRMLANDS LÄN</t>
        </is>
      </c>
      <c r="E331" t="inlineStr">
        <is>
          <t>SUNNE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72783-2021</t>
        </is>
      </c>
      <c r="B332" s="1" t="n">
        <v>44547.33819444444</v>
      </c>
      <c r="C332" s="1" t="n">
        <v>46138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6926-2024</t>
        </is>
      </c>
      <c r="B333" s="1" t="n">
        <v>45343</v>
      </c>
      <c r="C333" s="1" t="n">
        <v>46138</v>
      </c>
      <c r="D333" t="inlineStr">
        <is>
          <t>VÄRMLANDS LÄN</t>
        </is>
      </c>
      <c r="E333" t="inlineStr">
        <is>
          <t>SUNNE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4200-2024</t>
        </is>
      </c>
      <c r="B334" s="1" t="n">
        <v>45324.36109953704</v>
      </c>
      <c r="C334" s="1" t="n">
        <v>46138</v>
      </c>
      <c r="D334" t="inlineStr">
        <is>
          <t>VÄRMLANDS LÄN</t>
        </is>
      </c>
      <c r="E334" t="inlineStr">
        <is>
          <t>SUNNE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5008-2025</t>
        </is>
      </c>
      <c r="B335" s="1" t="n">
        <v>45691.37667824074</v>
      </c>
      <c r="C335" s="1" t="n">
        <v>46138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44899-2022</t>
        </is>
      </c>
      <c r="B336" s="1" t="n">
        <v>44841.50252314815</v>
      </c>
      <c r="C336" s="1" t="n">
        <v>46138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21138-2023</t>
        </is>
      </c>
      <c r="B337" s="1" t="n">
        <v>45062.36471064815</v>
      </c>
      <c r="C337" s="1" t="n">
        <v>46138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1842-2024</t>
        </is>
      </c>
      <c r="B338" s="1" t="n">
        <v>45307</v>
      </c>
      <c r="C338" s="1" t="n">
        <v>46138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6930-2025</t>
        </is>
      </c>
      <c r="B339" s="1" t="n">
        <v>45701</v>
      </c>
      <c r="C339" s="1" t="n">
        <v>46138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27088-2022</t>
        </is>
      </c>
      <c r="B340" s="1" t="n">
        <v>44741</v>
      </c>
      <c r="C340" s="1" t="n">
        <v>46138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60880-2024</t>
        </is>
      </c>
      <c r="B341" s="1" t="n">
        <v>45644.83135416666</v>
      </c>
      <c r="C341" s="1" t="n">
        <v>46138</v>
      </c>
      <c r="D341" t="inlineStr">
        <is>
          <t>VÄRMLANDS LÄN</t>
        </is>
      </c>
      <c r="E341" t="inlineStr">
        <is>
          <t>SUNNE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2980-2022</t>
        </is>
      </c>
      <c r="B342" s="1" t="n">
        <v>44581</v>
      </c>
      <c r="C342" s="1" t="n">
        <v>46138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24923-2023</t>
        </is>
      </c>
      <c r="B343" s="1" t="n">
        <v>45085</v>
      </c>
      <c r="C343" s="1" t="n">
        <v>46138</v>
      </c>
      <c r="D343" t="inlineStr">
        <is>
          <t>VÄRMLANDS LÄN</t>
        </is>
      </c>
      <c r="E343" t="inlineStr">
        <is>
          <t>SUNNE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38969-2021</t>
        </is>
      </c>
      <c r="B344" s="1" t="n">
        <v>44411</v>
      </c>
      <c r="C344" s="1" t="n">
        <v>46138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31034-2023</t>
        </is>
      </c>
      <c r="B345" s="1" t="n">
        <v>45113.58893518519</v>
      </c>
      <c r="C345" s="1" t="n">
        <v>46138</v>
      </c>
      <c r="D345" t="inlineStr">
        <is>
          <t>VÄRMLANDS LÄN</t>
        </is>
      </c>
      <c r="E345" t="inlineStr">
        <is>
          <t>SUNNE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46138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59685-2022</t>
        </is>
      </c>
      <c r="B347" s="1" t="n">
        <v>44908.37560185185</v>
      </c>
      <c r="C347" s="1" t="n">
        <v>46138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28205-2025</t>
        </is>
      </c>
      <c r="B348" s="1" t="n">
        <v>45818.44788194444</v>
      </c>
      <c r="C348" s="1" t="n">
        <v>46138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53755-2022</t>
        </is>
      </c>
      <c r="B349" s="1" t="n">
        <v>44880</v>
      </c>
      <c r="C349" s="1" t="n">
        <v>46138</v>
      </c>
      <c r="D349" t="inlineStr">
        <is>
          <t>VÄRMLANDS LÄN</t>
        </is>
      </c>
      <c r="E349" t="inlineStr">
        <is>
          <t>SUNNE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16085-2025</t>
        </is>
      </c>
      <c r="B350" s="1" t="n">
        <v>45749.81053240741</v>
      </c>
      <c r="C350" s="1" t="n">
        <v>46138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26995-2024</t>
        </is>
      </c>
      <c r="B351" s="1" t="n">
        <v>45471.37975694444</v>
      </c>
      <c r="C351" s="1" t="n">
        <v>46138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7096-2025</t>
        </is>
      </c>
      <c r="B352" s="1" t="n">
        <v>45701</v>
      </c>
      <c r="C352" s="1" t="n">
        <v>46138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53914-2023</t>
        </is>
      </c>
      <c r="B353" s="1" t="n">
        <v>45231.56193287037</v>
      </c>
      <c r="C353" s="1" t="n">
        <v>46138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39164-2024</t>
        </is>
      </c>
      <c r="B354" s="1" t="n">
        <v>45548</v>
      </c>
      <c r="C354" s="1" t="n">
        <v>46138</v>
      </c>
      <c r="D354" t="inlineStr">
        <is>
          <t>VÄRMLANDS LÄN</t>
        </is>
      </c>
      <c r="E354" t="inlineStr">
        <is>
          <t>SUNNE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47355-2021</t>
        </is>
      </c>
      <c r="B355" s="1" t="n">
        <v>44447</v>
      </c>
      <c r="C355" s="1" t="n">
        <v>46138</v>
      </c>
      <c r="D355" t="inlineStr">
        <is>
          <t>VÄRMLANDS LÄN</t>
        </is>
      </c>
      <c r="E355" t="inlineStr">
        <is>
          <t>SUNNE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25208-2023</t>
        </is>
      </c>
      <c r="B356" s="1" t="n">
        <v>45086.59510416666</v>
      </c>
      <c r="C356" s="1" t="n">
        <v>46138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44796-2021</t>
        </is>
      </c>
      <c r="B357" s="1" t="n">
        <v>44438</v>
      </c>
      <c r="C357" s="1" t="n">
        <v>46138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28968-2021</t>
        </is>
      </c>
      <c r="B358" s="1" t="n">
        <v>44358</v>
      </c>
      <c r="C358" s="1" t="n">
        <v>46138</v>
      </c>
      <c r="D358" t="inlineStr">
        <is>
          <t>VÄRMLANDS LÄN</t>
        </is>
      </c>
      <c r="E358" t="inlineStr">
        <is>
          <t>SUNNE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61430-2023</t>
        </is>
      </c>
      <c r="B359" s="1" t="n">
        <v>45261</v>
      </c>
      <c r="C359" s="1" t="n">
        <v>46138</v>
      </c>
      <c r="D359" t="inlineStr">
        <is>
          <t>VÄRMLANDS LÄN</t>
        </is>
      </c>
      <c r="E359" t="inlineStr">
        <is>
          <t>SUNNE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19954-2024</t>
        </is>
      </c>
      <c r="B360" s="1" t="n">
        <v>45433</v>
      </c>
      <c r="C360" s="1" t="n">
        <v>46138</v>
      </c>
      <c r="D360" t="inlineStr">
        <is>
          <t>VÄRMLANDS LÄN</t>
        </is>
      </c>
      <c r="E360" t="inlineStr">
        <is>
          <t>SUNNE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45327-2021</t>
        </is>
      </c>
      <c r="B361" s="1" t="n">
        <v>44439.78618055556</v>
      </c>
      <c r="C361" s="1" t="n">
        <v>46138</v>
      </c>
      <c r="D361" t="inlineStr">
        <is>
          <t>VÄRMLANDS LÄN</t>
        </is>
      </c>
      <c r="E361" t="inlineStr">
        <is>
          <t>SUNNE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29742-2023</t>
        </is>
      </c>
      <c r="B362" s="1" t="n">
        <v>45107</v>
      </c>
      <c r="C362" s="1" t="n">
        <v>46138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27727-2023</t>
        </is>
      </c>
      <c r="B363" s="1" t="n">
        <v>45093</v>
      </c>
      <c r="C363" s="1" t="n">
        <v>46138</v>
      </c>
      <c r="D363" t="inlineStr">
        <is>
          <t>VÄRMLANDS LÄN</t>
        </is>
      </c>
      <c r="E363" t="inlineStr">
        <is>
          <t>SUNNE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18208-2024</t>
        </is>
      </c>
      <c r="B364" s="1" t="n">
        <v>45420</v>
      </c>
      <c r="C364" s="1" t="n">
        <v>46138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28499-2023</t>
        </is>
      </c>
      <c r="B365" s="1" t="n">
        <v>45103</v>
      </c>
      <c r="C365" s="1" t="n">
        <v>46138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10224-2022</t>
        </is>
      </c>
      <c r="B366" s="1" t="n">
        <v>44622</v>
      </c>
      <c r="C366" s="1" t="n">
        <v>46138</v>
      </c>
      <c r="D366" t="inlineStr">
        <is>
          <t>VÄRMLANDS LÄN</t>
        </is>
      </c>
      <c r="E366" t="inlineStr">
        <is>
          <t>SUNNE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32951-2021</t>
        </is>
      </c>
      <c r="B367" s="1" t="n">
        <v>44369</v>
      </c>
      <c r="C367" s="1" t="n">
        <v>46138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6939-2025</t>
        </is>
      </c>
      <c r="B368" s="1" t="n">
        <v>45701</v>
      </c>
      <c r="C368" s="1" t="n">
        <v>46138</v>
      </c>
      <c r="D368" t="inlineStr">
        <is>
          <t>VÄRMLANDS LÄN</t>
        </is>
      </c>
      <c r="E368" t="inlineStr">
        <is>
          <t>SUNNE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21631-2024</t>
        </is>
      </c>
      <c r="B369" s="1" t="n">
        <v>45442.33350694444</v>
      </c>
      <c r="C369" s="1" t="n">
        <v>46138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37083-2021</t>
        </is>
      </c>
      <c r="B370" s="1" t="n">
        <v>44395</v>
      </c>
      <c r="C370" s="1" t="n">
        <v>46138</v>
      </c>
      <c r="D370" t="inlineStr">
        <is>
          <t>VÄRMLANDS LÄN</t>
        </is>
      </c>
      <c r="E370" t="inlineStr">
        <is>
          <t>SUNNE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29216-2023</t>
        </is>
      </c>
      <c r="B371" s="1" t="n">
        <v>45105</v>
      </c>
      <c r="C371" s="1" t="n">
        <v>46138</v>
      </c>
      <c r="D371" t="inlineStr">
        <is>
          <t>VÄRMLANDS LÄN</t>
        </is>
      </c>
      <c r="E371" t="inlineStr">
        <is>
          <t>SUNNE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38839-2025</t>
        </is>
      </c>
      <c r="B372" s="1" t="n">
        <v>45887.53543981481</v>
      </c>
      <c r="C372" s="1" t="n">
        <v>46138</v>
      </c>
      <c r="D372" t="inlineStr">
        <is>
          <t>VÄRMLANDS LÄN</t>
        </is>
      </c>
      <c r="E372" t="inlineStr">
        <is>
          <t>SUNNE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28191-2022</t>
        </is>
      </c>
      <c r="B373" s="1" t="n">
        <v>44746.59061342593</v>
      </c>
      <c r="C373" s="1" t="n">
        <v>46138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46342-2023</t>
        </is>
      </c>
      <c r="B374" s="1" t="n">
        <v>45194</v>
      </c>
      <c r="C374" s="1" t="n">
        <v>46138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26862-2022</t>
        </is>
      </c>
      <c r="B375" s="1" t="n">
        <v>44740.5177662037</v>
      </c>
      <c r="C375" s="1" t="n">
        <v>46138</v>
      </c>
      <c r="D375" t="inlineStr">
        <is>
          <t>VÄRMLANDS LÄN</t>
        </is>
      </c>
      <c r="E375" t="inlineStr">
        <is>
          <t>SUNNE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47219-2023</t>
        </is>
      </c>
      <c r="B376" s="1" t="n">
        <v>45196</v>
      </c>
      <c r="C376" s="1" t="n">
        <v>46138</v>
      </c>
      <c r="D376" t="inlineStr">
        <is>
          <t>VÄRMLANDS LÄN</t>
        </is>
      </c>
      <c r="E376" t="inlineStr">
        <is>
          <t>SUNNE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30036-2024</t>
        </is>
      </c>
      <c r="B377" s="1" t="n">
        <v>45488.69347222222</v>
      </c>
      <c r="C377" s="1" t="n">
        <v>46138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38953-2024</t>
        </is>
      </c>
      <c r="B378" s="1" t="n">
        <v>45548</v>
      </c>
      <c r="C378" s="1" t="n">
        <v>46138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261-2023</t>
        </is>
      </c>
      <c r="B379" s="1" t="n">
        <v>44928.77190972222</v>
      </c>
      <c r="C379" s="1" t="n">
        <v>46138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15916-2025</t>
        </is>
      </c>
      <c r="B380" s="1" t="n">
        <v>45749</v>
      </c>
      <c r="C380" s="1" t="n">
        <v>46138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51405-2021</t>
        </is>
      </c>
      <c r="B381" s="1" t="n">
        <v>44461</v>
      </c>
      <c r="C381" s="1" t="n">
        <v>46138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34004-2024</t>
        </is>
      </c>
      <c r="B382" s="1" t="n">
        <v>45523</v>
      </c>
      <c r="C382" s="1" t="n">
        <v>46138</v>
      </c>
      <c r="D382" t="inlineStr">
        <is>
          <t>VÄRMLANDS LÄN</t>
        </is>
      </c>
      <c r="E382" t="inlineStr">
        <is>
          <t>SUNNE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38866-2025</t>
        </is>
      </c>
      <c r="B383" s="1" t="n">
        <v>45887.56744212963</v>
      </c>
      <c r="C383" s="1" t="n">
        <v>46138</v>
      </c>
      <c r="D383" t="inlineStr">
        <is>
          <t>VÄRMLANDS LÄN</t>
        </is>
      </c>
      <c r="E383" t="inlineStr">
        <is>
          <t>SUNNE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7199-2023</t>
        </is>
      </c>
      <c r="B384" s="1" t="n">
        <v>44970.54512731481</v>
      </c>
      <c r="C384" s="1" t="n">
        <v>46138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37084-2021</t>
        </is>
      </c>
      <c r="B385" s="1" t="n">
        <v>44395.55420138889</v>
      </c>
      <c r="C385" s="1" t="n">
        <v>46138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38855-2025</t>
        </is>
      </c>
      <c r="B386" s="1" t="n">
        <v>45887.55829861111</v>
      </c>
      <c r="C386" s="1" t="n">
        <v>46138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42624-2022</t>
        </is>
      </c>
      <c r="B387" s="1" t="n">
        <v>44831.88890046296</v>
      </c>
      <c r="C387" s="1" t="n">
        <v>46138</v>
      </c>
      <c r="D387" t="inlineStr">
        <is>
          <t>VÄRMLANDS LÄN</t>
        </is>
      </c>
      <c r="E387" t="inlineStr">
        <is>
          <t>SUNNE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39469-2025</t>
        </is>
      </c>
      <c r="B388" s="1" t="n">
        <v>45889</v>
      </c>
      <c r="C388" s="1" t="n">
        <v>46138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18872-2025</t>
        </is>
      </c>
      <c r="B389" s="1" t="n">
        <v>45764</v>
      </c>
      <c r="C389" s="1" t="n">
        <v>46138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64425-2023</t>
        </is>
      </c>
      <c r="B390" s="1" t="n">
        <v>45280.66472222222</v>
      </c>
      <c r="C390" s="1" t="n">
        <v>46138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3083-2024</t>
        </is>
      </c>
      <c r="B391" s="1" t="n">
        <v>45316.43739583333</v>
      </c>
      <c r="C391" s="1" t="n">
        <v>46138</v>
      </c>
      <c r="D391" t="inlineStr">
        <is>
          <t>VÄRMLANDS LÄN</t>
        </is>
      </c>
      <c r="E391" t="inlineStr">
        <is>
          <t>SUNNE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30853-2024</t>
        </is>
      </c>
      <c r="B392" s="1" t="n">
        <v>45497.63994212963</v>
      </c>
      <c r="C392" s="1" t="n">
        <v>46138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30855-2024</t>
        </is>
      </c>
      <c r="B393" s="1" t="n">
        <v>45497.64699074074</v>
      </c>
      <c r="C393" s="1" t="n">
        <v>46138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39055-2025</t>
        </is>
      </c>
      <c r="B394" s="1" t="n">
        <v>45888.45291666667</v>
      </c>
      <c r="C394" s="1" t="n">
        <v>46138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31609-2021</t>
        </is>
      </c>
      <c r="B395" s="1" t="n">
        <v>44369</v>
      </c>
      <c r="C395" s="1" t="n">
        <v>46138</v>
      </c>
      <c r="D395" t="inlineStr">
        <is>
          <t>VÄRMLANDS LÄN</t>
        </is>
      </c>
      <c r="E395" t="inlineStr">
        <is>
          <t>SUNNE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20465-2023</t>
        </is>
      </c>
      <c r="B396" s="1" t="n">
        <v>45057.28254629629</v>
      </c>
      <c r="C396" s="1" t="n">
        <v>46138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40740-2024</t>
        </is>
      </c>
      <c r="B397" s="1" t="n">
        <v>45558</v>
      </c>
      <c r="C397" s="1" t="n">
        <v>46138</v>
      </c>
      <c r="D397" t="inlineStr">
        <is>
          <t>VÄRMLANDS LÄN</t>
        </is>
      </c>
      <c r="E397" t="inlineStr">
        <is>
          <t>SUNNE</t>
        </is>
      </c>
      <c r="G397" t="n">
        <v>21.9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38169-2023</t>
        </is>
      </c>
      <c r="B398" s="1" t="n">
        <v>45161</v>
      </c>
      <c r="C398" s="1" t="n">
        <v>46138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51046-2024</t>
        </is>
      </c>
      <c r="B399" s="1" t="n">
        <v>45603.44505787037</v>
      </c>
      <c r="C399" s="1" t="n">
        <v>46138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2384-2022</t>
        </is>
      </c>
      <c r="B400" s="1" t="n">
        <v>44579.37768518519</v>
      </c>
      <c r="C400" s="1" t="n">
        <v>46138</v>
      </c>
      <c r="D400" t="inlineStr">
        <is>
          <t>VÄRMLANDS LÄN</t>
        </is>
      </c>
      <c r="E400" t="inlineStr">
        <is>
          <t>SUNNE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39336-2025</t>
        </is>
      </c>
      <c r="B401" s="1" t="n">
        <v>45889.49408564815</v>
      </c>
      <c r="C401" s="1" t="n">
        <v>46138</v>
      </c>
      <c r="D401" t="inlineStr">
        <is>
          <t>VÄRMLANDS LÄN</t>
        </is>
      </c>
      <c r="E401" t="inlineStr">
        <is>
          <t>SUNNE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34017-2024</t>
        </is>
      </c>
      <c r="B402" s="1" t="n">
        <v>45523</v>
      </c>
      <c r="C402" s="1" t="n">
        <v>46138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39277-2025</t>
        </is>
      </c>
      <c r="B403" s="1" t="n">
        <v>45889.39391203703</v>
      </c>
      <c r="C403" s="1" t="n">
        <v>46138</v>
      </c>
      <c r="D403" t="inlineStr">
        <is>
          <t>VÄRMLANDS LÄN</t>
        </is>
      </c>
      <c r="E403" t="inlineStr">
        <is>
          <t>SUNNE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49543-2024</t>
        </is>
      </c>
      <c r="B404" s="1" t="n">
        <v>45596</v>
      </c>
      <c r="C404" s="1" t="n">
        <v>46138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24289-2025</t>
        </is>
      </c>
      <c r="B405" s="1" t="n">
        <v>45797</v>
      </c>
      <c r="C405" s="1" t="n">
        <v>46138</v>
      </c>
      <c r="D405" t="inlineStr">
        <is>
          <t>VÄRMLANDS LÄN</t>
        </is>
      </c>
      <c r="E405" t="inlineStr">
        <is>
          <t>SUNNE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39107-2025</t>
        </is>
      </c>
      <c r="B406" s="1" t="n">
        <v>45888.53887731482</v>
      </c>
      <c r="C406" s="1" t="n">
        <v>46138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19183-2024</t>
        </is>
      </c>
      <c r="B407" s="1" t="n">
        <v>45428</v>
      </c>
      <c r="C407" s="1" t="n">
        <v>46138</v>
      </c>
      <c r="D407" t="inlineStr">
        <is>
          <t>VÄRMLANDS LÄN</t>
        </is>
      </c>
      <c r="E407" t="inlineStr">
        <is>
          <t>SUNNE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52800-2024</t>
        </is>
      </c>
      <c r="B408" s="1" t="n">
        <v>45610.56782407407</v>
      </c>
      <c r="C408" s="1" t="n">
        <v>46138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17654-2025</t>
        </is>
      </c>
      <c r="B409" s="1" t="n">
        <v>45758.33905092593</v>
      </c>
      <c r="C409" s="1" t="n">
        <v>46138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61403-2023</t>
        </is>
      </c>
      <c r="B410" s="1" t="n">
        <v>45264</v>
      </c>
      <c r="C410" s="1" t="n">
        <v>46138</v>
      </c>
      <c r="D410" t="inlineStr">
        <is>
          <t>VÄRMLANDS LÄN</t>
        </is>
      </c>
      <c r="E410" t="inlineStr">
        <is>
          <t>SUNNE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57666-2024</t>
        </is>
      </c>
      <c r="B411" s="1" t="n">
        <v>45630</v>
      </c>
      <c r="C411" s="1" t="n">
        <v>46138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18220-2023</t>
        </is>
      </c>
      <c r="B412" s="1" t="n">
        <v>45041</v>
      </c>
      <c r="C412" s="1" t="n">
        <v>46138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9703-2023</t>
        </is>
      </c>
      <c r="B413" s="1" t="n">
        <v>44984.47314814815</v>
      </c>
      <c r="C413" s="1" t="n">
        <v>46138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10307-2024</t>
        </is>
      </c>
      <c r="B414" s="1" t="n">
        <v>45365.52074074074</v>
      </c>
      <c r="C414" s="1" t="n">
        <v>46138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39503-2025</t>
        </is>
      </c>
      <c r="B415" s="1" t="n">
        <v>45890.40311342593</v>
      </c>
      <c r="C415" s="1" t="n">
        <v>46138</v>
      </c>
      <c r="D415" t="inlineStr">
        <is>
          <t>VÄRMLANDS LÄN</t>
        </is>
      </c>
      <c r="E415" t="inlineStr">
        <is>
          <t>SUNNE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44904-2021</t>
        </is>
      </c>
      <c r="B416" s="1" t="n">
        <v>44438</v>
      </c>
      <c r="C416" s="1" t="n">
        <v>46138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10562-2022</t>
        </is>
      </c>
      <c r="B417" s="1" t="n">
        <v>44623</v>
      </c>
      <c r="C417" s="1" t="n">
        <v>46138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43067-2023</t>
        </is>
      </c>
      <c r="B418" s="1" t="n">
        <v>45182</v>
      </c>
      <c r="C418" s="1" t="n">
        <v>46138</v>
      </c>
      <c r="D418" t="inlineStr">
        <is>
          <t>VÄRMLANDS LÄN</t>
        </is>
      </c>
      <c r="E418" t="inlineStr">
        <is>
          <t>SUNNE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39519-2025</t>
        </is>
      </c>
      <c r="B419" s="1" t="n">
        <v>45890.42920138889</v>
      </c>
      <c r="C419" s="1" t="n">
        <v>46138</v>
      </c>
      <c r="D419" t="inlineStr">
        <is>
          <t>VÄRMLANDS LÄN</t>
        </is>
      </c>
      <c r="E419" t="inlineStr">
        <is>
          <t>SUNNE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39540-2025</t>
        </is>
      </c>
      <c r="B420" s="1" t="n">
        <v>45890.45358796296</v>
      </c>
      <c r="C420" s="1" t="n">
        <v>46138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1045-2024</t>
        </is>
      </c>
      <c r="B421" s="1" t="n">
        <v>45301</v>
      </c>
      <c r="C421" s="1" t="n">
        <v>46138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50837-2024</t>
        </is>
      </c>
      <c r="B422" s="1" t="n">
        <v>45602</v>
      </c>
      <c r="C422" s="1" t="n">
        <v>46138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14741-2023</t>
        </is>
      </c>
      <c r="B423" s="1" t="n">
        <v>45014.49001157407</v>
      </c>
      <c r="C423" s="1" t="n">
        <v>46138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32980-2024</t>
        </is>
      </c>
      <c r="B424" s="1" t="n">
        <v>45517</v>
      </c>
      <c r="C424" s="1" t="n">
        <v>46138</v>
      </c>
      <c r="D424" t="inlineStr">
        <is>
          <t>VÄRMLANDS LÄN</t>
        </is>
      </c>
      <c r="E424" t="inlineStr">
        <is>
          <t>SUNNE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23793-2023</t>
        </is>
      </c>
      <c r="B425" s="1" t="n">
        <v>45078</v>
      </c>
      <c r="C425" s="1" t="n">
        <v>46138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40371-2025</t>
        </is>
      </c>
      <c r="B426" s="1" t="n">
        <v>45895.51576388889</v>
      </c>
      <c r="C426" s="1" t="n">
        <v>46138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48054-2023</t>
        </is>
      </c>
      <c r="B427" s="1" t="n">
        <v>45204</v>
      </c>
      <c r="C427" s="1" t="n">
        <v>46138</v>
      </c>
      <c r="D427" t="inlineStr">
        <is>
          <t>VÄRMLANDS LÄN</t>
        </is>
      </c>
      <c r="E427" t="inlineStr">
        <is>
          <t>SUNNE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2646-2025</t>
        </is>
      </c>
      <c r="B428" s="1" t="n">
        <v>45676</v>
      </c>
      <c r="C428" s="1" t="n">
        <v>46138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34857-2022</t>
        </is>
      </c>
      <c r="B429" s="1" t="n">
        <v>44796</v>
      </c>
      <c r="C429" s="1" t="n">
        <v>46138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31602-2023</t>
        </is>
      </c>
      <c r="B430" s="1" t="n">
        <v>45117</v>
      </c>
      <c r="C430" s="1" t="n">
        <v>46138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39068-2021</t>
        </is>
      </c>
      <c r="B431" s="1" t="n">
        <v>44412</v>
      </c>
      <c r="C431" s="1" t="n">
        <v>46138</v>
      </c>
      <c r="D431" t="inlineStr">
        <is>
          <t>VÄRMLANDS LÄN</t>
        </is>
      </c>
      <c r="E431" t="inlineStr">
        <is>
          <t>SUNNE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14874-2025</t>
        </is>
      </c>
      <c r="B432" s="1" t="n">
        <v>45743.45596064815</v>
      </c>
      <c r="C432" s="1" t="n">
        <v>46138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14884-2025</t>
        </is>
      </c>
      <c r="B433" s="1" t="n">
        <v>45743.46674768518</v>
      </c>
      <c r="C433" s="1" t="n">
        <v>46138</v>
      </c>
      <c r="D433" t="inlineStr">
        <is>
          <t>VÄRMLANDS LÄN</t>
        </is>
      </c>
      <c r="E433" t="inlineStr">
        <is>
          <t>SUNNE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36177-2023</t>
        </is>
      </c>
      <c r="B434" s="1" t="n">
        <v>45149</v>
      </c>
      <c r="C434" s="1" t="n">
        <v>46138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42377-2023</t>
        </is>
      </c>
      <c r="B435" s="1" t="n">
        <v>45180.56244212963</v>
      </c>
      <c r="C435" s="1" t="n">
        <v>46138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55495-2024</t>
        </is>
      </c>
      <c r="B436" s="1" t="n">
        <v>45622</v>
      </c>
      <c r="C436" s="1" t="n">
        <v>46138</v>
      </c>
      <c r="D436" t="inlineStr">
        <is>
          <t>VÄRMLANDS LÄN</t>
        </is>
      </c>
      <c r="E436" t="inlineStr">
        <is>
          <t>SUNNE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55504-2024</t>
        </is>
      </c>
      <c r="B437" s="1" t="n">
        <v>45621</v>
      </c>
      <c r="C437" s="1" t="n">
        <v>46138</v>
      </c>
      <c r="D437" t="inlineStr">
        <is>
          <t>VÄRMLANDS LÄN</t>
        </is>
      </c>
      <c r="E437" t="inlineStr">
        <is>
          <t>SUNNE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19737-2022</t>
        </is>
      </c>
      <c r="B438" s="1" t="n">
        <v>44694</v>
      </c>
      <c r="C438" s="1" t="n">
        <v>46138</v>
      </c>
      <c r="D438" t="inlineStr">
        <is>
          <t>VÄRMLANDS LÄN</t>
        </is>
      </c>
      <c r="E438" t="inlineStr">
        <is>
          <t>SUNNE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17042-2023</t>
        </is>
      </c>
      <c r="B439" s="1" t="n">
        <v>45034</v>
      </c>
      <c r="C439" s="1" t="n">
        <v>46138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15255-2022</t>
        </is>
      </c>
      <c r="B440" s="1" t="n">
        <v>44659.33950231481</v>
      </c>
      <c r="C440" s="1" t="n">
        <v>46138</v>
      </c>
      <c r="D440" t="inlineStr">
        <is>
          <t>VÄRMLANDS LÄN</t>
        </is>
      </c>
      <c r="E440" t="inlineStr">
        <is>
          <t>SUNNE</t>
        </is>
      </c>
      <c r="G440" t="n">
        <v>16.4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7360-2022</t>
        </is>
      </c>
      <c r="B441" s="1" t="n">
        <v>44606</v>
      </c>
      <c r="C441" s="1" t="n">
        <v>46138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7073-2023</t>
        </is>
      </c>
      <c r="B442" s="1" t="n">
        <v>44970</v>
      </c>
      <c r="C442" s="1" t="n">
        <v>46138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43283-2021</t>
        </is>
      </c>
      <c r="B443" s="1" t="n">
        <v>44432.39476851852</v>
      </c>
      <c r="C443" s="1" t="n">
        <v>46138</v>
      </c>
      <c r="D443" t="inlineStr">
        <is>
          <t>VÄRMLANDS LÄN</t>
        </is>
      </c>
      <c r="E443" t="inlineStr">
        <is>
          <t>SUNNE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40569-2025</t>
        </is>
      </c>
      <c r="B444" s="1" t="n">
        <v>45896</v>
      </c>
      <c r="C444" s="1" t="n">
        <v>46138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18407-2025</t>
        </is>
      </c>
      <c r="B445" s="1" t="n">
        <v>45762.61038194445</v>
      </c>
      <c r="C445" s="1" t="n">
        <v>46138</v>
      </c>
      <c r="D445" t="inlineStr">
        <is>
          <t>VÄRMLANDS LÄN</t>
        </is>
      </c>
      <c r="E445" t="inlineStr">
        <is>
          <t>SUNNE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24393-2023</t>
        </is>
      </c>
      <c r="B446" s="1" t="n">
        <v>45082</v>
      </c>
      <c r="C446" s="1" t="n">
        <v>46138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47166-2024</t>
        </is>
      </c>
      <c r="B447" s="1" t="n">
        <v>45586</v>
      </c>
      <c r="C447" s="1" t="n">
        <v>46138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1353-2025</t>
        </is>
      </c>
      <c r="B448" s="1" t="n">
        <v>45667</v>
      </c>
      <c r="C448" s="1" t="n">
        <v>46138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54146-2022</t>
        </is>
      </c>
      <c r="B449" s="1" t="n">
        <v>44881</v>
      </c>
      <c r="C449" s="1" t="n">
        <v>46138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2014-2023</t>
        </is>
      </c>
      <c r="B450" s="1" t="n">
        <v>44939.54744212963</v>
      </c>
      <c r="C450" s="1" t="n">
        <v>46138</v>
      </c>
      <c r="D450" t="inlineStr">
        <is>
          <t>VÄRMLANDS LÄN</t>
        </is>
      </c>
      <c r="E450" t="inlineStr">
        <is>
          <t>SUNNE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16553-2022</t>
        </is>
      </c>
      <c r="B451" s="1" t="n">
        <v>44672.40481481481</v>
      </c>
      <c r="C451" s="1" t="n">
        <v>46138</v>
      </c>
      <c r="D451" t="inlineStr">
        <is>
          <t>VÄRMLANDS LÄN</t>
        </is>
      </c>
      <c r="E451" t="inlineStr">
        <is>
          <t>SUNNE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44421-2023</t>
        </is>
      </c>
      <c r="B452" s="1" t="n">
        <v>45189.32615740741</v>
      </c>
      <c r="C452" s="1" t="n">
        <v>46138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44422-2023</t>
        </is>
      </c>
      <c r="B453" s="1" t="n">
        <v>45189.32945601852</v>
      </c>
      <c r="C453" s="1" t="n">
        <v>46138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28023-2023</t>
        </is>
      </c>
      <c r="B454" s="1" t="n">
        <v>45098.9652199074</v>
      </c>
      <c r="C454" s="1" t="n">
        <v>46138</v>
      </c>
      <c r="D454" t="inlineStr">
        <is>
          <t>VÄRMLANDS LÄN</t>
        </is>
      </c>
      <c r="E454" t="inlineStr">
        <is>
          <t>SUNNE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28650-2024</t>
        </is>
      </c>
      <c r="B455" s="1" t="n">
        <v>45478</v>
      </c>
      <c r="C455" s="1" t="n">
        <v>46138</v>
      </c>
      <c r="D455" t="inlineStr">
        <is>
          <t>VÄRMLANDS LÄN</t>
        </is>
      </c>
      <c r="E455" t="inlineStr">
        <is>
          <t>SUNNE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11428-2023</t>
        </is>
      </c>
      <c r="B456" s="1" t="n">
        <v>44993.54789351852</v>
      </c>
      <c r="C456" s="1" t="n">
        <v>46138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7982-2024</t>
        </is>
      </c>
      <c r="B457" s="1" t="n">
        <v>45350</v>
      </c>
      <c r="C457" s="1" t="n">
        <v>46138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13728-2023</t>
        </is>
      </c>
      <c r="B458" s="1" t="n">
        <v>45007.3412962963</v>
      </c>
      <c r="C458" s="1" t="n">
        <v>46138</v>
      </c>
      <c r="D458" t="inlineStr">
        <is>
          <t>VÄRMLANDS LÄN</t>
        </is>
      </c>
      <c r="E458" t="inlineStr">
        <is>
          <t>SUNNE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54339-2022</t>
        </is>
      </c>
      <c r="B459" s="1" t="n">
        <v>44882</v>
      </c>
      <c r="C459" s="1" t="n">
        <v>46138</v>
      </c>
      <c r="D459" t="inlineStr">
        <is>
          <t>VÄRMLANDS LÄN</t>
        </is>
      </c>
      <c r="E459" t="inlineStr">
        <is>
          <t>SUNNE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41090-2025</t>
        </is>
      </c>
      <c r="B460" s="1" t="n">
        <v>45898</v>
      </c>
      <c r="C460" s="1" t="n">
        <v>46138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1248-2023</t>
        </is>
      </c>
      <c r="B461" s="1" t="n">
        <v>44931</v>
      </c>
      <c r="C461" s="1" t="n">
        <v>46138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14571-2025</t>
        </is>
      </c>
      <c r="B462" s="1" t="n">
        <v>45741.88616898148</v>
      </c>
      <c r="C462" s="1" t="n">
        <v>46138</v>
      </c>
      <c r="D462" t="inlineStr">
        <is>
          <t>VÄRMLANDS LÄN</t>
        </is>
      </c>
      <c r="E462" t="inlineStr">
        <is>
          <t>SUNNE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10134-2024</t>
        </is>
      </c>
      <c r="B463" s="1" t="n">
        <v>45364.59402777778</v>
      </c>
      <c r="C463" s="1" t="n">
        <v>46138</v>
      </c>
      <c r="D463" t="inlineStr">
        <is>
          <t>VÄRMLANDS LÄN</t>
        </is>
      </c>
      <c r="E463" t="inlineStr">
        <is>
          <t>SUNNE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19144-2025</t>
        </is>
      </c>
      <c r="B464" s="1" t="n">
        <v>45769.33960648148</v>
      </c>
      <c r="C464" s="1" t="n">
        <v>46138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59261-2024</t>
        </is>
      </c>
      <c r="B465" s="1" t="n">
        <v>45636</v>
      </c>
      <c r="C465" s="1" t="n">
        <v>46138</v>
      </c>
      <c r="D465" t="inlineStr">
        <is>
          <t>VÄRMLANDS LÄN</t>
        </is>
      </c>
      <c r="E465" t="inlineStr">
        <is>
          <t>SUNNE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31896-2022</t>
        </is>
      </c>
      <c r="B466" s="1" t="n">
        <v>44777.48900462963</v>
      </c>
      <c r="C466" s="1" t="n">
        <v>46138</v>
      </c>
      <c r="D466" t="inlineStr">
        <is>
          <t>VÄRMLANDS LÄN</t>
        </is>
      </c>
      <c r="E466" t="inlineStr">
        <is>
          <t>SUNNE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62164-2023</t>
        </is>
      </c>
      <c r="B467" s="1" t="n">
        <v>45267</v>
      </c>
      <c r="C467" s="1" t="n">
        <v>46138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55390-2024</t>
        </is>
      </c>
      <c r="B468" s="1" t="n">
        <v>45622.3377662037</v>
      </c>
      <c r="C468" s="1" t="n">
        <v>46138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8714-2025</t>
        </is>
      </c>
      <c r="B469" s="1" t="n">
        <v>45712</v>
      </c>
      <c r="C469" s="1" t="n">
        <v>46138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46876-2024</t>
        </is>
      </c>
      <c r="B470" s="1" t="n">
        <v>45583</v>
      </c>
      <c r="C470" s="1" t="n">
        <v>46138</v>
      </c>
      <c r="D470" t="inlineStr">
        <is>
          <t>VÄRMLANDS LÄN</t>
        </is>
      </c>
      <c r="E470" t="inlineStr">
        <is>
          <t>SUNNE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46880-2024</t>
        </is>
      </c>
      <c r="B471" s="1" t="n">
        <v>45583.64625</v>
      </c>
      <c r="C471" s="1" t="n">
        <v>46138</v>
      </c>
      <c r="D471" t="inlineStr">
        <is>
          <t>VÄRMLANDS LÄN</t>
        </is>
      </c>
      <c r="E471" t="inlineStr">
        <is>
          <t>SUNNE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39040-2024</t>
        </is>
      </c>
      <c r="B472" s="1" t="n">
        <v>45548</v>
      </c>
      <c r="C472" s="1" t="n">
        <v>46138</v>
      </c>
      <c r="D472" t="inlineStr">
        <is>
          <t>VÄRMLANDS LÄN</t>
        </is>
      </c>
      <c r="E472" t="inlineStr">
        <is>
          <t>SUNNE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61609-2023</t>
        </is>
      </c>
      <c r="B473" s="1" t="n">
        <v>45265</v>
      </c>
      <c r="C473" s="1" t="n">
        <v>46138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16086-2025</t>
        </is>
      </c>
      <c r="B474" s="1" t="n">
        <v>45749.81476851852</v>
      </c>
      <c r="C474" s="1" t="n">
        <v>46138</v>
      </c>
      <c r="D474" t="inlineStr">
        <is>
          <t>VÄRMLANDS LÄN</t>
        </is>
      </c>
      <c r="E474" t="inlineStr">
        <is>
          <t>SUNNE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39028-2024</t>
        </is>
      </c>
      <c r="B475" s="1" t="n">
        <v>45548.46097222222</v>
      </c>
      <c r="C475" s="1" t="n">
        <v>46138</v>
      </c>
      <c r="D475" t="inlineStr">
        <is>
          <t>VÄRMLANDS LÄN</t>
        </is>
      </c>
      <c r="E475" t="inlineStr">
        <is>
          <t>SUNNE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14841-2022</t>
        </is>
      </c>
      <c r="B476" s="1" t="n">
        <v>44656</v>
      </c>
      <c r="C476" s="1" t="n">
        <v>46138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3079-2024</t>
        </is>
      </c>
      <c r="B477" s="1" t="n">
        <v>45316.43288194444</v>
      </c>
      <c r="C477" s="1" t="n">
        <v>46138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18736-2024</t>
        </is>
      </c>
      <c r="B478" s="1" t="n">
        <v>45426.49442129629</v>
      </c>
      <c r="C478" s="1" t="n">
        <v>46138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13610-2025</t>
        </is>
      </c>
      <c r="B479" s="1" t="n">
        <v>45736.62030092593</v>
      </c>
      <c r="C479" s="1" t="n">
        <v>46138</v>
      </c>
      <c r="D479" t="inlineStr">
        <is>
          <t>VÄRMLANDS LÄN</t>
        </is>
      </c>
      <c r="E479" t="inlineStr">
        <is>
          <t>SUNNE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19463-2023</t>
        </is>
      </c>
      <c r="B480" s="1" t="n">
        <v>45050</v>
      </c>
      <c r="C480" s="1" t="n">
        <v>46138</v>
      </c>
      <c r="D480" t="inlineStr">
        <is>
          <t>VÄRMLANDS LÄN</t>
        </is>
      </c>
      <c r="E480" t="inlineStr">
        <is>
          <t>SUNNE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74268-2021</t>
        </is>
      </c>
      <c r="B481" s="1" t="n">
        <v>44558</v>
      </c>
      <c r="C481" s="1" t="n">
        <v>46138</v>
      </c>
      <c r="D481" t="inlineStr">
        <is>
          <t>VÄRMLANDS LÄN</t>
        </is>
      </c>
      <c r="E481" t="inlineStr">
        <is>
          <t>SUNNE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11732-2022</t>
        </is>
      </c>
      <c r="B482" s="1" t="n">
        <v>44634.48912037037</v>
      </c>
      <c r="C482" s="1" t="n">
        <v>46138</v>
      </c>
      <c r="D482" t="inlineStr">
        <is>
          <t>VÄRMLANDS LÄN</t>
        </is>
      </c>
      <c r="E482" t="inlineStr">
        <is>
          <t>SUNNE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47097-2024</t>
        </is>
      </c>
      <c r="B483" s="1" t="n">
        <v>45586</v>
      </c>
      <c r="C483" s="1" t="n">
        <v>46138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19016-2025</t>
        </is>
      </c>
      <c r="B484" s="1" t="n">
        <v>45764</v>
      </c>
      <c r="C484" s="1" t="n">
        <v>46138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1014-2023</t>
        </is>
      </c>
      <c r="B485" s="1" t="n">
        <v>44935.45408564815</v>
      </c>
      <c r="C485" s="1" t="n">
        <v>46138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41385-2025</t>
        </is>
      </c>
      <c r="B486" s="1" t="n">
        <v>45898</v>
      </c>
      <c r="C486" s="1" t="n">
        <v>46138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41626-2025</t>
        </is>
      </c>
      <c r="B487" s="1" t="n">
        <v>45901.7227199074</v>
      </c>
      <c r="C487" s="1" t="n">
        <v>46138</v>
      </c>
      <c r="D487" t="inlineStr">
        <is>
          <t>VÄRMLANDS LÄN</t>
        </is>
      </c>
      <c r="E487" t="inlineStr">
        <is>
          <t>SUNNE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34192-2025</t>
        </is>
      </c>
      <c r="B488" s="1" t="n">
        <v>45845.61989583333</v>
      </c>
      <c r="C488" s="1" t="n">
        <v>46138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57898-2023</t>
        </is>
      </c>
      <c r="B489" s="1" t="n">
        <v>45247</v>
      </c>
      <c r="C489" s="1" t="n">
        <v>46138</v>
      </c>
      <c r="D489" t="inlineStr">
        <is>
          <t>VÄRMLANDS LÄN</t>
        </is>
      </c>
      <c r="E489" t="inlineStr">
        <is>
          <t>SUNNE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27442-2022</t>
        </is>
      </c>
      <c r="B490" s="1" t="n">
        <v>44742</v>
      </c>
      <c r="C490" s="1" t="n">
        <v>46138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41954-2023</t>
        </is>
      </c>
      <c r="B491" s="1" t="n">
        <v>45177.34802083333</v>
      </c>
      <c r="C491" s="1" t="n">
        <v>46138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28235-2024</t>
        </is>
      </c>
      <c r="B492" s="1" t="n">
        <v>45477.38921296296</v>
      </c>
      <c r="C492" s="1" t="n">
        <v>46138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27484-2025</t>
        </is>
      </c>
      <c r="B493" s="1" t="n">
        <v>45813.38362268519</v>
      </c>
      <c r="C493" s="1" t="n">
        <v>46138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1125-2025</t>
        </is>
      </c>
      <c r="B494" s="1" t="n">
        <v>45666.67696759259</v>
      </c>
      <c r="C494" s="1" t="n">
        <v>46138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41592-2025</t>
        </is>
      </c>
      <c r="B495" s="1" t="n">
        <v>45901</v>
      </c>
      <c r="C495" s="1" t="n">
        <v>46138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52226-2024</t>
        </is>
      </c>
      <c r="B496" s="1" t="n">
        <v>45607</v>
      </c>
      <c r="C496" s="1" t="n">
        <v>46138</v>
      </c>
      <c r="D496" t="inlineStr">
        <is>
          <t>VÄRMLANDS LÄN</t>
        </is>
      </c>
      <c r="E496" t="inlineStr">
        <is>
          <t>SUNNE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4030-2025</t>
        </is>
      </c>
      <c r="B497" s="1" t="n">
        <v>45684.59744212963</v>
      </c>
      <c r="C497" s="1" t="n">
        <v>46138</v>
      </c>
      <c r="D497" t="inlineStr">
        <is>
          <t>VÄRMLANDS LÄN</t>
        </is>
      </c>
      <c r="E497" t="inlineStr">
        <is>
          <t>SUNNE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7056-2023</t>
        </is>
      </c>
      <c r="B498" s="1" t="n">
        <v>44969</v>
      </c>
      <c r="C498" s="1" t="n">
        <v>46138</v>
      </c>
      <c r="D498" t="inlineStr">
        <is>
          <t>VÄRMLANDS LÄN</t>
        </is>
      </c>
      <c r="E498" t="inlineStr">
        <is>
          <t>SUNNE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46804-2024</t>
        </is>
      </c>
      <c r="B499" s="1" t="n">
        <v>45583</v>
      </c>
      <c r="C499" s="1" t="n">
        <v>46138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17358-2023</t>
        </is>
      </c>
      <c r="B500" s="1" t="n">
        <v>45035.59483796296</v>
      </c>
      <c r="C500" s="1" t="n">
        <v>46138</v>
      </c>
      <c r="D500" t="inlineStr">
        <is>
          <t>VÄRMLANDS LÄN</t>
        </is>
      </c>
      <c r="E500" t="inlineStr">
        <is>
          <t>SUNNE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12237-2023</t>
        </is>
      </c>
      <c r="B501" s="1" t="n">
        <v>44998</v>
      </c>
      <c r="C501" s="1" t="n">
        <v>46138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20504-2025</t>
        </is>
      </c>
      <c r="B502" s="1" t="n">
        <v>45775.58866898148</v>
      </c>
      <c r="C502" s="1" t="n">
        <v>46138</v>
      </c>
      <c r="D502" t="inlineStr">
        <is>
          <t>VÄRMLANDS LÄN</t>
        </is>
      </c>
      <c r="E502" t="inlineStr">
        <is>
          <t>SUNNE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15912-2025</t>
        </is>
      </c>
      <c r="B503" s="1" t="n">
        <v>45749.44224537037</v>
      </c>
      <c r="C503" s="1" t="n">
        <v>46138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47278-2024</t>
        </is>
      </c>
      <c r="B504" s="1" t="n">
        <v>45586</v>
      </c>
      <c r="C504" s="1" t="n">
        <v>46138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10481-2025</t>
        </is>
      </c>
      <c r="B505" s="1" t="n">
        <v>45721.32848379629</v>
      </c>
      <c r="C505" s="1" t="n">
        <v>46138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45473-2023</t>
        </is>
      </c>
      <c r="B506" s="1" t="n">
        <v>45188</v>
      </c>
      <c r="C506" s="1" t="n">
        <v>46138</v>
      </c>
      <c r="D506" t="inlineStr">
        <is>
          <t>VÄRMLANDS LÄN</t>
        </is>
      </c>
      <c r="E506" t="inlineStr">
        <is>
          <t>SUNNE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15716-2024</t>
        </is>
      </c>
      <c r="B507" s="1" t="n">
        <v>45404.48984953704</v>
      </c>
      <c r="C507" s="1" t="n">
        <v>46138</v>
      </c>
      <c r="D507" t="inlineStr">
        <is>
          <t>VÄRMLANDS LÄN</t>
        </is>
      </c>
      <c r="E507" t="inlineStr">
        <is>
          <t>SUNNE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20622-2025</t>
        </is>
      </c>
      <c r="B508" s="1" t="n">
        <v>45776.32325231482</v>
      </c>
      <c r="C508" s="1" t="n">
        <v>46138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34288-2022</t>
        </is>
      </c>
      <c r="B509" s="1" t="n">
        <v>44792</v>
      </c>
      <c r="C509" s="1" t="n">
        <v>46138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67818-2021</t>
        </is>
      </c>
      <c r="B510" s="1" t="n">
        <v>44525.44768518519</v>
      </c>
      <c r="C510" s="1" t="n">
        <v>46138</v>
      </c>
      <c r="D510" t="inlineStr">
        <is>
          <t>VÄRMLANDS LÄN</t>
        </is>
      </c>
      <c r="E510" t="inlineStr">
        <is>
          <t>SUNNE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13880-2025</t>
        </is>
      </c>
      <c r="B511" s="1" t="n">
        <v>45737.59572916666</v>
      </c>
      <c r="C511" s="1" t="n">
        <v>46138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20605-2025</t>
        </is>
      </c>
      <c r="B512" s="1" t="n">
        <v>45775.84560185186</v>
      </c>
      <c r="C512" s="1" t="n">
        <v>46138</v>
      </c>
      <c r="D512" t="inlineStr">
        <is>
          <t>VÄRMLANDS LÄN</t>
        </is>
      </c>
      <c r="E512" t="inlineStr">
        <is>
          <t>SUNNE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42431-2025</t>
        </is>
      </c>
      <c r="B513" s="1" t="n">
        <v>45905.42591435185</v>
      </c>
      <c r="C513" s="1" t="n">
        <v>46138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28004-2024</t>
        </is>
      </c>
      <c r="B514" s="1" t="n">
        <v>45476.44668981482</v>
      </c>
      <c r="C514" s="1" t="n">
        <v>46138</v>
      </c>
      <c r="D514" t="inlineStr">
        <is>
          <t>VÄRMLANDS LÄN</t>
        </is>
      </c>
      <c r="E514" t="inlineStr">
        <is>
          <t>SUNNE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10261-2025</t>
        </is>
      </c>
      <c r="B515" s="1" t="n">
        <v>45720</v>
      </c>
      <c r="C515" s="1" t="n">
        <v>46138</v>
      </c>
      <c r="D515" t="inlineStr">
        <is>
          <t>VÄRMLANDS LÄN</t>
        </is>
      </c>
      <c r="E515" t="inlineStr">
        <is>
          <t>SUNNE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31038-2023</t>
        </is>
      </c>
      <c r="B516" s="1" t="n">
        <v>45113.5912962963</v>
      </c>
      <c r="C516" s="1" t="n">
        <v>46138</v>
      </c>
      <c r="D516" t="inlineStr">
        <is>
          <t>VÄRMLANDS LÄN</t>
        </is>
      </c>
      <c r="E516" t="inlineStr">
        <is>
          <t>SUNNE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42792-2024</t>
        </is>
      </c>
      <c r="B517" s="1" t="n">
        <v>45566.54875</v>
      </c>
      <c r="C517" s="1" t="n">
        <v>46138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25217-2023</t>
        </is>
      </c>
      <c r="B518" s="1" t="n">
        <v>45086.60429398148</v>
      </c>
      <c r="C518" s="1" t="n">
        <v>46138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62703-2023</t>
        </is>
      </c>
      <c r="B519" s="1" t="n">
        <v>45271.54547453704</v>
      </c>
      <c r="C519" s="1" t="n">
        <v>46138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18444-2025</t>
        </is>
      </c>
      <c r="B520" s="1" t="n">
        <v>45762.65708333333</v>
      </c>
      <c r="C520" s="1" t="n">
        <v>46138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32774-2024</t>
        </is>
      </c>
      <c r="B521" s="1" t="n">
        <v>45516.49930555555</v>
      </c>
      <c r="C521" s="1" t="n">
        <v>46138</v>
      </c>
      <c r="D521" t="inlineStr">
        <is>
          <t>VÄRMLANDS LÄN</t>
        </is>
      </c>
      <c r="E521" t="inlineStr">
        <is>
          <t>SUNNE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58623-2022</t>
        </is>
      </c>
      <c r="B522" s="1" t="n">
        <v>44902.60162037037</v>
      </c>
      <c r="C522" s="1" t="n">
        <v>46138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3072-2024</t>
        </is>
      </c>
      <c r="B523" s="1" t="n">
        <v>45316.42262731482</v>
      </c>
      <c r="C523" s="1" t="n">
        <v>46138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50841-2024</t>
        </is>
      </c>
      <c r="B524" s="1" t="n">
        <v>45602</v>
      </c>
      <c r="C524" s="1" t="n">
        <v>46138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21806-2025</t>
        </is>
      </c>
      <c r="B525" s="1" t="n">
        <v>45783.70770833334</v>
      </c>
      <c r="C525" s="1" t="n">
        <v>46138</v>
      </c>
      <c r="D525" t="inlineStr">
        <is>
          <t>VÄRMLANDS LÄN</t>
        </is>
      </c>
      <c r="E525" t="inlineStr">
        <is>
          <t>SUNNE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73209-2021</t>
        </is>
      </c>
      <c r="B526" s="1" t="n">
        <v>44550</v>
      </c>
      <c r="C526" s="1" t="n">
        <v>46138</v>
      </c>
      <c r="D526" t="inlineStr">
        <is>
          <t>VÄRMLANDS LÄN</t>
        </is>
      </c>
      <c r="E526" t="inlineStr">
        <is>
          <t>SUNNE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8285-2023</t>
        </is>
      </c>
      <c r="B527" s="1" t="n">
        <v>44974.64738425926</v>
      </c>
      <c r="C527" s="1" t="n">
        <v>46138</v>
      </c>
      <c r="D527" t="inlineStr">
        <is>
          <t>VÄRMLANDS LÄN</t>
        </is>
      </c>
      <c r="E527" t="inlineStr">
        <is>
          <t>SUNNE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36310-2022</t>
        </is>
      </c>
      <c r="B528" s="1" t="n">
        <v>44803</v>
      </c>
      <c r="C528" s="1" t="n">
        <v>46138</v>
      </c>
      <c r="D528" t="inlineStr">
        <is>
          <t>VÄRMLANDS LÄN</t>
        </is>
      </c>
      <c r="E528" t="inlineStr">
        <is>
          <t>SUNNE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49030-2022</t>
        </is>
      </c>
      <c r="B529" s="1" t="n">
        <v>44860</v>
      </c>
      <c r="C529" s="1" t="n">
        <v>46138</v>
      </c>
      <c r="D529" t="inlineStr">
        <is>
          <t>VÄRMLANDS LÄN</t>
        </is>
      </c>
      <c r="E529" t="inlineStr">
        <is>
          <t>SUNNE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21312-2025</t>
        </is>
      </c>
      <c r="B530" s="1" t="n">
        <v>45781.94320601852</v>
      </c>
      <c r="C530" s="1" t="n">
        <v>46138</v>
      </c>
      <c r="D530" t="inlineStr">
        <is>
          <t>VÄRMLANDS LÄN</t>
        </is>
      </c>
      <c r="E530" t="inlineStr">
        <is>
          <t>SUNNE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18019-2025</t>
        </is>
      </c>
      <c r="B531" s="1" t="n">
        <v>45761.44282407407</v>
      </c>
      <c r="C531" s="1" t="n">
        <v>46138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21810-2025</t>
        </is>
      </c>
      <c r="B532" s="1" t="n">
        <v>45783.71237268519</v>
      </c>
      <c r="C532" s="1" t="n">
        <v>46138</v>
      </c>
      <c r="D532" t="inlineStr">
        <is>
          <t>VÄRMLANDS LÄN</t>
        </is>
      </c>
      <c r="E532" t="inlineStr">
        <is>
          <t>SUNNE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23061-2024</t>
        </is>
      </c>
      <c r="B533" s="1" t="n">
        <v>45449</v>
      </c>
      <c r="C533" s="1" t="n">
        <v>46138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74230-2021</t>
        </is>
      </c>
      <c r="B534" s="1" t="n">
        <v>44558</v>
      </c>
      <c r="C534" s="1" t="n">
        <v>46138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21400-2025</t>
        </is>
      </c>
      <c r="B535" s="1" t="n">
        <v>45782.48548611111</v>
      </c>
      <c r="C535" s="1" t="n">
        <v>46138</v>
      </c>
      <c r="D535" t="inlineStr">
        <is>
          <t>VÄRMLANDS LÄN</t>
        </is>
      </c>
      <c r="E535" t="inlineStr">
        <is>
          <t>SUNNE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21495-2025</t>
        </is>
      </c>
      <c r="B536" s="1" t="n">
        <v>45782.59835648148</v>
      </c>
      <c r="C536" s="1" t="n">
        <v>46138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3679-2024</t>
        </is>
      </c>
      <c r="B537" s="1" t="n">
        <v>45321.37962962963</v>
      </c>
      <c r="C537" s="1" t="n">
        <v>46138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16492-2023</t>
        </is>
      </c>
      <c r="B538" s="1" t="n">
        <v>45029</v>
      </c>
      <c r="C538" s="1" t="n">
        <v>46138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18358-2025</t>
        </is>
      </c>
      <c r="B539" s="1" t="n">
        <v>45762</v>
      </c>
      <c r="C539" s="1" t="n">
        <v>46138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42642-2025</t>
        </is>
      </c>
      <c r="B540" s="1" t="n">
        <v>45906</v>
      </c>
      <c r="C540" s="1" t="n">
        <v>46138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32405-2022</t>
        </is>
      </c>
      <c r="B541" s="1" t="n">
        <v>44782</v>
      </c>
      <c r="C541" s="1" t="n">
        <v>46138</v>
      </c>
      <c r="D541" t="inlineStr">
        <is>
          <t>VÄRMLANDS LÄN</t>
        </is>
      </c>
      <c r="E541" t="inlineStr">
        <is>
          <t>SUNNE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29940-2024</t>
        </is>
      </c>
      <c r="B542" s="1" t="n">
        <v>45488</v>
      </c>
      <c r="C542" s="1" t="n">
        <v>46138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18679-2024</t>
        </is>
      </c>
      <c r="B543" s="1" t="n">
        <v>45426</v>
      </c>
      <c r="C543" s="1" t="n">
        <v>46138</v>
      </c>
      <c r="D543" t="inlineStr">
        <is>
          <t>VÄRMLANDS LÄN</t>
        </is>
      </c>
      <c r="E543" t="inlineStr">
        <is>
          <t>SUNNE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18115-2022</t>
        </is>
      </c>
      <c r="B544" s="1" t="n">
        <v>44684.5047337963</v>
      </c>
      <c r="C544" s="1" t="n">
        <v>46138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22124-2025</t>
        </is>
      </c>
      <c r="B545" s="1" t="n">
        <v>45785.52300925926</v>
      </c>
      <c r="C545" s="1" t="n">
        <v>46138</v>
      </c>
      <c r="D545" t="inlineStr">
        <is>
          <t>VÄRMLANDS LÄN</t>
        </is>
      </c>
      <c r="E545" t="inlineStr">
        <is>
          <t>SUNNE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14360-2025</t>
        </is>
      </c>
      <c r="B546" s="1" t="n">
        <v>45741</v>
      </c>
      <c r="C546" s="1" t="n">
        <v>46138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37221-2022</t>
        </is>
      </c>
      <c r="B547" s="1" t="n">
        <v>44806.74005787037</v>
      </c>
      <c r="C547" s="1" t="n">
        <v>46138</v>
      </c>
      <c r="D547" t="inlineStr">
        <is>
          <t>VÄRMLANDS LÄN</t>
        </is>
      </c>
      <c r="E547" t="inlineStr">
        <is>
          <t>SUNNE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34047-2024</t>
        </is>
      </c>
      <c r="B548" s="1" t="n">
        <v>45523.60590277778</v>
      </c>
      <c r="C548" s="1" t="n">
        <v>46138</v>
      </c>
      <c r="D548" t="inlineStr">
        <is>
          <t>VÄRMLANDS LÄN</t>
        </is>
      </c>
      <c r="E548" t="inlineStr">
        <is>
          <t>SUNNE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43140-2025</t>
        </is>
      </c>
      <c r="B549" s="1" t="n">
        <v>45909</v>
      </c>
      <c r="C549" s="1" t="n">
        <v>46138</v>
      </c>
      <c r="D549" t="inlineStr">
        <is>
          <t>VÄRMLANDS LÄN</t>
        </is>
      </c>
      <c r="E549" t="inlineStr">
        <is>
          <t>SUNNE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11229-2024</t>
        </is>
      </c>
      <c r="B550" s="1" t="n">
        <v>45371.60325231482</v>
      </c>
      <c r="C550" s="1" t="n">
        <v>46138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43017-2025</t>
        </is>
      </c>
      <c r="B551" s="1" t="n">
        <v>45909.50019675926</v>
      </c>
      <c r="C551" s="1" t="n">
        <v>46138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32390-2024</t>
        </is>
      </c>
      <c r="B552" s="1" t="n">
        <v>45512</v>
      </c>
      <c r="C552" s="1" t="n">
        <v>46138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22125-2025</t>
        </is>
      </c>
      <c r="B553" s="1" t="n">
        <v>45785.52416666667</v>
      </c>
      <c r="C553" s="1" t="n">
        <v>46138</v>
      </c>
      <c r="D553" t="inlineStr">
        <is>
          <t>VÄRMLANDS LÄN</t>
        </is>
      </c>
      <c r="E553" t="inlineStr">
        <is>
          <t>SUNNE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56727-2024</t>
        </is>
      </c>
      <c r="B554" s="1" t="n">
        <v>45628.35303240741</v>
      </c>
      <c r="C554" s="1" t="n">
        <v>46138</v>
      </c>
      <c r="D554" t="inlineStr">
        <is>
          <t>VÄRMLANDS LÄN</t>
        </is>
      </c>
      <c r="E554" t="inlineStr">
        <is>
          <t>SUNNE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11709-2025</t>
        </is>
      </c>
      <c r="B555" s="1" t="n">
        <v>45727.58711805556</v>
      </c>
      <c r="C555" s="1" t="n">
        <v>46138</v>
      </c>
      <c r="D555" t="inlineStr">
        <is>
          <t>VÄRMLANDS LÄN</t>
        </is>
      </c>
      <c r="E555" t="inlineStr">
        <is>
          <t>SUNNE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4492-2023</t>
        </is>
      </c>
      <c r="B556" s="1" t="n">
        <v>44956</v>
      </c>
      <c r="C556" s="1" t="n">
        <v>46138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52677-2021</t>
        </is>
      </c>
      <c r="B557" s="1" t="n">
        <v>44466.72121527778</v>
      </c>
      <c r="C557" s="1" t="n">
        <v>46138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35608-2025</t>
        </is>
      </c>
      <c r="B558" s="1" t="n">
        <v>45859</v>
      </c>
      <c r="C558" s="1" t="n">
        <v>46138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43404-2025</t>
        </is>
      </c>
      <c r="B559" s="1" t="n">
        <v>45911.39032407408</v>
      </c>
      <c r="C559" s="1" t="n">
        <v>46138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21237-2024</t>
        </is>
      </c>
      <c r="B560" s="1" t="n">
        <v>45440</v>
      </c>
      <c r="C560" s="1" t="n">
        <v>46138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4998-2025</t>
        </is>
      </c>
      <c r="B561" s="1" t="n">
        <v>45691.36129629629</v>
      </c>
      <c r="C561" s="1" t="n">
        <v>46138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5012-2025</t>
        </is>
      </c>
      <c r="B562" s="1" t="n">
        <v>45691.38291666667</v>
      </c>
      <c r="C562" s="1" t="n">
        <v>46138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15908-2025</t>
        </is>
      </c>
      <c r="B563" s="1" t="n">
        <v>45749.43902777778</v>
      </c>
      <c r="C563" s="1" t="n">
        <v>46138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43611-2025</t>
        </is>
      </c>
      <c r="B564" s="1" t="n">
        <v>45911</v>
      </c>
      <c r="C564" s="1" t="n">
        <v>46138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22544-2025</t>
        </is>
      </c>
      <c r="B565" s="1" t="n">
        <v>45788.44922453703</v>
      </c>
      <c r="C565" s="1" t="n">
        <v>46138</v>
      </c>
      <c r="D565" t="inlineStr">
        <is>
          <t>VÄRMLANDS LÄN</t>
        </is>
      </c>
      <c r="E565" t="inlineStr">
        <is>
          <t>SUNNE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43453-2025</t>
        </is>
      </c>
      <c r="B566" s="1" t="n">
        <v>45911</v>
      </c>
      <c r="C566" s="1" t="n">
        <v>46138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29.9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39175-2022</t>
        </is>
      </c>
      <c r="B567" s="1" t="n">
        <v>44817.50111111111</v>
      </c>
      <c r="C567" s="1" t="n">
        <v>46138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22392-2021</t>
        </is>
      </c>
      <c r="B568" s="1" t="n">
        <v>44326.59961805555</v>
      </c>
      <c r="C568" s="1" t="n">
        <v>46138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16864-2025</t>
        </is>
      </c>
      <c r="B569" s="1" t="n">
        <v>45754.83358796296</v>
      </c>
      <c r="C569" s="1" t="n">
        <v>46138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34265-2023</t>
        </is>
      </c>
      <c r="B570" s="1" t="n">
        <v>45138.60681712963</v>
      </c>
      <c r="C570" s="1" t="n">
        <v>46138</v>
      </c>
      <c r="D570" t="inlineStr">
        <is>
          <t>VÄRMLANDS LÄN</t>
        </is>
      </c>
      <c r="E570" t="inlineStr">
        <is>
          <t>SUNNE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43472-2021</t>
        </is>
      </c>
      <c r="B571" s="1" t="n">
        <v>44432.76667824074</v>
      </c>
      <c r="C571" s="1" t="n">
        <v>46138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73247-2021</t>
        </is>
      </c>
      <c r="B572" s="1" t="n">
        <v>44550</v>
      </c>
      <c r="C572" s="1" t="n">
        <v>46138</v>
      </c>
      <c r="D572" t="inlineStr">
        <is>
          <t>VÄRMLANDS LÄN</t>
        </is>
      </c>
      <c r="E572" t="inlineStr">
        <is>
          <t>SUNNE</t>
        </is>
      </c>
      <c r="G572" t="n">
        <v>24.7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43806-2025</t>
        </is>
      </c>
      <c r="B573" s="1" t="n">
        <v>45912.57702546296</v>
      </c>
      <c r="C573" s="1" t="n">
        <v>46138</v>
      </c>
      <c r="D573" t="inlineStr">
        <is>
          <t>VÄRMLANDS LÄN</t>
        </is>
      </c>
      <c r="E573" t="inlineStr">
        <is>
          <t>SUNNE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5347-2022</t>
        </is>
      </c>
      <c r="B574" s="1" t="n">
        <v>44594.75155092592</v>
      </c>
      <c r="C574" s="1" t="n">
        <v>46138</v>
      </c>
      <c r="D574" t="inlineStr">
        <is>
          <t>VÄRMLANDS LÄN</t>
        </is>
      </c>
      <c r="E574" t="inlineStr">
        <is>
          <t>SUNNE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60539-2023</t>
        </is>
      </c>
      <c r="B575" s="1" t="n">
        <v>45259</v>
      </c>
      <c r="C575" s="1" t="n">
        <v>46138</v>
      </c>
      <c r="D575" t="inlineStr">
        <is>
          <t>VÄRMLANDS LÄN</t>
        </is>
      </c>
      <c r="E575" t="inlineStr">
        <is>
          <t>SUNNE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23167-2023</t>
        </is>
      </c>
      <c r="B576" s="1" t="n">
        <v>45075</v>
      </c>
      <c r="C576" s="1" t="n">
        <v>46138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30712-2023</t>
        </is>
      </c>
      <c r="B577" s="1" t="n">
        <v>45112</v>
      </c>
      <c r="C577" s="1" t="n">
        <v>46138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5361-2022</t>
        </is>
      </c>
      <c r="B578" s="1" t="n">
        <v>44594</v>
      </c>
      <c r="C578" s="1" t="n">
        <v>46138</v>
      </c>
      <c r="D578" t="inlineStr">
        <is>
          <t>VÄRMLANDS LÄN</t>
        </is>
      </c>
      <c r="E578" t="inlineStr">
        <is>
          <t>SUNNE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43868-2023</t>
        </is>
      </c>
      <c r="B579" s="1" t="n">
        <v>45187</v>
      </c>
      <c r="C579" s="1" t="n">
        <v>46138</v>
      </c>
      <c r="D579" t="inlineStr">
        <is>
          <t>VÄRMLANDS LÄN</t>
        </is>
      </c>
      <c r="E579" t="inlineStr">
        <is>
          <t>SUNNE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10615-2025</t>
        </is>
      </c>
      <c r="B580" s="1" t="n">
        <v>45721.61363425926</v>
      </c>
      <c r="C580" s="1" t="n">
        <v>46138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43822-2025</t>
        </is>
      </c>
      <c r="B581" s="1" t="n">
        <v>45912</v>
      </c>
      <c r="C581" s="1" t="n">
        <v>46138</v>
      </c>
      <c r="D581" t="inlineStr">
        <is>
          <t>VÄRMLANDS LÄN</t>
        </is>
      </c>
      <c r="E581" t="inlineStr">
        <is>
          <t>SUNNE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43483-2024</t>
        </is>
      </c>
      <c r="B582" s="1" t="n">
        <v>45568.80241898148</v>
      </c>
      <c r="C582" s="1" t="n">
        <v>46138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10675-2025</t>
        </is>
      </c>
      <c r="B583" s="1" t="n">
        <v>45721.86783564815</v>
      </c>
      <c r="C583" s="1" t="n">
        <v>46138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44361-2025</t>
        </is>
      </c>
      <c r="B584" s="1" t="n">
        <v>45916.4533912037</v>
      </c>
      <c r="C584" s="1" t="n">
        <v>46138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44473-2025</t>
        </is>
      </c>
      <c r="B585" s="1" t="n">
        <v>45916.64385416666</v>
      </c>
      <c r="C585" s="1" t="n">
        <v>46138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44489-2025</t>
        </is>
      </c>
      <c r="B586" s="1" t="n">
        <v>45916.6571412037</v>
      </c>
      <c r="C586" s="1" t="n">
        <v>46138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33582-2024</t>
        </is>
      </c>
      <c r="B587" s="1" t="n">
        <v>45520.3394675926</v>
      </c>
      <c r="C587" s="1" t="n">
        <v>46138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28488-2021</t>
        </is>
      </c>
      <c r="B588" s="1" t="n">
        <v>44356</v>
      </c>
      <c r="C588" s="1" t="n">
        <v>46138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3335-2024</t>
        </is>
      </c>
      <c r="B589" s="1" t="n">
        <v>45317.57331018519</v>
      </c>
      <c r="C589" s="1" t="n">
        <v>46138</v>
      </c>
      <c r="D589" t="inlineStr">
        <is>
          <t>VÄRMLANDS LÄN</t>
        </is>
      </c>
      <c r="E589" t="inlineStr">
        <is>
          <t>SUNNE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44334-2025</t>
        </is>
      </c>
      <c r="B590" s="1" t="n">
        <v>45916.423125</v>
      </c>
      <c r="C590" s="1" t="n">
        <v>46138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22626-2025</t>
        </is>
      </c>
      <c r="B591" s="1" t="n">
        <v>45789.43600694444</v>
      </c>
      <c r="C591" s="1" t="n">
        <v>46138</v>
      </c>
      <c r="D591" t="inlineStr">
        <is>
          <t>VÄRMLANDS LÄN</t>
        </is>
      </c>
      <c r="E591" t="inlineStr">
        <is>
          <t>SUNNE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9807-2025</t>
        </is>
      </c>
      <c r="B592" s="1" t="n">
        <v>45715</v>
      </c>
      <c r="C592" s="1" t="n">
        <v>46138</v>
      </c>
      <c r="D592" t="inlineStr">
        <is>
          <t>VÄRMLANDS LÄN</t>
        </is>
      </c>
      <c r="E592" t="inlineStr">
        <is>
          <t>SUNNE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44263-2025</t>
        </is>
      </c>
      <c r="B593" s="1" t="n">
        <v>45916.07644675926</v>
      </c>
      <c r="C593" s="1" t="n">
        <v>46138</v>
      </c>
      <c r="D593" t="inlineStr">
        <is>
          <t>VÄRMLANDS LÄN</t>
        </is>
      </c>
      <c r="E593" t="inlineStr">
        <is>
          <t>SUNNE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44368-2025</t>
        </is>
      </c>
      <c r="B594" s="1" t="n">
        <v>45916.45922453704</v>
      </c>
      <c r="C594" s="1" t="n">
        <v>46138</v>
      </c>
      <c r="D594" t="inlineStr">
        <is>
          <t>VÄRMLANDS LÄN</t>
        </is>
      </c>
      <c r="E594" t="inlineStr">
        <is>
          <t>SUNNE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44396-2025</t>
        </is>
      </c>
      <c r="B595" s="1" t="n">
        <v>45916.49664351852</v>
      </c>
      <c r="C595" s="1" t="n">
        <v>46138</v>
      </c>
      <c r="D595" t="inlineStr">
        <is>
          <t>VÄRMLANDS LÄN</t>
        </is>
      </c>
      <c r="E595" t="inlineStr">
        <is>
          <t>SUNNE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44381-2025</t>
        </is>
      </c>
      <c r="B596" s="1" t="n">
        <v>45916.48342592592</v>
      </c>
      <c r="C596" s="1" t="n">
        <v>46138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44433-2025</t>
        </is>
      </c>
      <c r="B597" s="1" t="n">
        <v>45916</v>
      </c>
      <c r="C597" s="1" t="n">
        <v>46138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23230-2025</t>
        </is>
      </c>
      <c r="B598" s="1" t="n">
        <v>45791.48964120371</v>
      </c>
      <c r="C598" s="1" t="n">
        <v>46138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14078-2025</t>
        </is>
      </c>
      <c r="B599" s="1" t="n">
        <v>45740.43538194444</v>
      </c>
      <c r="C599" s="1" t="n">
        <v>46138</v>
      </c>
      <c r="D599" t="inlineStr">
        <is>
          <t>VÄRMLANDS LÄN</t>
        </is>
      </c>
      <c r="E599" t="inlineStr">
        <is>
          <t>SUNNE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5012-2023</t>
        </is>
      </c>
      <c r="B600" s="1" t="n">
        <v>44953</v>
      </c>
      <c r="C600" s="1" t="n">
        <v>46138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58224-2024</t>
        </is>
      </c>
      <c r="B601" s="1" t="n">
        <v>45632.50833333333</v>
      </c>
      <c r="C601" s="1" t="n">
        <v>46138</v>
      </c>
      <c r="D601" t="inlineStr">
        <is>
          <t>VÄRMLANDS LÄN</t>
        </is>
      </c>
      <c r="E601" t="inlineStr">
        <is>
          <t>SUNNE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1354-2025</t>
        </is>
      </c>
      <c r="B602" s="1" t="n">
        <v>45667</v>
      </c>
      <c r="C602" s="1" t="n">
        <v>46138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19487-2024</t>
        </is>
      </c>
      <c r="B603" s="1" t="n">
        <v>45429</v>
      </c>
      <c r="C603" s="1" t="n">
        <v>46138</v>
      </c>
      <c r="D603" t="inlineStr">
        <is>
          <t>VÄRMLANDS LÄN</t>
        </is>
      </c>
      <c r="E603" t="inlineStr">
        <is>
          <t>SUNNE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44894-2025</t>
        </is>
      </c>
      <c r="B604" s="1" t="n">
        <v>45918</v>
      </c>
      <c r="C604" s="1" t="n">
        <v>46138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45038-2025</t>
        </is>
      </c>
      <c r="B605" s="1" t="n">
        <v>45918.7137037037</v>
      </c>
      <c r="C605" s="1" t="n">
        <v>46138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44816-2025</t>
        </is>
      </c>
      <c r="B606" s="1" t="n">
        <v>45918.37515046296</v>
      </c>
      <c r="C606" s="1" t="n">
        <v>46138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45178-2025</t>
        </is>
      </c>
      <c r="B607" s="1" t="n">
        <v>45919.52542824074</v>
      </c>
      <c r="C607" s="1" t="n">
        <v>46138</v>
      </c>
      <c r="D607" t="inlineStr">
        <is>
          <t>VÄRMLANDS LÄN</t>
        </is>
      </c>
      <c r="E607" t="inlineStr">
        <is>
          <t>SUNNE</t>
        </is>
      </c>
      <c r="F607" t="inlineStr">
        <is>
          <t>Kommuner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24953-2024</t>
        </is>
      </c>
      <c r="B608" s="1" t="n">
        <v>45461</v>
      </c>
      <c r="C608" s="1" t="n">
        <v>46138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56215-2023</t>
        </is>
      </c>
      <c r="B609" s="1" t="n">
        <v>45240.72761574074</v>
      </c>
      <c r="C609" s="1" t="n">
        <v>46138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47076-2023</t>
        </is>
      </c>
      <c r="B610" s="1" t="n">
        <v>45201.60648148148</v>
      </c>
      <c r="C610" s="1" t="n">
        <v>46138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57721-2023</t>
        </is>
      </c>
      <c r="B611" s="1" t="n">
        <v>45243</v>
      </c>
      <c r="C611" s="1" t="n">
        <v>46138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57728-2023</t>
        </is>
      </c>
      <c r="B612" s="1" t="n">
        <v>45243</v>
      </c>
      <c r="C612" s="1" t="n">
        <v>46138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28107-2024</t>
        </is>
      </c>
      <c r="B613" s="1" t="n">
        <v>45476.63179398148</v>
      </c>
      <c r="C613" s="1" t="n">
        <v>46138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52311-2024</t>
        </is>
      </c>
      <c r="B614" s="1" t="n">
        <v>45608.83903935185</v>
      </c>
      <c r="C614" s="1" t="n">
        <v>46138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30989-2023</t>
        </is>
      </c>
      <c r="B615" s="1" t="n">
        <v>45113.52239583333</v>
      </c>
      <c r="C615" s="1" t="n">
        <v>46138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45034-2025</t>
        </is>
      </c>
      <c r="B616" s="1" t="n">
        <v>45918.7072800926</v>
      </c>
      <c r="C616" s="1" t="n">
        <v>46138</v>
      </c>
      <c r="D616" t="inlineStr">
        <is>
          <t>VÄRMLANDS LÄN</t>
        </is>
      </c>
      <c r="E616" t="inlineStr">
        <is>
          <t>SUNNE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44984-2025</t>
        </is>
      </c>
      <c r="B617" s="1" t="n">
        <v>45918.65199074074</v>
      </c>
      <c r="C617" s="1" t="n">
        <v>46138</v>
      </c>
      <c r="D617" t="inlineStr">
        <is>
          <t>VÄRMLANDS LÄN</t>
        </is>
      </c>
      <c r="E617" t="inlineStr">
        <is>
          <t>SUNNE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23177-2025</t>
        </is>
      </c>
      <c r="B618" s="1" t="n">
        <v>45791.43581018518</v>
      </c>
      <c r="C618" s="1" t="n">
        <v>46138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7496-2024</t>
        </is>
      </c>
      <c r="B619" s="1" t="n">
        <v>45346.83141203703</v>
      </c>
      <c r="C619" s="1" t="n">
        <v>46138</v>
      </c>
      <c r="D619" t="inlineStr">
        <is>
          <t>VÄRMLANDS LÄN</t>
        </is>
      </c>
      <c r="E619" t="inlineStr">
        <is>
          <t>SUNNE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11427-2022</t>
        </is>
      </c>
      <c r="B620" s="1" t="n">
        <v>44630</v>
      </c>
      <c r="C620" s="1" t="n">
        <v>46138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32134-2023</t>
        </is>
      </c>
      <c r="B621" s="1" t="n">
        <v>45119.65582175926</v>
      </c>
      <c r="C621" s="1" t="n">
        <v>46138</v>
      </c>
      <c r="D621" t="inlineStr">
        <is>
          <t>VÄRMLANDS LÄN</t>
        </is>
      </c>
      <c r="E621" t="inlineStr">
        <is>
          <t>SUNNE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22260-2023</t>
        </is>
      </c>
      <c r="B622" s="1" t="n">
        <v>45070</v>
      </c>
      <c r="C622" s="1" t="n">
        <v>46138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45725-2025</t>
        </is>
      </c>
      <c r="B623" s="1" t="n">
        <v>45923.45702546297</v>
      </c>
      <c r="C623" s="1" t="n">
        <v>46138</v>
      </c>
      <c r="D623" t="inlineStr">
        <is>
          <t>VÄRMLANDS LÄN</t>
        </is>
      </c>
      <c r="E623" t="inlineStr">
        <is>
          <t>SUNNE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42474-2023</t>
        </is>
      </c>
      <c r="B624" s="1" t="n">
        <v>45180.69912037037</v>
      </c>
      <c r="C624" s="1" t="n">
        <v>46138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42477-2023</t>
        </is>
      </c>
      <c r="B625" s="1" t="n">
        <v>45180</v>
      </c>
      <c r="C625" s="1" t="n">
        <v>46138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16896-2024</t>
        </is>
      </c>
      <c r="B626" s="1" t="n">
        <v>45411.62149305556</v>
      </c>
      <c r="C626" s="1" t="n">
        <v>46138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35611-2023</t>
        </is>
      </c>
      <c r="B627" s="1" t="n">
        <v>45147</v>
      </c>
      <c r="C627" s="1" t="n">
        <v>46138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45719-2025</t>
        </is>
      </c>
      <c r="B628" s="1" t="n">
        <v>45923.44331018518</v>
      </c>
      <c r="C628" s="1" t="n">
        <v>46138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45677-2025</t>
        </is>
      </c>
      <c r="B629" s="1" t="n">
        <v>45923.36524305555</v>
      </c>
      <c r="C629" s="1" t="n">
        <v>46138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45747-2025</t>
        </is>
      </c>
      <c r="B630" s="1" t="n">
        <v>45923.47888888889</v>
      </c>
      <c r="C630" s="1" t="n">
        <v>46138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45452-2025</t>
        </is>
      </c>
      <c r="B631" s="1" t="n">
        <v>45922.48622685186</v>
      </c>
      <c r="C631" s="1" t="n">
        <v>46138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23715-2025</t>
        </is>
      </c>
      <c r="B632" s="1" t="n">
        <v>45793.38957175926</v>
      </c>
      <c r="C632" s="1" t="n">
        <v>46138</v>
      </c>
      <c r="D632" t="inlineStr">
        <is>
          <t>VÄRMLANDS LÄN</t>
        </is>
      </c>
      <c r="E632" t="inlineStr">
        <is>
          <t>SUNNE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57667-2022</t>
        </is>
      </c>
      <c r="B633" s="1" t="n">
        <v>44897</v>
      </c>
      <c r="C633" s="1" t="n">
        <v>46138</v>
      </c>
      <c r="D633" t="inlineStr">
        <is>
          <t>VÄRMLANDS LÄN</t>
        </is>
      </c>
      <c r="E633" t="inlineStr">
        <is>
          <t>SUNNE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23697-2025</t>
        </is>
      </c>
      <c r="B634" s="1" t="n">
        <v>45793.35398148148</v>
      </c>
      <c r="C634" s="1" t="n">
        <v>46138</v>
      </c>
      <c r="D634" t="inlineStr">
        <is>
          <t>VÄRMLANDS LÄN</t>
        </is>
      </c>
      <c r="E634" t="inlineStr">
        <is>
          <t>SUNNE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23702-2025</t>
        </is>
      </c>
      <c r="B635" s="1" t="n">
        <v>45793.36170138889</v>
      </c>
      <c r="C635" s="1" t="n">
        <v>46138</v>
      </c>
      <c r="D635" t="inlineStr">
        <is>
          <t>VÄRMLANDS LÄN</t>
        </is>
      </c>
      <c r="E635" t="inlineStr">
        <is>
          <t>SUNNE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23707-2025</t>
        </is>
      </c>
      <c r="B636" s="1" t="n">
        <v>45793.37181712963</v>
      </c>
      <c r="C636" s="1" t="n">
        <v>46138</v>
      </c>
      <c r="D636" t="inlineStr">
        <is>
          <t>VÄRMLANDS LÄN</t>
        </is>
      </c>
      <c r="E636" t="inlineStr">
        <is>
          <t>SUNNE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23720-2025</t>
        </is>
      </c>
      <c r="B637" s="1" t="n">
        <v>45793.40462962963</v>
      </c>
      <c r="C637" s="1" t="n">
        <v>46138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18178-2023</t>
        </is>
      </c>
      <c r="B638" s="1" t="n">
        <v>45041</v>
      </c>
      <c r="C638" s="1" t="n">
        <v>46138</v>
      </c>
      <c r="D638" t="inlineStr">
        <is>
          <t>VÄRMLANDS LÄN</t>
        </is>
      </c>
      <c r="E638" t="inlineStr">
        <is>
          <t>SUNNE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23718-2025</t>
        </is>
      </c>
      <c r="B639" s="1" t="n">
        <v>45793.39702546296</v>
      </c>
      <c r="C639" s="1" t="n">
        <v>46138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23721-2025</t>
        </is>
      </c>
      <c r="B640" s="1" t="n">
        <v>45793.40519675926</v>
      </c>
      <c r="C640" s="1" t="n">
        <v>46138</v>
      </c>
      <c r="D640" t="inlineStr">
        <is>
          <t>VÄRMLANDS LÄN</t>
        </is>
      </c>
      <c r="E640" t="inlineStr">
        <is>
          <t>SUNNE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32572-2024</t>
        </is>
      </c>
      <c r="B641" s="1" t="n">
        <v>45513.56510416666</v>
      </c>
      <c r="C641" s="1" t="n">
        <v>46138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52411-2024</t>
        </is>
      </c>
      <c r="B642" s="1" t="n">
        <v>45608</v>
      </c>
      <c r="C642" s="1" t="n">
        <v>46138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48021-2023</t>
        </is>
      </c>
      <c r="B643" s="1" t="n">
        <v>45204.6834837963</v>
      </c>
      <c r="C643" s="1" t="n">
        <v>46138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8948-2023</t>
        </is>
      </c>
      <c r="B644" s="1" t="n">
        <v>44979.46204861111</v>
      </c>
      <c r="C644" s="1" t="n">
        <v>46138</v>
      </c>
      <c r="D644" t="inlineStr">
        <is>
          <t>VÄRMLANDS LÄN</t>
        </is>
      </c>
      <c r="E644" t="inlineStr">
        <is>
          <t>SUNNE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7131-2023</t>
        </is>
      </c>
      <c r="B645" s="1" t="n">
        <v>44970</v>
      </c>
      <c r="C645" s="1" t="n">
        <v>46138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34049-2023</t>
        </is>
      </c>
      <c r="B646" s="1" t="n">
        <v>45125</v>
      </c>
      <c r="C646" s="1" t="n">
        <v>46138</v>
      </c>
      <c r="D646" t="inlineStr">
        <is>
          <t>VÄRMLANDS LÄN</t>
        </is>
      </c>
      <c r="E646" t="inlineStr">
        <is>
          <t>SUNNE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34053-2023</t>
        </is>
      </c>
      <c r="B647" s="1" t="n">
        <v>45125</v>
      </c>
      <c r="C647" s="1" t="n">
        <v>46138</v>
      </c>
      <c r="D647" t="inlineStr">
        <is>
          <t>VÄRMLANDS LÄN</t>
        </is>
      </c>
      <c r="E647" t="inlineStr">
        <is>
          <t>SUNNE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46370-2025</t>
        </is>
      </c>
      <c r="B648" s="1" t="n">
        <v>45925.50527777777</v>
      </c>
      <c r="C648" s="1" t="n">
        <v>46138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73214-2021</t>
        </is>
      </c>
      <c r="B649" s="1" t="n">
        <v>44550.6446875</v>
      </c>
      <c r="C649" s="1" t="n">
        <v>46138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24279-2025</t>
        </is>
      </c>
      <c r="B650" s="1" t="n">
        <v>45796</v>
      </c>
      <c r="C650" s="1" t="n">
        <v>46138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18542-2024</t>
        </is>
      </c>
      <c r="B651" s="1" t="n">
        <v>45425</v>
      </c>
      <c r="C651" s="1" t="n">
        <v>46138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46850-2025</t>
        </is>
      </c>
      <c r="B652" s="1" t="n">
        <v>45928.85655092593</v>
      </c>
      <c r="C652" s="1" t="n">
        <v>46138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46851-2025</t>
        </is>
      </c>
      <c r="B653" s="1" t="n">
        <v>45928.85929398148</v>
      </c>
      <c r="C653" s="1" t="n">
        <v>46138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4360-2025</t>
        </is>
      </c>
      <c r="B654" s="1" t="n">
        <v>45686.3312962963</v>
      </c>
      <c r="C654" s="1" t="n">
        <v>46138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26672-2024</t>
        </is>
      </c>
      <c r="B655" s="1" t="n">
        <v>45470</v>
      </c>
      <c r="C655" s="1" t="n">
        <v>46138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7928-2025</t>
        </is>
      </c>
      <c r="B656" s="1" t="n">
        <v>45707.36717592592</v>
      </c>
      <c r="C656" s="1" t="n">
        <v>46138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47273-2024</t>
        </is>
      </c>
      <c r="B657" s="1" t="n">
        <v>45586.87646990741</v>
      </c>
      <c r="C657" s="1" t="n">
        <v>46138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47025-2025</t>
        </is>
      </c>
      <c r="B658" s="1" t="n">
        <v>45929.5793287037</v>
      </c>
      <c r="C658" s="1" t="n">
        <v>46138</v>
      </c>
      <c r="D658" t="inlineStr">
        <is>
          <t>VÄRMLANDS LÄN</t>
        </is>
      </c>
      <c r="E658" t="inlineStr">
        <is>
          <t>SUNNE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47133-2025</t>
        </is>
      </c>
      <c r="B659" s="1" t="n">
        <v>45929.69681712963</v>
      </c>
      <c r="C659" s="1" t="n">
        <v>46138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46657-2025</t>
        </is>
      </c>
      <c r="B660" s="1" t="n">
        <v>45926.4984375</v>
      </c>
      <c r="C660" s="1" t="n">
        <v>46138</v>
      </c>
      <c r="D660" t="inlineStr">
        <is>
          <t>VÄRMLANDS LÄN</t>
        </is>
      </c>
      <c r="E660" t="inlineStr">
        <is>
          <t>SUNNE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46663-2025</t>
        </is>
      </c>
      <c r="B661" s="1" t="n">
        <v>45926.50615740741</v>
      </c>
      <c r="C661" s="1" t="n">
        <v>46138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56871-2023</t>
        </is>
      </c>
      <c r="B662" s="1" t="n">
        <v>45244.51956018519</v>
      </c>
      <c r="C662" s="1" t="n">
        <v>46138</v>
      </c>
      <c r="D662" t="inlineStr">
        <is>
          <t>VÄRMLANDS LÄN</t>
        </is>
      </c>
      <c r="E662" t="inlineStr">
        <is>
          <t>SUNNE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24092-2025</t>
        </is>
      </c>
      <c r="B663" s="1" t="n">
        <v>45796.57221064815</v>
      </c>
      <c r="C663" s="1" t="n">
        <v>46138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46852-2025</t>
        </is>
      </c>
      <c r="B664" s="1" t="n">
        <v>45928.8621875</v>
      </c>
      <c r="C664" s="1" t="n">
        <v>46138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40061-2024</t>
        </is>
      </c>
      <c r="B665" s="1" t="n">
        <v>45553.92016203704</v>
      </c>
      <c r="C665" s="1" t="n">
        <v>46138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46738-2025</t>
        </is>
      </c>
      <c r="B666" s="1" t="n">
        <v>45926</v>
      </c>
      <c r="C666" s="1" t="n">
        <v>46138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3076-2024</t>
        </is>
      </c>
      <c r="B667" s="1" t="n">
        <v>45316</v>
      </c>
      <c r="C667" s="1" t="n">
        <v>46138</v>
      </c>
      <c r="D667" t="inlineStr">
        <is>
          <t>VÄRMLANDS LÄN</t>
        </is>
      </c>
      <c r="E667" t="inlineStr">
        <is>
          <t>SUNNE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12273-2025</t>
        </is>
      </c>
      <c r="B668" s="1" t="n">
        <v>45729</v>
      </c>
      <c r="C668" s="1" t="n">
        <v>46138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47598-2025</t>
        </is>
      </c>
      <c r="B669" s="1" t="n">
        <v>45931.45502314815</v>
      </c>
      <c r="C669" s="1" t="n">
        <v>46138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13035-2025</t>
        </is>
      </c>
      <c r="B670" s="1" t="n">
        <v>45734.57458333333</v>
      </c>
      <c r="C670" s="1" t="n">
        <v>46138</v>
      </c>
      <c r="D670" t="inlineStr">
        <is>
          <t>VÄRMLANDS LÄN</t>
        </is>
      </c>
      <c r="E670" t="inlineStr">
        <is>
          <t>SUNNE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47237-2025</t>
        </is>
      </c>
      <c r="B671" s="1" t="n">
        <v>45930.40976851852</v>
      </c>
      <c r="C671" s="1" t="n">
        <v>46138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47263-2025</t>
        </is>
      </c>
      <c r="B672" s="1" t="n">
        <v>45930.45422453704</v>
      </c>
      <c r="C672" s="1" t="n">
        <v>46138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50425-2023</t>
        </is>
      </c>
      <c r="B673" s="1" t="n">
        <v>45216</v>
      </c>
      <c r="C673" s="1" t="n">
        <v>46138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47256-2025</t>
        </is>
      </c>
      <c r="B674" s="1" t="n">
        <v>45930.44425925926</v>
      </c>
      <c r="C674" s="1" t="n">
        <v>46138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47273-2025</t>
        </is>
      </c>
      <c r="B675" s="1" t="n">
        <v>45930.4646875</v>
      </c>
      <c r="C675" s="1" t="n">
        <v>46138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47505-2025</t>
        </is>
      </c>
      <c r="B676" s="1" t="n">
        <v>45930.86071759259</v>
      </c>
      <c r="C676" s="1" t="n">
        <v>46138</v>
      </c>
      <c r="D676" t="inlineStr">
        <is>
          <t>VÄRMLANDS LÄN</t>
        </is>
      </c>
      <c r="E676" t="inlineStr">
        <is>
          <t>SUNNE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47261-2025</t>
        </is>
      </c>
      <c r="B677" s="1" t="n">
        <v>45930.45089120371</v>
      </c>
      <c r="C677" s="1" t="n">
        <v>46138</v>
      </c>
      <c r="D677" t="inlineStr">
        <is>
          <t>VÄRMLANDS LÄN</t>
        </is>
      </c>
      <c r="E677" t="inlineStr">
        <is>
          <t>SUNNE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47689-2025</t>
        </is>
      </c>
      <c r="B678" s="1" t="n">
        <v>45931.5925462963</v>
      </c>
      <c r="C678" s="1" t="n">
        <v>46138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1626-2023</t>
        </is>
      </c>
      <c r="B679" s="1" t="n">
        <v>44937</v>
      </c>
      <c r="C679" s="1" t="n">
        <v>46138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13618-2022</t>
        </is>
      </c>
      <c r="B680" s="1" t="n">
        <v>44648.5796412037</v>
      </c>
      <c r="C680" s="1" t="n">
        <v>46138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24859-2025</t>
        </is>
      </c>
      <c r="B681" s="1" t="n">
        <v>45799.47902777778</v>
      </c>
      <c r="C681" s="1" t="n">
        <v>46138</v>
      </c>
      <c r="D681" t="inlineStr">
        <is>
          <t>VÄRMLANDS LÄN</t>
        </is>
      </c>
      <c r="E681" t="inlineStr">
        <is>
          <t>SUNNE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48315-2025</t>
        </is>
      </c>
      <c r="B682" s="1" t="n">
        <v>45933.61980324074</v>
      </c>
      <c r="C682" s="1" t="n">
        <v>46138</v>
      </c>
      <c r="D682" t="inlineStr">
        <is>
          <t>VÄRMLANDS LÄN</t>
        </is>
      </c>
      <c r="E682" t="inlineStr">
        <is>
          <t>SUNNE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24878-2025</t>
        </is>
      </c>
      <c r="B683" s="1" t="n">
        <v>45799.49319444445</v>
      </c>
      <c r="C683" s="1" t="n">
        <v>46138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36550-2023</t>
        </is>
      </c>
      <c r="B684" s="1" t="n">
        <v>45153.38835648148</v>
      </c>
      <c r="C684" s="1" t="n">
        <v>46138</v>
      </c>
      <c r="D684" t="inlineStr">
        <is>
          <t>VÄRMLANDS LÄN</t>
        </is>
      </c>
      <c r="E684" t="inlineStr">
        <is>
          <t>SUNNE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53749-2021</t>
        </is>
      </c>
      <c r="B685" s="1" t="n">
        <v>44469</v>
      </c>
      <c r="C685" s="1" t="n">
        <v>46138</v>
      </c>
      <c r="D685" t="inlineStr">
        <is>
          <t>VÄRMLANDS LÄN</t>
        </is>
      </c>
      <c r="E685" t="inlineStr">
        <is>
          <t>SUNNE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39813-2025</t>
        </is>
      </c>
      <c r="B686" s="1" t="n">
        <v>45891</v>
      </c>
      <c r="C686" s="1" t="n">
        <v>46138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48149-2025</t>
        </is>
      </c>
      <c r="B687" s="1" t="n">
        <v>45933.40704861111</v>
      </c>
      <c r="C687" s="1" t="n">
        <v>46138</v>
      </c>
      <c r="D687" t="inlineStr">
        <is>
          <t>VÄRMLANDS LÄN</t>
        </is>
      </c>
      <c r="E687" t="inlineStr">
        <is>
          <t>SUNNE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1633-2025</t>
        </is>
      </c>
      <c r="B688" s="1" t="n">
        <v>45670.63444444445</v>
      </c>
      <c r="C688" s="1" t="n">
        <v>46138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2332-2025</t>
        </is>
      </c>
      <c r="B689" s="1" t="n">
        <v>45673.64961805556</v>
      </c>
      <c r="C689" s="1" t="n">
        <v>46138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23027-2023</t>
        </is>
      </c>
      <c r="B690" s="1" t="n">
        <v>45074</v>
      </c>
      <c r="C690" s="1" t="n">
        <v>46138</v>
      </c>
      <c r="D690" t="inlineStr">
        <is>
          <t>VÄRMLANDS LÄN</t>
        </is>
      </c>
      <c r="E690" t="inlineStr">
        <is>
          <t>SUNNE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44860-2022</t>
        </is>
      </c>
      <c r="B691" s="1" t="n">
        <v>44841</v>
      </c>
      <c r="C691" s="1" t="n">
        <v>46138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48518-2025</t>
        </is>
      </c>
      <c r="B692" s="1" t="n">
        <v>45936.39662037037</v>
      </c>
      <c r="C692" s="1" t="n">
        <v>46138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37666-2023</t>
        </is>
      </c>
      <c r="B693" s="1" t="n">
        <v>45159</v>
      </c>
      <c r="C693" s="1" t="n">
        <v>46138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269-2025</t>
        </is>
      </c>
      <c r="B694" s="1" t="n">
        <v>45660</v>
      </c>
      <c r="C694" s="1" t="n">
        <v>46138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25199-2025</t>
        </is>
      </c>
      <c r="B695" s="1" t="n">
        <v>45800.46146990741</v>
      </c>
      <c r="C695" s="1" t="n">
        <v>46138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25370-2025</t>
        </is>
      </c>
      <c r="B696" s="1" t="n">
        <v>45800.63108796296</v>
      </c>
      <c r="C696" s="1" t="n">
        <v>46138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25184-2025</t>
        </is>
      </c>
      <c r="B697" s="1" t="n">
        <v>45800.44991898148</v>
      </c>
      <c r="C697" s="1" t="n">
        <v>46138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25189-2025</t>
        </is>
      </c>
      <c r="B698" s="1" t="n">
        <v>45800.4567824074</v>
      </c>
      <c r="C698" s="1" t="n">
        <v>46138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25214-2025</t>
        </is>
      </c>
      <c r="B699" s="1" t="n">
        <v>45800.47282407407</v>
      </c>
      <c r="C699" s="1" t="n">
        <v>46138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25231-2025</t>
        </is>
      </c>
      <c r="B700" s="1" t="n">
        <v>45800.48482638889</v>
      </c>
      <c r="C700" s="1" t="n">
        <v>46138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25144-2025</t>
        </is>
      </c>
      <c r="B701" s="1" t="n">
        <v>45800.41766203703</v>
      </c>
      <c r="C701" s="1" t="n">
        <v>46138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18801-2025</t>
        </is>
      </c>
      <c r="B702" s="1" t="n">
        <v>45764</v>
      </c>
      <c r="C702" s="1" t="n">
        <v>46138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49206-2025</t>
        </is>
      </c>
      <c r="B703" s="1" t="n">
        <v>45938.42476851852</v>
      </c>
      <c r="C703" s="1" t="n">
        <v>46138</v>
      </c>
      <c r="D703" t="inlineStr">
        <is>
          <t>VÄRMLANDS LÄN</t>
        </is>
      </c>
      <c r="E703" t="inlineStr">
        <is>
          <t>SUNNE</t>
        </is>
      </c>
      <c r="F703" t="inlineStr">
        <is>
          <t>Övriga statliga verk och myndigheter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26121-2025</t>
        </is>
      </c>
      <c r="B704" s="1" t="n">
        <v>45805.38510416666</v>
      </c>
      <c r="C704" s="1" t="n">
        <v>46138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6362-2023</t>
        </is>
      </c>
      <c r="B705" s="1" t="n">
        <v>44965</v>
      </c>
      <c r="C705" s="1" t="n">
        <v>46138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20637-2021</t>
        </is>
      </c>
      <c r="B706" s="1" t="n">
        <v>44316.40224537037</v>
      </c>
      <c r="C706" s="1" t="n">
        <v>46138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25902-2025</t>
        </is>
      </c>
      <c r="B707" s="1" t="n">
        <v>45804</v>
      </c>
      <c r="C707" s="1" t="n">
        <v>46138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26250-2025</t>
        </is>
      </c>
      <c r="B708" s="1" t="n">
        <v>45805.57753472222</v>
      </c>
      <c r="C708" s="1" t="n">
        <v>46138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49066-2025</t>
        </is>
      </c>
      <c r="B709" s="1" t="n">
        <v>45937.64677083334</v>
      </c>
      <c r="C709" s="1" t="n">
        <v>46138</v>
      </c>
      <c r="D709" t="inlineStr">
        <is>
          <t>VÄRMLANDS LÄN</t>
        </is>
      </c>
      <c r="E709" t="inlineStr">
        <is>
          <t>SUNNE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46138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262-2023</t>
        </is>
      </c>
      <c r="B711" s="1" t="n">
        <v>44928</v>
      </c>
      <c r="C711" s="1" t="n">
        <v>46138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25775-2025</t>
        </is>
      </c>
      <c r="B712" s="1" t="n">
        <v>45804.35508101852</v>
      </c>
      <c r="C712" s="1" t="n">
        <v>46138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26327-2025</t>
        </is>
      </c>
      <c r="B713" s="1" t="n">
        <v>45805.66837962963</v>
      </c>
      <c r="C713" s="1" t="n">
        <v>46138</v>
      </c>
      <c r="D713" t="inlineStr">
        <is>
          <t>VÄRMLANDS LÄN</t>
        </is>
      </c>
      <c r="E713" t="inlineStr">
        <is>
          <t>SUNNE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49894-2025</t>
        </is>
      </c>
      <c r="B714" s="1" t="n">
        <v>45940.58040509259</v>
      </c>
      <c r="C714" s="1" t="n">
        <v>46138</v>
      </c>
      <c r="D714" t="inlineStr">
        <is>
          <t>VÄRMLANDS LÄN</t>
        </is>
      </c>
      <c r="E714" t="inlineStr">
        <is>
          <t>SUNNE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49825-2025</t>
        </is>
      </c>
      <c r="B715" s="1" t="n">
        <v>45940.44789351852</v>
      </c>
      <c r="C715" s="1" t="n">
        <v>46138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49892-2025</t>
        </is>
      </c>
      <c r="B716" s="1" t="n">
        <v>45940.57696759259</v>
      </c>
      <c r="C716" s="1" t="n">
        <v>46138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50191-2025</t>
        </is>
      </c>
      <c r="B717" s="1" t="n">
        <v>45943.63773148148</v>
      </c>
      <c r="C717" s="1" t="n">
        <v>46138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26370-2025</t>
        </is>
      </c>
      <c r="B718" s="1" t="n">
        <v>45806.39633101852</v>
      </c>
      <c r="C718" s="1" t="n">
        <v>46138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50178-2025</t>
        </is>
      </c>
      <c r="B719" s="1" t="n">
        <v>45943.61084490741</v>
      </c>
      <c r="C719" s="1" t="n">
        <v>46138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53759-2024</t>
        </is>
      </c>
      <c r="B720" s="1" t="n">
        <v>45615.50706018518</v>
      </c>
      <c r="C720" s="1" t="n">
        <v>46138</v>
      </c>
      <c r="D720" t="inlineStr">
        <is>
          <t>VÄRMLANDS LÄN</t>
        </is>
      </c>
      <c r="E720" t="inlineStr">
        <is>
          <t>SUNNE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2173-2025</t>
        </is>
      </c>
      <c r="B721" s="1" t="n">
        <v>45673.32659722222</v>
      </c>
      <c r="C721" s="1" t="n">
        <v>46138</v>
      </c>
      <c r="D721" t="inlineStr">
        <is>
          <t>VÄRMLANDS LÄN</t>
        </is>
      </c>
      <c r="E721" t="inlineStr">
        <is>
          <t>SUNNE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50076-2025</t>
        </is>
      </c>
      <c r="B722" s="1" t="n">
        <v>45943.46533564815</v>
      </c>
      <c r="C722" s="1" t="n">
        <v>46138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53535-2024</t>
        </is>
      </c>
      <c r="B723" s="1" t="n">
        <v>45614</v>
      </c>
      <c r="C723" s="1" t="n">
        <v>46138</v>
      </c>
      <c r="D723" t="inlineStr">
        <is>
          <t>VÄRMLANDS LÄN</t>
        </is>
      </c>
      <c r="E723" t="inlineStr">
        <is>
          <t>SUNNE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47277-2024</t>
        </is>
      </c>
      <c r="B724" s="1" t="n">
        <v>45586</v>
      </c>
      <c r="C724" s="1" t="n">
        <v>46138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50074-2025</t>
        </is>
      </c>
      <c r="B725" s="1" t="n">
        <v>45943.46108796296</v>
      </c>
      <c r="C725" s="1" t="n">
        <v>46138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14188-2025</t>
        </is>
      </c>
      <c r="B726" s="1" t="n">
        <v>45740.54981481482</v>
      </c>
      <c r="C726" s="1" t="n">
        <v>46138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30832-2024</t>
        </is>
      </c>
      <c r="B727" s="1" t="n">
        <v>45497.55288194444</v>
      </c>
      <c r="C727" s="1" t="n">
        <v>46138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26759-2025</t>
        </is>
      </c>
      <c r="B728" s="1" t="n">
        <v>45810.56247685185</v>
      </c>
      <c r="C728" s="1" t="n">
        <v>46138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55894-2024</t>
        </is>
      </c>
      <c r="B729" s="1" t="n">
        <v>45623</v>
      </c>
      <c r="C729" s="1" t="n">
        <v>46138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Aktiebolag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26875-2025</t>
        </is>
      </c>
      <c r="B730" s="1" t="n">
        <v>45809</v>
      </c>
      <c r="C730" s="1" t="n">
        <v>46138</v>
      </c>
      <c r="D730" t="inlineStr">
        <is>
          <t>VÄRMLANDS LÄN</t>
        </is>
      </c>
      <c r="E730" t="inlineStr">
        <is>
          <t>SUNNE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26915-2025</t>
        </is>
      </c>
      <c r="B731" s="1" t="n">
        <v>45811.36954861111</v>
      </c>
      <c r="C731" s="1" t="n">
        <v>46138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55401-2024</t>
        </is>
      </c>
      <c r="B732" s="1" t="n">
        <v>45622</v>
      </c>
      <c r="C732" s="1" t="n">
        <v>46138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26876-2025</t>
        </is>
      </c>
      <c r="B733" s="1" t="n">
        <v>45809</v>
      </c>
      <c r="C733" s="1" t="n">
        <v>46138</v>
      </c>
      <c r="D733" t="inlineStr">
        <is>
          <t>VÄRMLANDS LÄN</t>
        </is>
      </c>
      <c r="E733" t="inlineStr">
        <is>
          <t>SUNNE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31221-2024</t>
        </is>
      </c>
      <c r="B734" s="1" t="n">
        <v>45503</v>
      </c>
      <c r="C734" s="1" t="n">
        <v>46138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32393-2022</t>
        </is>
      </c>
      <c r="B735" s="1" t="n">
        <v>44781</v>
      </c>
      <c r="C735" s="1" t="n">
        <v>46138</v>
      </c>
      <c r="D735" t="inlineStr">
        <is>
          <t>VÄRMLANDS LÄN</t>
        </is>
      </c>
      <c r="E735" t="inlineStr">
        <is>
          <t>SUNNE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26884-2025</t>
        </is>
      </c>
      <c r="B736" s="1" t="n">
        <v>45810.89060185185</v>
      </c>
      <c r="C736" s="1" t="n">
        <v>46138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14119-2024</t>
        </is>
      </c>
      <c r="B737" s="1" t="n">
        <v>45392</v>
      </c>
      <c r="C737" s="1" t="n">
        <v>46138</v>
      </c>
      <c r="D737" t="inlineStr">
        <is>
          <t>VÄRMLANDS LÄN</t>
        </is>
      </c>
      <c r="E737" t="inlineStr">
        <is>
          <t>SUNNE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26877-2025</t>
        </is>
      </c>
      <c r="B738" s="1" t="n">
        <v>45809</v>
      </c>
      <c r="C738" s="1" t="n">
        <v>46138</v>
      </c>
      <c r="D738" t="inlineStr">
        <is>
          <t>VÄRMLANDS LÄN</t>
        </is>
      </c>
      <c r="E738" t="inlineStr">
        <is>
          <t>SUNNE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50470-2025</t>
        </is>
      </c>
      <c r="B739" s="1" t="n">
        <v>45945.36418981481</v>
      </c>
      <c r="C739" s="1" t="n">
        <v>46138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50339-2025</t>
        </is>
      </c>
      <c r="B740" s="1" t="n">
        <v>45944.52155092593</v>
      </c>
      <c r="C740" s="1" t="n">
        <v>46138</v>
      </c>
      <c r="D740" t="inlineStr">
        <is>
          <t>VÄRMLANDS LÄN</t>
        </is>
      </c>
      <c r="E740" t="inlineStr">
        <is>
          <t>SUNNE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15710-2024</t>
        </is>
      </c>
      <c r="B741" s="1" t="n">
        <v>45404</v>
      </c>
      <c r="C741" s="1" t="n">
        <v>46138</v>
      </c>
      <c r="D741" t="inlineStr">
        <is>
          <t>VÄRMLANDS LÄN</t>
        </is>
      </c>
      <c r="E741" t="inlineStr">
        <is>
          <t>SUNNE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30218-2024</t>
        </is>
      </c>
      <c r="B742" s="1" t="n">
        <v>45490</v>
      </c>
      <c r="C742" s="1" t="n">
        <v>46138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27342-2025</t>
        </is>
      </c>
      <c r="B743" s="1" t="n">
        <v>45812.6177662037</v>
      </c>
      <c r="C743" s="1" t="n">
        <v>46138</v>
      </c>
      <c r="D743" t="inlineStr">
        <is>
          <t>VÄRMLANDS LÄN</t>
        </is>
      </c>
      <c r="E743" t="inlineStr">
        <is>
          <t>SUNNE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27481-2025</t>
        </is>
      </c>
      <c r="B744" s="1" t="n">
        <v>45813.3796412037</v>
      </c>
      <c r="C744" s="1" t="n">
        <v>46138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50815-2024</t>
        </is>
      </c>
      <c r="B745" s="1" t="n">
        <v>45602.55113425926</v>
      </c>
      <c r="C745" s="1" t="n">
        <v>46138</v>
      </c>
      <c r="D745" t="inlineStr">
        <is>
          <t>VÄRMLANDS LÄN</t>
        </is>
      </c>
      <c r="E745" t="inlineStr">
        <is>
          <t>SUNNE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27475-2025</t>
        </is>
      </c>
      <c r="B746" s="1" t="n">
        <v>45813.37496527778</v>
      </c>
      <c r="C746" s="1" t="n">
        <v>46138</v>
      </c>
      <c r="D746" t="inlineStr">
        <is>
          <t>VÄRMLANDS LÄN</t>
        </is>
      </c>
      <c r="E746" t="inlineStr">
        <is>
          <t>SUNNE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64446-2023</t>
        </is>
      </c>
      <c r="B747" s="1" t="n">
        <v>45280</v>
      </c>
      <c r="C747" s="1" t="n">
        <v>46138</v>
      </c>
      <c r="D747" t="inlineStr">
        <is>
          <t>VÄRMLANDS LÄN</t>
        </is>
      </c>
      <c r="E747" t="inlineStr">
        <is>
          <t>SUNNE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9753-2025</t>
        </is>
      </c>
      <c r="B748" s="1" t="n">
        <v>45716</v>
      </c>
      <c r="C748" s="1" t="n">
        <v>46138</v>
      </c>
      <c r="D748" t="inlineStr">
        <is>
          <t>VÄRMLANDS LÄN</t>
        </is>
      </c>
      <c r="E748" t="inlineStr">
        <is>
          <t>SUNNE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60761-2022</t>
        </is>
      </c>
      <c r="B749" s="1" t="n">
        <v>44914.34523148148</v>
      </c>
      <c r="C749" s="1" t="n">
        <v>46138</v>
      </c>
      <c r="D749" t="inlineStr">
        <is>
          <t>VÄRMLANDS LÄN</t>
        </is>
      </c>
      <c r="E749" t="inlineStr">
        <is>
          <t>SUNNE</t>
        </is>
      </c>
      <c r="G749" t="n">
        <v>12.1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27444-2025</t>
        </is>
      </c>
      <c r="B750" s="1" t="n">
        <v>45813.321875</v>
      </c>
      <c r="C750" s="1" t="n">
        <v>46138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27239-2025</t>
        </is>
      </c>
      <c r="B751" s="1" t="n">
        <v>45812.45039351852</v>
      </c>
      <c r="C751" s="1" t="n">
        <v>46138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27710-2025</t>
        </is>
      </c>
      <c r="B752" s="1" t="n">
        <v>45813</v>
      </c>
      <c r="C752" s="1" t="n">
        <v>46138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27711-2025</t>
        </is>
      </c>
      <c r="B753" s="1" t="n">
        <v>45813</v>
      </c>
      <c r="C753" s="1" t="n">
        <v>46138</v>
      </c>
      <c r="D753" t="inlineStr">
        <is>
          <t>VÄRMLANDS LÄN</t>
        </is>
      </c>
      <c r="E753" t="inlineStr">
        <is>
          <t>SUNNE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9608-2022</t>
        </is>
      </c>
      <c r="B754" s="1" t="n">
        <v>44617.51704861111</v>
      </c>
      <c r="C754" s="1" t="n">
        <v>46138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27302-2025</t>
        </is>
      </c>
      <c r="B755" s="1" t="n">
        <v>45812.57192129629</v>
      </c>
      <c r="C755" s="1" t="n">
        <v>46138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3637-2025</t>
        </is>
      </c>
      <c r="B756" s="1" t="n">
        <v>45681</v>
      </c>
      <c r="C756" s="1" t="n">
        <v>46138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19454-2022</t>
        </is>
      </c>
      <c r="B757" s="1" t="n">
        <v>44693</v>
      </c>
      <c r="C757" s="1" t="n">
        <v>46138</v>
      </c>
      <c r="D757" t="inlineStr">
        <is>
          <t>VÄRMLANDS LÄN</t>
        </is>
      </c>
      <c r="E757" t="inlineStr">
        <is>
          <t>SUNNE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6037-2023</t>
        </is>
      </c>
      <c r="B758" s="1" t="n">
        <v>44964.45631944444</v>
      </c>
      <c r="C758" s="1" t="n">
        <v>46138</v>
      </c>
      <c r="D758" t="inlineStr">
        <is>
          <t>VÄRMLANDS LÄN</t>
        </is>
      </c>
      <c r="E758" t="inlineStr">
        <is>
          <t>SUNNE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28055-2025</t>
        </is>
      </c>
      <c r="B759" s="1" t="n">
        <v>45817.66105324074</v>
      </c>
      <c r="C759" s="1" t="n">
        <v>46138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8911-2024</t>
        </is>
      </c>
      <c r="B760" s="1" t="n">
        <v>45357</v>
      </c>
      <c r="C760" s="1" t="n">
        <v>46138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44312-2024</t>
        </is>
      </c>
      <c r="B761" s="1" t="n">
        <v>45573</v>
      </c>
      <c r="C761" s="1" t="n">
        <v>46138</v>
      </c>
      <c r="D761" t="inlineStr">
        <is>
          <t>VÄRMLANDS LÄN</t>
        </is>
      </c>
      <c r="E761" t="inlineStr">
        <is>
          <t>SUNNE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12442-2022</t>
        </is>
      </c>
      <c r="B762" s="1" t="n">
        <v>44638</v>
      </c>
      <c r="C762" s="1" t="n">
        <v>46138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28322-2025</t>
        </is>
      </c>
      <c r="B763" s="1" t="n">
        <v>45818.64170138889</v>
      </c>
      <c r="C763" s="1" t="n">
        <v>46138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28215-2025</t>
        </is>
      </c>
      <c r="B764" s="1" t="n">
        <v>45818.46724537037</v>
      </c>
      <c r="C764" s="1" t="n">
        <v>46138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28525-2025</t>
        </is>
      </c>
      <c r="B765" s="1" t="n">
        <v>45819.49429398148</v>
      </c>
      <c r="C765" s="1" t="n">
        <v>46138</v>
      </c>
      <c r="D765" t="inlineStr">
        <is>
          <t>VÄRMLANDS LÄN</t>
        </is>
      </c>
      <c r="E765" t="inlineStr">
        <is>
          <t>SUNNE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29175-2025</t>
        </is>
      </c>
      <c r="B766" s="1" t="n">
        <v>45821</v>
      </c>
      <c r="C766" s="1" t="n">
        <v>46138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51056-2025</t>
        </is>
      </c>
      <c r="B767" s="1" t="n">
        <v>45947.44354166667</v>
      </c>
      <c r="C767" s="1" t="n">
        <v>46138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29001-2023</t>
        </is>
      </c>
      <c r="B768" s="1" t="n">
        <v>45104.63811342593</v>
      </c>
      <c r="C768" s="1" t="n">
        <v>46138</v>
      </c>
      <c r="D768" t="inlineStr">
        <is>
          <t>VÄRMLANDS LÄN</t>
        </is>
      </c>
      <c r="E768" t="inlineStr">
        <is>
          <t>SUNNE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28834-2025</t>
        </is>
      </c>
      <c r="B769" s="1" t="n">
        <v>45820.55716435185</v>
      </c>
      <c r="C769" s="1" t="n">
        <v>46138</v>
      </c>
      <c r="D769" t="inlineStr">
        <is>
          <t>VÄRMLANDS LÄN</t>
        </is>
      </c>
      <c r="E769" t="inlineStr">
        <is>
          <t>SUNNE</t>
        </is>
      </c>
      <c r="F769" t="inlineStr">
        <is>
          <t>Kyrkan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51343-2025</t>
        </is>
      </c>
      <c r="B770" s="1" t="n">
        <v>45950.43082175926</v>
      </c>
      <c r="C770" s="1" t="n">
        <v>46138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38435-2023</t>
        </is>
      </c>
      <c r="B771" s="1" t="n">
        <v>45162</v>
      </c>
      <c r="C771" s="1" t="n">
        <v>46138</v>
      </c>
      <c r="D771" t="inlineStr">
        <is>
          <t>VÄRMLANDS LÄN</t>
        </is>
      </c>
      <c r="E771" t="inlineStr">
        <is>
          <t>SUNNE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29178-2025</t>
        </is>
      </c>
      <c r="B772" s="1" t="n">
        <v>45821</v>
      </c>
      <c r="C772" s="1" t="n">
        <v>46138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28771-2025</t>
        </is>
      </c>
      <c r="B773" s="1" t="n">
        <v>45820.43418981481</v>
      </c>
      <c r="C773" s="1" t="n">
        <v>46138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29065-2025</t>
        </is>
      </c>
      <c r="B774" s="1" t="n">
        <v>45821.49783564815</v>
      </c>
      <c r="C774" s="1" t="n">
        <v>46138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28772-2025</t>
        </is>
      </c>
      <c r="B775" s="1" t="n">
        <v>45820.43732638889</v>
      </c>
      <c r="C775" s="1" t="n">
        <v>46138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51423-2025</t>
        </is>
      </c>
      <c r="B776" s="1" t="n">
        <v>45950.52194444444</v>
      </c>
      <c r="C776" s="1" t="n">
        <v>46138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59288-2024</t>
        </is>
      </c>
      <c r="B777" s="1" t="n">
        <v>45636</v>
      </c>
      <c r="C777" s="1" t="n">
        <v>46138</v>
      </c>
      <c r="D777" t="inlineStr">
        <is>
          <t>VÄRMLANDS LÄN</t>
        </is>
      </c>
      <c r="E777" t="inlineStr">
        <is>
          <t>SUNNE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29508-2025</t>
        </is>
      </c>
      <c r="B778" s="1" t="n">
        <v>45825.30479166667</v>
      </c>
      <c r="C778" s="1" t="n">
        <v>46138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51672-2025</t>
        </is>
      </c>
      <c r="B779" s="1" t="n">
        <v>45951.50067129629</v>
      </c>
      <c r="C779" s="1" t="n">
        <v>46138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4022-2025</t>
        </is>
      </c>
      <c r="B780" s="1" t="n">
        <v>45684.59275462963</v>
      </c>
      <c r="C780" s="1" t="n">
        <v>46138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52175-2025</t>
        </is>
      </c>
      <c r="B781" s="1" t="n">
        <v>45953.37548611111</v>
      </c>
      <c r="C781" s="1" t="n">
        <v>46138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52187-2025</t>
        </is>
      </c>
      <c r="B782" s="1" t="n">
        <v>45953.38636574074</v>
      </c>
      <c r="C782" s="1" t="n">
        <v>46138</v>
      </c>
      <c r="D782" t="inlineStr">
        <is>
          <t>VÄRMLANDS LÄN</t>
        </is>
      </c>
      <c r="E782" t="inlineStr">
        <is>
          <t>SUNNE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29824-2025</t>
        </is>
      </c>
      <c r="B783" s="1" t="n">
        <v>45825</v>
      </c>
      <c r="C783" s="1" t="n">
        <v>46138</v>
      </c>
      <c r="D783" t="inlineStr">
        <is>
          <t>VÄRMLANDS LÄN</t>
        </is>
      </c>
      <c r="E783" t="inlineStr">
        <is>
          <t>SUNNE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29825-2025</t>
        </is>
      </c>
      <c r="B784" s="1" t="n">
        <v>45825</v>
      </c>
      <c r="C784" s="1" t="n">
        <v>46138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51850-2025</t>
        </is>
      </c>
      <c r="B785" s="1" t="n">
        <v>45952.35334490741</v>
      </c>
      <c r="C785" s="1" t="n">
        <v>46138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30006-2025</t>
        </is>
      </c>
      <c r="B786" s="1" t="n">
        <v>45826.53123842592</v>
      </c>
      <c r="C786" s="1" t="n">
        <v>46138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52469-2025</t>
        </is>
      </c>
      <c r="B787" s="1" t="n">
        <v>45954.45208333333</v>
      </c>
      <c r="C787" s="1" t="n">
        <v>46138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52535-2025</t>
        </is>
      </c>
      <c r="B788" s="1" t="n">
        <v>45954.54342592593</v>
      </c>
      <c r="C788" s="1" t="n">
        <v>46138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58097-2022</t>
        </is>
      </c>
      <c r="B789" s="1" t="n">
        <v>44900.63787037037</v>
      </c>
      <c r="C789" s="1" t="n">
        <v>46138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52472-2025</t>
        </is>
      </c>
      <c r="B790" s="1" t="n">
        <v>45954.45553240741</v>
      </c>
      <c r="C790" s="1" t="n">
        <v>46138</v>
      </c>
      <c r="D790" t="inlineStr">
        <is>
          <t>VÄRMLANDS LÄN</t>
        </is>
      </c>
      <c r="E790" t="inlineStr">
        <is>
          <t>SUNNE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30027-2025</t>
        </is>
      </c>
      <c r="B791" s="1" t="n">
        <v>45826.56497685185</v>
      </c>
      <c r="C791" s="1" t="n">
        <v>46138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26302-2023</t>
        </is>
      </c>
      <c r="B792" s="1" t="n">
        <v>45091</v>
      </c>
      <c r="C792" s="1" t="n">
        <v>46138</v>
      </c>
      <c r="D792" t="inlineStr">
        <is>
          <t>VÄRMLANDS LÄN</t>
        </is>
      </c>
      <c r="E792" t="inlineStr">
        <is>
          <t>SUNNE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23728-2023</t>
        </is>
      </c>
      <c r="B793" s="1" t="n">
        <v>45077</v>
      </c>
      <c r="C793" s="1" t="n">
        <v>46138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978-2023</t>
        </is>
      </c>
      <c r="B794" s="1" t="n">
        <v>44935</v>
      </c>
      <c r="C794" s="1" t="n">
        <v>46138</v>
      </c>
      <c r="D794" t="inlineStr">
        <is>
          <t>VÄRMLANDS LÄN</t>
        </is>
      </c>
      <c r="E794" t="inlineStr">
        <is>
          <t>SUNNE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30041-2025</t>
        </is>
      </c>
      <c r="B795" s="1" t="n">
        <v>45826.57394675926</v>
      </c>
      <c r="C795" s="1" t="n">
        <v>46138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29948-2025</t>
        </is>
      </c>
      <c r="B796" s="1" t="n">
        <v>45826.46422453703</v>
      </c>
      <c r="C796" s="1" t="n">
        <v>46138</v>
      </c>
      <c r="D796" t="inlineStr">
        <is>
          <t>VÄRMLANDS LÄN</t>
        </is>
      </c>
      <c r="E796" t="inlineStr">
        <is>
          <t>SUNNE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29967-2025</t>
        </is>
      </c>
      <c r="B797" s="1" t="n">
        <v>45826.48854166667</v>
      </c>
      <c r="C797" s="1" t="n">
        <v>46138</v>
      </c>
      <c r="D797" t="inlineStr">
        <is>
          <t>VÄRMLANDS LÄN</t>
        </is>
      </c>
      <c r="E797" t="inlineStr">
        <is>
          <t>SUNNE</t>
        </is>
      </c>
      <c r="F797" t="inlineStr">
        <is>
          <t>Kyrkan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19938-2025</t>
        </is>
      </c>
      <c r="B798" s="1" t="n">
        <v>45771</v>
      </c>
      <c r="C798" s="1" t="n">
        <v>46138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6403-2023</t>
        </is>
      </c>
      <c r="B799" s="1" t="n">
        <v>44965</v>
      </c>
      <c r="C799" s="1" t="n">
        <v>46138</v>
      </c>
      <c r="D799" t="inlineStr">
        <is>
          <t>VÄRMLANDS LÄN</t>
        </is>
      </c>
      <c r="E799" t="inlineStr">
        <is>
          <t>SUNNE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24521-2024</t>
        </is>
      </c>
      <c r="B800" s="1" t="n">
        <v>45460</v>
      </c>
      <c r="C800" s="1" t="n">
        <v>46138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53594-2025</t>
        </is>
      </c>
      <c r="B801" s="1" t="n">
        <v>45960.44520833333</v>
      </c>
      <c r="C801" s="1" t="n">
        <v>46138</v>
      </c>
      <c r="D801" t="inlineStr">
        <is>
          <t>VÄRMLANDS LÄN</t>
        </is>
      </c>
      <c r="E801" t="inlineStr">
        <is>
          <t>SUNNE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53566-2025</t>
        </is>
      </c>
      <c r="B802" s="1" t="n">
        <v>45960.40875</v>
      </c>
      <c r="C802" s="1" t="n">
        <v>46138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53618-2025</t>
        </is>
      </c>
      <c r="B803" s="1" t="n">
        <v>45960.47980324074</v>
      </c>
      <c r="C803" s="1" t="n">
        <v>46138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30942-2025</t>
        </is>
      </c>
      <c r="B804" s="1" t="n">
        <v>45832.40898148148</v>
      </c>
      <c r="C804" s="1" t="n">
        <v>46138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53687-2025</t>
        </is>
      </c>
      <c r="B805" s="1" t="n">
        <v>45960.5783912037</v>
      </c>
      <c r="C805" s="1" t="n">
        <v>46138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50130-2023</t>
        </is>
      </c>
      <c r="B806" s="1" t="n">
        <v>45215.65230324074</v>
      </c>
      <c r="C806" s="1" t="n">
        <v>46138</v>
      </c>
      <c r="D806" t="inlineStr">
        <is>
          <t>VÄRMLANDS LÄN</t>
        </is>
      </c>
      <c r="E806" t="inlineStr">
        <is>
          <t>SUNNE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53793-2025</t>
        </is>
      </c>
      <c r="B807" s="1" t="n">
        <v>45960.7224074074</v>
      </c>
      <c r="C807" s="1" t="n">
        <v>46138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2930-2022</t>
        </is>
      </c>
      <c r="B808" s="1" t="n">
        <v>44581</v>
      </c>
      <c r="C808" s="1" t="n">
        <v>46138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19941-2025</t>
        </is>
      </c>
      <c r="B809" s="1" t="n">
        <v>45771</v>
      </c>
      <c r="C809" s="1" t="n">
        <v>46138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53783-2025</t>
        </is>
      </c>
      <c r="B810" s="1" t="n">
        <v>45960.71228009259</v>
      </c>
      <c r="C810" s="1" t="n">
        <v>46138</v>
      </c>
      <c r="D810" t="inlineStr">
        <is>
          <t>VÄRMLANDS LÄN</t>
        </is>
      </c>
      <c r="E810" t="inlineStr">
        <is>
          <t>SUNNE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53785-2025</t>
        </is>
      </c>
      <c r="B811" s="1" t="n">
        <v>45960.71674768518</v>
      </c>
      <c r="C811" s="1" t="n">
        <v>46138</v>
      </c>
      <c r="D811" t="inlineStr">
        <is>
          <t>VÄRMLANDS LÄN</t>
        </is>
      </c>
      <c r="E811" t="inlineStr">
        <is>
          <t>SUNNE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53695-2025</t>
        </is>
      </c>
      <c r="B812" s="1" t="n">
        <v>45960.5891550926</v>
      </c>
      <c r="C812" s="1" t="n">
        <v>46138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54051-2025</t>
        </is>
      </c>
      <c r="B813" s="1" t="n">
        <v>45963.91391203704</v>
      </c>
      <c r="C813" s="1" t="n">
        <v>46138</v>
      </c>
      <c r="D813" t="inlineStr">
        <is>
          <t>VÄRMLANDS LÄN</t>
        </is>
      </c>
      <c r="E813" t="inlineStr">
        <is>
          <t>SUNNE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54433-2025</t>
        </is>
      </c>
      <c r="B814" s="1" t="n">
        <v>45965.49745370371</v>
      </c>
      <c r="C814" s="1" t="n">
        <v>46138</v>
      </c>
      <c r="D814" t="inlineStr">
        <is>
          <t>VÄRMLANDS LÄN</t>
        </is>
      </c>
      <c r="E814" t="inlineStr">
        <is>
          <t>SUNNE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54047-2025</t>
        </is>
      </c>
      <c r="B815" s="1" t="n">
        <v>45963.89935185185</v>
      </c>
      <c r="C815" s="1" t="n">
        <v>46138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54049-2025</t>
        </is>
      </c>
      <c r="B816" s="1" t="n">
        <v>45963.90813657407</v>
      </c>
      <c r="C816" s="1" t="n">
        <v>46138</v>
      </c>
      <c r="D816" t="inlineStr">
        <is>
          <t>VÄRMLANDS LÄN</t>
        </is>
      </c>
      <c r="E816" t="inlineStr">
        <is>
          <t>SUNNE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31975-2025</t>
        </is>
      </c>
      <c r="B817" s="1" t="n">
        <v>45835.35438657407</v>
      </c>
      <c r="C817" s="1" t="n">
        <v>46138</v>
      </c>
      <c r="D817" t="inlineStr">
        <is>
          <t>VÄRMLANDS LÄN</t>
        </is>
      </c>
      <c r="E817" t="inlineStr">
        <is>
          <t>SUNNE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54050-2025</t>
        </is>
      </c>
      <c r="B818" s="1" t="n">
        <v>45963.91142361111</v>
      </c>
      <c r="C818" s="1" t="n">
        <v>46138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31713-2025</t>
        </is>
      </c>
      <c r="B819" s="1" t="n">
        <v>45834.45006944444</v>
      </c>
      <c r="C819" s="1" t="n">
        <v>46138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54048-2025</t>
        </is>
      </c>
      <c r="B820" s="1" t="n">
        <v>45963.90417824074</v>
      </c>
      <c r="C820" s="1" t="n">
        <v>46138</v>
      </c>
      <c r="D820" t="inlineStr">
        <is>
          <t>VÄRMLANDS LÄN</t>
        </is>
      </c>
      <c r="E820" t="inlineStr">
        <is>
          <t>SUNNE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54429-2025</t>
        </is>
      </c>
      <c r="B821" s="1" t="n">
        <v>45965.49328703704</v>
      </c>
      <c r="C821" s="1" t="n">
        <v>46138</v>
      </c>
      <c r="D821" t="inlineStr">
        <is>
          <t>VÄRMLANDS LÄN</t>
        </is>
      </c>
      <c r="E821" t="inlineStr">
        <is>
          <t>SUNNE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54432-2025</t>
        </is>
      </c>
      <c r="B822" s="1" t="n">
        <v>45965.49555555556</v>
      </c>
      <c r="C822" s="1" t="n">
        <v>46138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21577-2024</t>
        </is>
      </c>
      <c r="B823" s="1" t="n">
        <v>45441</v>
      </c>
      <c r="C823" s="1" t="n">
        <v>46138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54861-2025</t>
        </is>
      </c>
      <c r="B824" s="1" t="n">
        <v>45966.7627199074</v>
      </c>
      <c r="C824" s="1" t="n">
        <v>46138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54744-2025</t>
        </is>
      </c>
      <c r="B825" s="1" t="n">
        <v>45966.57997685186</v>
      </c>
      <c r="C825" s="1" t="n">
        <v>46138</v>
      </c>
      <c r="D825" t="inlineStr">
        <is>
          <t>VÄRMLANDS LÄN</t>
        </is>
      </c>
      <c r="E825" t="inlineStr">
        <is>
          <t>SUNNE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54860-2025</t>
        </is>
      </c>
      <c r="B826" s="1" t="n">
        <v>45966.75925925926</v>
      </c>
      <c r="C826" s="1" t="n">
        <v>46138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54871-2025</t>
        </is>
      </c>
      <c r="B827" s="1" t="n">
        <v>45966.90761574074</v>
      </c>
      <c r="C827" s="1" t="n">
        <v>46138</v>
      </c>
      <c r="D827" t="inlineStr">
        <is>
          <t>VÄRMLANDS LÄN</t>
        </is>
      </c>
      <c r="E827" t="inlineStr">
        <is>
          <t>SUNNE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7654-2025</t>
        </is>
      </c>
      <c r="B828" s="1" t="n">
        <v>45705</v>
      </c>
      <c r="C828" s="1" t="n">
        <v>46138</v>
      </c>
      <c r="D828" t="inlineStr">
        <is>
          <t>VÄRMLANDS LÄN</t>
        </is>
      </c>
      <c r="E828" t="inlineStr">
        <is>
          <t>SUNNE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32616-2025</t>
        </is>
      </c>
      <c r="B829" s="1" t="n">
        <v>45838.64261574074</v>
      </c>
      <c r="C829" s="1" t="n">
        <v>46138</v>
      </c>
      <c r="D829" t="inlineStr">
        <is>
          <t>VÄRMLANDS LÄN</t>
        </is>
      </c>
      <c r="E829" t="inlineStr">
        <is>
          <t>SUNNE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54898-2025</t>
        </is>
      </c>
      <c r="B830" s="1" t="n">
        <v>45967.36564814814</v>
      </c>
      <c r="C830" s="1" t="n">
        <v>46138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32994-2025</t>
        </is>
      </c>
      <c r="B831" s="1" t="n">
        <v>45839</v>
      </c>
      <c r="C831" s="1" t="n">
        <v>46138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32423-2025</t>
        </is>
      </c>
      <c r="B832" s="1" t="n">
        <v>45838.35469907407</v>
      </c>
      <c r="C832" s="1" t="n">
        <v>46138</v>
      </c>
      <c r="D832" t="inlineStr">
        <is>
          <t>VÄRMLANDS LÄN</t>
        </is>
      </c>
      <c r="E832" t="inlineStr">
        <is>
          <t>SUNNE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6504-2025</t>
        </is>
      </c>
      <c r="B833" s="1" t="n">
        <v>45699</v>
      </c>
      <c r="C833" s="1" t="n">
        <v>46138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9557-2025</t>
        </is>
      </c>
      <c r="B834" s="1" t="n">
        <v>45714</v>
      </c>
      <c r="C834" s="1" t="n">
        <v>46138</v>
      </c>
      <c r="D834" t="inlineStr">
        <is>
          <t>VÄRMLANDS LÄN</t>
        </is>
      </c>
      <c r="E834" t="inlineStr">
        <is>
          <t>SUNNE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31621-2021</t>
        </is>
      </c>
      <c r="B835" s="1" t="n">
        <v>44369</v>
      </c>
      <c r="C835" s="1" t="n">
        <v>46138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54735-2023</t>
        </is>
      </c>
      <c r="B836" s="1" t="n">
        <v>45236.38716435185</v>
      </c>
      <c r="C836" s="1" t="n">
        <v>46138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3302-2025</t>
        </is>
      </c>
      <c r="B837" s="1" t="n">
        <v>45679.6528587963</v>
      </c>
      <c r="C837" s="1" t="n">
        <v>46138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55256-2025</t>
        </is>
      </c>
      <c r="B838" s="1" t="n">
        <v>45968.64248842592</v>
      </c>
      <c r="C838" s="1" t="n">
        <v>46138</v>
      </c>
      <c r="D838" t="inlineStr">
        <is>
          <t>VÄRMLANDS LÄN</t>
        </is>
      </c>
      <c r="E838" t="inlineStr">
        <is>
          <t>SUNNE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58131-2022</t>
        </is>
      </c>
      <c r="B839" s="1" t="n">
        <v>44900.67949074074</v>
      </c>
      <c r="C839" s="1" t="n">
        <v>46138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55253-2025</t>
        </is>
      </c>
      <c r="B840" s="1" t="n">
        <v>45968.63645833333</v>
      </c>
      <c r="C840" s="1" t="n">
        <v>46138</v>
      </c>
      <c r="D840" t="inlineStr">
        <is>
          <t>VÄRMLANDS LÄN</t>
        </is>
      </c>
      <c r="E840" t="inlineStr">
        <is>
          <t>SUNNE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58664-2024</t>
        </is>
      </c>
      <c r="B841" s="1" t="n">
        <v>45635</v>
      </c>
      <c r="C841" s="1" t="n">
        <v>46138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33478-2025</t>
        </is>
      </c>
      <c r="B842" s="1" t="n">
        <v>45841.4953587963</v>
      </c>
      <c r="C842" s="1" t="n">
        <v>46138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9588-2025</t>
        </is>
      </c>
      <c r="B843" s="1" t="n">
        <v>45714</v>
      </c>
      <c r="C843" s="1" t="n">
        <v>46138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21875-2022</t>
        </is>
      </c>
      <c r="B844" s="1" t="n">
        <v>44711</v>
      </c>
      <c r="C844" s="1" t="n">
        <v>46138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55867-2025</t>
        </is>
      </c>
      <c r="B845" s="1" t="n">
        <v>45973.35072916667</v>
      </c>
      <c r="C845" s="1" t="n">
        <v>46138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14252-2023</t>
        </is>
      </c>
      <c r="B846" s="1" t="n">
        <v>45009</v>
      </c>
      <c r="C846" s="1" t="n">
        <v>46138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33516-2025</t>
        </is>
      </c>
      <c r="B847" s="1" t="n">
        <v>45841.5347800926</v>
      </c>
      <c r="C847" s="1" t="n">
        <v>46138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5652-2024</t>
        </is>
      </c>
      <c r="B848" s="1" t="n">
        <v>45334.63503472223</v>
      </c>
      <c r="C848" s="1" t="n">
        <v>46138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5653-2024</t>
        </is>
      </c>
      <c r="B849" s="1" t="n">
        <v>45334.63668981481</v>
      </c>
      <c r="C849" s="1" t="n">
        <v>46138</v>
      </c>
      <c r="D849" t="inlineStr">
        <is>
          <t>VÄRMLANDS LÄN</t>
        </is>
      </c>
      <c r="E849" t="inlineStr">
        <is>
          <t>SUNNE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33027-2025</t>
        </is>
      </c>
      <c r="B850" s="1" t="n">
        <v>45840.38318287037</v>
      </c>
      <c r="C850" s="1" t="n">
        <v>46138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18783-2025</t>
        </is>
      </c>
      <c r="B851" s="1" t="n">
        <v>45764.33594907408</v>
      </c>
      <c r="C851" s="1" t="n">
        <v>46138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33627-2025</t>
        </is>
      </c>
      <c r="B852" s="1" t="n">
        <v>45841.63614583333</v>
      </c>
      <c r="C852" s="1" t="n">
        <v>46138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92-2023</t>
        </is>
      </c>
      <c r="B853" s="1" t="n">
        <v>44918</v>
      </c>
      <c r="C853" s="1" t="n">
        <v>46138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6481-2025</t>
        </is>
      </c>
      <c r="B854" s="1" t="n">
        <v>45699</v>
      </c>
      <c r="C854" s="1" t="n">
        <v>46138</v>
      </c>
      <c r="D854" t="inlineStr">
        <is>
          <t>VÄRMLANDS LÄN</t>
        </is>
      </c>
      <c r="E854" t="inlineStr">
        <is>
          <t>SUNNE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33632-2025</t>
        </is>
      </c>
      <c r="B855" s="1" t="n">
        <v>45841.64119212963</v>
      </c>
      <c r="C855" s="1" t="n">
        <v>46138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49428-2024</t>
        </is>
      </c>
      <c r="B856" s="1" t="n">
        <v>45595</v>
      </c>
      <c r="C856" s="1" t="n">
        <v>46138</v>
      </c>
      <c r="D856" t="inlineStr">
        <is>
          <t>VÄRMLANDS LÄN</t>
        </is>
      </c>
      <c r="E856" t="inlineStr">
        <is>
          <t>SUNNE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5861-2023</t>
        </is>
      </c>
      <c r="B857" s="1" t="n">
        <v>44959</v>
      </c>
      <c r="C857" s="1" t="n">
        <v>46138</v>
      </c>
      <c r="D857" t="inlineStr">
        <is>
          <t>VÄRMLANDS LÄN</t>
        </is>
      </c>
      <c r="E857" t="inlineStr">
        <is>
          <t>SUNNE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56524-2025</t>
        </is>
      </c>
      <c r="B858" s="1" t="n">
        <v>45974</v>
      </c>
      <c r="C858" s="1" t="n">
        <v>46138</v>
      </c>
      <c r="D858" t="inlineStr">
        <is>
          <t>VÄRMLANDS LÄN</t>
        </is>
      </c>
      <c r="E858" t="inlineStr">
        <is>
          <t>SUNNE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39641-2021</t>
        </is>
      </c>
      <c r="B859" s="1" t="n">
        <v>44417</v>
      </c>
      <c r="C859" s="1" t="n">
        <v>46138</v>
      </c>
      <c r="D859" t="inlineStr">
        <is>
          <t>VÄRMLANDS LÄN</t>
        </is>
      </c>
      <c r="E859" t="inlineStr">
        <is>
          <t>SUNNE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7338-2025</t>
        </is>
      </c>
      <c r="B860" s="1" t="n">
        <v>45703</v>
      </c>
      <c r="C860" s="1" t="n">
        <v>46138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56392-2025</t>
        </is>
      </c>
      <c r="B861" s="1" t="n">
        <v>45974.73545138889</v>
      </c>
      <c r="C861" s="1" t="n">
        <v>46138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33896-2025</t>
        </is>
      </c>
      <c r="B862" s="1" t="n">
        <v>45842.59207175926</v>
      </c>
      <c r="C862" s="1" t="n">
        <v>46138</v>
      </c>
      <c r="D862" t="inlineStr">
        <is>
          <t>VÄRMLANDS LÄN</t>
        </is>
      </c>
      <c r="E862" t="inlineStr">
        <is>
          <t>SUNNE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56391-2025</t>
        </is>
      </c>
      <c r="B863" s="1" t="n">
        <v>45974.73201388889</v>
      </c>
      <c r="C863" s="1" t="n">
        <v>46138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7494-2022</t>
        </is>
      </c>
      <c r="B864" s="1" t="n">
        <v>44607.44984953704</v>
      </c>
      <c r="C864" s="1" t="n">
        <v>46138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33774-2025</t>
        </is>
      </c>
      <c r="B865" s="1" t="n">
        <v>45842.39324074074</v>
      </c>
      <c r="C865" s="1" t="n">
        <v>46138</v>
      </c>
      <c r="D865" t="inlineStr">
        <is>
          <t>VÄRMLANDS LÄN</t>
        </is>
      </c>
      <c r="E865" t="inlineStr">
        <is>
          <t>SUNNE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33778-2025</t>
        </is>
      </c>
      <c r="B866" s="1" t="n">
        <v>45842.39819444445</v>
      </c>
      <c r="C866" s="1" t="n">
        <v>46138</v>
      </c>
      <c r="D866" t="inlineStr">
        <is>
          <t>VÄRMLANDS LÄN</t>
        </is>
      </c>
      <c r="E866" t="inlineStr">
        <is>
          <t>SUNNE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34164-2025</t>
        </is>
      </c>
      <c r="B867" s="1" t="n">
        <v>45845.58019675926</v>
      </c>
      <c r="C867" s="1" t="n">
        <v>46138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34249-2025</t>
        </is>
      </c>
      <c r="B868" s="1" t="n">
        <v>45845.68298611111</v>
      </c>
      <c r="C868" s="1" t="n">
        <v>46138</v>
      </c>
      <c r="D868" t="inlineStr">
        <is>
          <t>VÄRMLANDS LÄN</t>
        </is>
      </c>
      <c r="E868" t="inlineStr">
        <is>
          <t>SUNNE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19908-2025</t>
        </is>
      </c>
      <c r="B869" s="1" t="n">
        <v>45771.6046875</v>
      </c>
      <c r="C869" s="1" t="n">
        <v>46138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50829-2021</t>
        </is>
      </c>
      <c r="B870" s="1" t="n">
        <v>44460.50233796296</v>
      </c>
      <c r="C870" s="1" t="n">
        <v>46138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33768-2025</t>
        </is>
      </c>
      <c r="B871" s="1" t="n">
        <v>45842.38961805555</v>
      </c>
      <c r="C871" s="1" t="n">
        <v>46138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33955-2025</t>
        </is>
      </c>
      <c r="B872" s="1" t="n">
        <v>45842.67679398148</v>
      </c>
      <c r="C872" s="1" t="n">
        <v>46138</v>
      </c>
      <c r="D872" t="inlineStr">
        <is>
          <t>VÄRMLANDS LÄN</t>
        </is>
      </c>
      <c r="E872" t="inlineStr">
        <is>
          <t>SUNNE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43302-2022</t>
        </is>
      </c>
      <c r="B873" s="1" t="n">
        <v>44834.54349537037</v>
      </c>
      <c r="C873" s="1" t="n">
        <v>46138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33772-2025</t>
        </is>
      </c>
      <c r="B874" s="1" t="n">
        <v>45842.39123842592</v>
      </c>
      <c r="C874" s="1" t="n">
        <v>46138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33784-2025</t>
        </is>
      </c>
      <c r="B875" s="1" t="n">
        <v>45842.40771990741</v>
      </c>
      <c r="C875" s="1" t="n">
        <v>46138</v>
      </c>
      <c r="D875" t="inlineStr">
        <is>
          <t>VÄRMLANDS LÄN</t>
        </is>
      </c>
      <c r="E875" t="inlineStr">
        <is>
          <t>SUNNE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34008-2025</t>
        </is>
      </c>
      <c r="B876" s="1" t="n">
        <v>45844.82642361111</v>
      </c>
      <c r="C876" s="1" t="n">
        <v>46138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34009-2025</t>
        </is>
      </c>
      <c r="B877" s="1" t="n">
        <v>45844.82790509259</v>
      </c>
      <c r="C877" s="1" t="n">
        <v>46138</v>
      </c>
      <c r="D877" t="inlineStr">
        <is>
          <t>VÄRMLANDS LÄN</t>
        </is>
      </c>
      <c r="E877" t="inlineStr">
        <is>
          <t>SUNNE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15743-2025</t>
        </is>
      </c>
      <c r="B878" s="1" t="n">
        <v>45748.54895833333</v>
      </c>
      <c r="C878" s="1" t="n">
        <v>46138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34295-2022</t>
        </is>
      </c>
      <c r="B879" s="1" t="n">
        <v>44792</v>
      </c>
      <c r="C879" s="1" t="n">
        <v>46138</v>
      </c>
      <c r="D879" t="inlineStr">
        <is>
          <t>VÄRMLANDS LÄN</t>
        </is>
      </c>
      <c r="E879" t="inlineStr">
        <is>
          <t>SUNNE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6703-2025</t>
        </is>
      </c>
      <c r="B880" s="1" t="n">
        <v>45700</v>
      </c>
      <c r="C880" s="1" t="n">
        <v>46138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34538-2025</t>
        </is>
      </c>
      <c r="B881" s="1" t="n">
        <v>45847.53019675926</v>
      </c>
      <c r="C881" s="1" t="n">
        <v>46138</v>
      </c>
      <c r="D881" t="inlineStr">
        <is>
          <t>VÄRMLANDS LÄN</t>
        </is>
      </c>
      <c r="E881" t="inlineStr">
        <is>
          <t>SUNNE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17604-2025</t>
        </is>
      </c>
      <c r="B882" s="1" t="n">
        <v>45757.72967592593</v>
      </c>
      <c r="C882" s="1" t="n">
        <v>46138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34543-2025</t>
        </is>
      </c>
      <c r="B883" s="1" t="n">
        <v>45847.53372685185</v>
      </c>
      <c r="C883" s="1" t="n">
        <v>46138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57303-2025</t>
        </is>
      </c>
      <c r="B884" s="1" t="n">
        <v>45979.92782407408</v>
      </c>
      <c r="C884" s="1" t="n">
        <v>46138</v>
      </c>
      <c r="D884" t="inlineStr">
        <is>
          <t>VÄRMLANDS LÄN</t>
        </is>
      </c>
      <c r="E884" t="inlineStr">
        <is>
          <t>SUNNE</t>
        </is>
      </c>
      <c r="F884" t="inlineStr">
        <is>
          <t>Kyrkan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57306-2025</t>
        </is>
      </c>
      <c r="B885" s="1" t="n">
        <v>45979.94056712963</v>
      </c>
      <c r="C885" s="1" t="n">
        <v>46138</v>
      </c>
      <c r="D885" t="inlineStr">
        <is>
          <t>VÄRMLANDS LÄN</t>
        </is>
      </c>
      <c r="E885" t="inlineStr">
        <is>
          <t>SUNNE</t>
        </is>
      </c>
      <c r="F885" t="inlineStr">
        <is>
          <t>Kyrkan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57902-2025</t>
        </is>
      </c>
      <c r="B886" s="1" t="n">
        <v>45981.74855324074</v>
      </c>
      <c r="C886" s="1" t="n">
        <v>46138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19198-2025</t>
        </is>
      </c>
      <c r="B887" s="1" t="n">
        <v>45769.42725694444</v>
      </c>
      <c r="C887" s="1" t="n">
        <v>46138</v>
      </c>
      <c r="D887" t="inlineStr">
        <is>
          <t>VÄRMLANDS LÄN</t>
        </is>
      </c>
      <c r="E887" t="inlineStr">
        <is>
          <t>SUNNE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51009-2024</t>
        </is>
      </c>
      <c r="B888" s="1" t="n">
        <v>45603.39179398148</v>
      </c>
      <c r="C888" s="1" t="n">
        <v>46138</v>
      </c>
      <c r="D888" t="inlineStr">
        <is>
          <t>VÄRMLANDS LÄN</t>
        </is>
      </c>
      <c r="E888" t="inlineStr">
        <is>
          <t>SUNNE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57564-2025</t>
        </is>
      </c>
      <c r="B889" s="1" t="n">
        <v>45980.7150925926</v>
      </c>
      <c r="C889" s="1" t="n">
        <v>46138</v>
      </c>
      <c r="D889" t="inlineStr">
        <is>
          <t>VÄRMLANDS LÄN</t>
        </is>
      </c>
      <c r="E889" t="inlineStr">
        <is>
          <t>SUNNE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35063-2025</t>
        </is>
      </c>
      <c r="B890" s="1" t="n">
        <v>45852.43511574074</v>
      </c>
      <c r="C890" s="1" t="n">
        <v>46138</v>
      </c>
      <c r="D890" t="inlineStr">
        <is>
          <t>VÄRMLANDS LÄN</t>
        </is>
      </c>
      <c r="E890" t="inlineStr">
        <is>
          <t>SUNNE</t>
        </is>
      </c>
      <c r="F890" t="inlineStr">
        <is>
          <t>Kyrkan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35077-2025</t>
        </is>
      </c>
      <c r="B891" s="1" t="n">
        <v>45852.48447916667</v>
      </c>
      <c r="C891" s="1" t="n">
        <v>46138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58163-2025</t>
        </is>
      </c>
      <c r="B892" s="1" t="n">
        <v>45982.69380787037</v>
      </c>
      <c r="C892" s="1" t="n">
        <v>46138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58177-2025</t>
        </is>
      </c>
      <c r="B893" s="1" t="n">
        <v>45982</v>
      </c>
      <c r="C893" s="1" t="n">
        <v>46138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58009-2025</t>
        </is>
      </c>
      <c r="B894" s="1" t="n">
        <v>45982.45866898148</v>
      </c>
      <c r="C894" s="1" t="n">
        <v>46138</v>
      </c>
      <c r="D894" t="inlineStr">
        <is>
          <t>VÄRMLANDS LÄN</t>
        </is>
      </c>
      <c r="E894" t="inlineStr">
        <is>
          <t>SUNNE</t>
        </is>
      </c>
      <c r="F894" t="inlineStr">
        <is>
          <t>Övriga Aktiebolag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51281-2024</t>
        </is>
      </c>
      <c r="B895" s="1" t="n">
        <v>45603.76157407407</v>
      </c>
      <c r="C895" s="1" t="n">
        <v>46138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58072-2025</t>
        </is>
      </c>
      <c r="B896" s="1" t="n">
        <v>45982.55127314815</v>
      </c>
      <c r="C896" s="1" t="n">
        <v>46138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58095-2025</t>
        </is>
      </c>
      <c r="B897" s="1" t="n">
        <v>45982.57670138889</v>
      </c>
      <c r="C897" s="1" t="n">
        <v>46138</v>
      </c>
      <c r="D897" t="inlineStr">
        <is>
          <t>VÄRMLANDS LÄN</t>
        </is>
      </c>
      <c r="E897" t="inlineStr">
        <is>
          <t>SUNNE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6669-2023</t>
        </is>
      </c>
      <c r="B898" s="1" t="n">
        <v>44963</v>
      </c>
      <c r="C898" s="1" t="n">
        <v>46138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45752-2024</t>
        </is>
      </c>
      <c r="B899" s="1" t="n">
        <v>45579</v>
      </c>
      <c r="C899" s="1" t="n">
        <v>46138</v>
      </c>
      <c r="D899" t="inlineStr">
        <is>
          <t>VÄRMLANDS LÄN</t>
        </is>
      </c>
      <c r="E899" t="inlineStr">
        <is>
          <t>SUNNE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57711-2023</t>
        </is>
      </c>
      <c r="B900" s="1" t="n">
        <v>45243</v>
      </c>
      <c r="C900" s="1" t="n">
        <v>46138</v>
      </c>
      <c r="D900" t="inlineStr">
        <is>
          <t>VÄRMLANDS LÄN</t>
        </is>
      </c>
      <c r="E900" t="inlineStr">
        <is>
          <t>SUNNE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35064-2025</t>
        </is>
      </c>
      <c r="B901" s="1" t="n">
        <v>45852.43826388889</v>
      </c>
      <c r="C901" s="1" t="n">
        <v>46138</v>
      </c>
      <c r="D901" t="inlineStr">
        <is>
          <t>VÄRMLANDS LÄN</t>
        </is>
      </c>
      <c r="E901" t="inlineStr">
        <is>
          <t>SUNNE</t>
        </is>
      </c>
      <c r="F901" t="inlineStr">
        <is>
          <t>Kyrkan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58494-2025</t>
        </is>
      </c>
      <c r="B902" s="1" t="n">
        <v>45985.67731481481</v>
      </c>
      <c r="C902" s="1" t="n">
        <v>46138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58301-2025</t>
        </is>
      </c>
      <c r="B903" s="1" t="n">
        <v>45985.45871527777</v>
      </c>
      <c r="C903" s="1" t="n">
        <v>46138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20032-2025</t>
        </is>
      </c>
      <c r="B904" s="1" t="n">
        <v>45772.35950231482</v>
      </c>
      <c r="C904" s="1" t="n">
        <v>46138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58421-2025</t>
        </is>
      </c>
      <c r="B905" s="1" t="n">
        <v>45985.59287037037</v>
      </c>
      <c r="C905" s="1" t="n">
        <v>46138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35218-2025</t>
        </is>
      </c>
      <c r="B906" s="1" t="n">
        <v>45853.49832175926</v>
      </c>
      <c r="C906" s="1" t="n">
        <v>46138</v>
      </c>
      <c r="D906" t="inlineStr">
        <is>
          <t>VÄRMLANDS LÄN</t>
        </is>
      </c>
      <c r="E906" t="inlineStr">
        <is>
          <t>SUNNE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33318-2022</t>
        </is>
      </c>
      <c r="B907" s="1" t="n">
        <v>44788</v>
      </c>
      <c r="C907" s="1" t="n">
        <v>46138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26309-2023</t>
        </is>
      </c>
      <c r="B908" s="1" t="n">
        <v>45091</v>
      </c>
      <c r="C908" s="1" t="n">
        <v>46138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18116-2023</t>
        </is>
      </c>
      <c r="B909" s="1" t="n">
        <v>45040</v>
      </c>
      <c r="C909" s="1" t="n">
        <v>46138</v>
      </c>
      <c r="D909" t="inlineStr">
        <is>
          <t>VÄRMLANDS LÄN</t>
        </is>
      </c>
      <c r="E909" t="inlineStr">
        <is>
          <t>SUNNE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44748.46479166667</v>
      </c>
      <c r="C910" s="1" t="n">
        <v>46138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57904-2025</t>
        </is>
      </c>
      <c r="B911" s="1" t="n">
        <v>45981.76866898148</v>
      </c>
      <c r="C911" s="1" t="n">
        <v>46138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58178-2025</t>
        </is>
      </c>
      <c r="B912" s="1" t="n">
        <v>45982</v>
      </c>
      <c r="C912" s="1" t="n">
        <v>46138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58180-2025</t>
        </is>
      </c>
      <c r="B913" s="1" t="n">
        <v>45982</v>
      </c>
      <c r="C913" s="1" t="n">
        <v>46138</v>
      </c>
      <c r="D913" t="inlineStr">
        <is>
          <t>VÄRMLANDS LÄN</t>
        </is>
      </c>
      <c r="E913" t="inlineStr">
        <is>
          <t>SUNNE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58298-2025</t>
        </is>
      </c>
      <c r="B914" s="1" t="n">
        <v>45985.45721064815</v>
      </c>
      <c r="C914" s="1" t="n">
        <v>46138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24506-2024</t>
        </is>
      </c>
      <c r="B915" s="1" t="n">
        <v>45460</v>
      </c>
      <c r="C915" s="1" t="n">
        <v>46138</v>
      </c>
      <c r="D915" t="inlineStr">
        <is>
          <t>VÄRMLANDS LÄN</t>
        </is>
      </c>
      <c r="E915" t="inlineStr">
        <is>
          <t>SUNNE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46102-2023</t>
        </is>
      </c>
      <c r="B916" s="1" t="n">
        <v>45196.5344212963</v>
      </c>
      <c r="C916" s="1" t="n">
        <v>46138</v>
      </c>
      <c r="D916" t="inlineStr">
        <is>
          <t>VÄRMLANDS LÄN</t>
        </is>
      </c>
      <c r="E916" t="inlineStr">
        <is>
          <t>SUNNE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46112-2023</t>
        </is>
      </c>
      <c r="B917" s="1" t="n">
        <v>45196.54818287037</v>
      </c>
      <c r="C917" s="1" t="n">
        <v>46138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35558-2025</t>
        </is>
      </c>
      <c r="B918" s="1" t="n">
        <v>45856.52908564815</v>
      </c>
      <c r="C918" s="1" t="n">
        <v>46138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43153-2024</t>
        </is>
      </c>
      <c r="B919" s="1" t="n">
        <v>45567</v>
      </c>
      <c r="C919" s="1" t="n">
        <v>46138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43157-2024</t>
        </is>
      </c>
      <c r="B920" s="1" t="n">
        <v>45567</v>
      </c>
      <c r="C920" s="1" t="n">
        <v>46138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55487-2024</t>
        </is>
      </c>
      <c r="B921" s="1" t="n">
        <v>45622</v>
      </c>
      <c r="C921" s="1" t="n">
        <v>46138</v>
      </c>
      <c r="D921" t="inlineStr">
        <is>
          <t>VÄRMLANDS LÄN</t>
        </is>
      </c>
      <c r="E921" t="inlineStr">
        <is>
          <t>SUNNE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35574-2025</t>
        </is>
      </c>
      <c r="B922" s="1" t="n">
        <v>45856.61221064815</v>
      </c>
      <c r="C922" s="1" t="n">
        <v>46138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35609-2025</t>
        </is>
      </c>
      <c r="B923" s="1" t="n">
        <v>45859.34877314815</v>
      </c>
      <c r="C923" s="1" t="n">
        <v>46138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35564-2025</t>
        </is>
      </c>
      <c r="B924" s="1" t="n">
        <v>45856.55047453703</v>
      </c>
      <c r="C924" s="1" t="n">
        <v>46138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35612-2025</t>
        </is>
      </c>
      <c r="B925" s="1" t="n">
        <v>45859.36667824074</v>
      </c>
      <c r="C925" s="1" t="n">
        <v>46138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35756-2025</t>
        </is>
      </c>
      <c r="B926" s="1" t="n">
        <v>45860.59840277778</v>
      </c>
      <c r="C926" s="1" t="n">
        <v>46138</v>
      </c>
      <c r="D926" t="inlineStr">
        <is>
          <t>VÄRMLANDS LÄN</t>
        </is>
      </c>
      <c r="E926" t="inlineStr">
        <is>
          <t>SUNNE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35613-2025</t>
        </is>
      </c>
      <c r="B927" s="1" t="n">
        <v>45859.37608796296</v>
      </c>
      <c r="C927" s="1" t="n">
        <v>46138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59361-2025</t>
        </is>
      </c>
      <c r="B928" s="1" t="n">
        <v>45989.433125</v>
      </c>
      <c r="C928" s="1" t="n">
        <v>46138</v>
      </c>
      <c r="D928" t="inlineStr">
        <is>
          <t>VÄRMLANDS LÄN</t>
        </is>
      </c>
      <c r="E928" t="inlineStr">
        <is>
          <t>SUNNE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36097-2025</t>
        </is>
      </c>
      <c r="B929" s="1" t="n">
        <v>45866.49163194445</v>
      </c>
      <c r="C929" s="1" t="n">
        <v>46138</v>
      </c>
      <c r="D929" t="inlineStr">
        <is>
          <t>VÄRMLANDS LÄN</t>
        </is>
      </c>
      <c r="E929" t="inlineStr">
        <is>
          <t>SUNNE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59199-2025</t>
        </is>
      </c>
      <c r="B930" s="1" t="n">
        <v>45988.60060185185</v>
      </c>
      <c r="C930" s="1" t="n">
        <v>46138</v>
      </c>
      <c r="D930" t="inlineStr">
        <is>
          <t>VÄRMLANDS LÄN</t>
        </is>
      </c>
      <c r="E930" t="inlineStr">
        <is>
          <t>SUNNE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31075-2024</t>
        </is>
      </c>
      <c r="B931" s="1" t="n">
        <v>45502</v>
      </c>
      <c r="C931" s="1" t="n">
        <v>46138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60763-2024</t>
        </is>
      </c>
      <c r="B932" s="1" t="n">
        <v>45644</v>
      </c>
      <c r="C932" s="1" t="n">
        <v>46138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61093-2023</t>
        </is>
      </c>
      <c r="B933" s="1" t="n">
        <v>45261.6424537037</v>
      </c>
      <c r="C933" s="1" t="n">
        <v>46138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6095-2025</t>
        </is>
      </c>
      <c r="B934" s="1" t="n">
        <v>45697</v>
      </c>
      <c r="C934" s="1" t="n">
        <v>46138</v>
      </c>
      <c r="D934" t="inlineStr">
        <is>
          <t>VÄRMLANDS LÄN</t>
        </is>
      </c>
      <c r="E934" t="inlineStr">
        <is>
          <t>SUNNE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59341-2025</t>
        </is>
      </c>
      <c r="B935" s="1" t="n">
        <v>45989.38457175926</v>
      </c>
      <c r="C935" s="1" t="n">
        <v>46138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59363-2025</t>
        </is>
      </c>
      <c r="B936" s="1" t="n">
        <v>45989.43724537037</v>
      </c>
      <c r="C936" s="1" t="n">
        <v>46138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36119-2025</t>
        </is>
      </c>
      <c r="B937" s="1" t="n">
        <v>45866</v>
      </c>
      <c r="C937" s="1" t="n">
        <v>46138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60014-2025</t>
        </is>
      </c>
      <c r="B938" s="1" t="n">
        <v>45993.59837962963</v>
      </c>
      <c r="C938" s="1" t="n">
        <v>46138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13275-2025</t>
        </is>
      </c>
      <c r="B939" s="1" t="n">
        <v>45735.5514699074</v>
      </c>
      <c r="C939" s="1" t="n">
        <v>46138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12119-2023</t>
        </is>
      </c>
      <c r="B940" s="1" t="n">
        <v>44998</v>
      </c>
      <c r="C940" s="1" t="n">
        <v>46138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32371-2024</t>
        </is>
      </c>
      <c r="B941" s="1" t="n">
        <v>45512.59020833333</v>
      </c>
      <c r="C941" s="1" t="n">
        <v>46138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59775-2025</t>
        </is>
      </c>
      <c r="B942" s="1" t="n">
        <v>45992.60701388889</v>
      </c>
      <c r="C942" s="1" t="n">
        <v>46138</v>
      </c>
      <c r="D942" t="inlineStr">
        <is>
          <t>VÄRMLANDS LÄN</t>
        </is>
      </c>
      <c r="E942" t="inlineStr">
        <is>
          <t>SUNNE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59791-2025</t>
        </is>
      </c>
      <c r="B943" s="1" t="n">
        <v>45992.61539351852</v>
      </c>
      <c r="C943" s="1" t="n">
        <v>46138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59988-2025</t>
        </is>
      </c>
      <c r="B944" s="1" t="n">
        <v>45993.55681712963</v>
      </c>
      <c r="C944" s="1" t="n">
        <v>46138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59632-2025</t>
        </is>
      </c>
      <c r="B945" s="1" t="n">
        <v>45992.39866898148</v>
      </c>
      <c r="C945" s="1" t="n">
        <v>46138</v>
      </c>
      <c r="D945" t="inlineStr">
        <is>
          <t>VÄRMLANDS LÄN</t>
        </is>
      </c>
      <c r="E945" t="inlineStr">
        <is>
          <t>SUNNE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59700-2025</t>
        </is>
      </c>
      <c r="B946" s="1" t="n">
        <v>45992.49486111111</v>
      </c>
      <c r="C946" s="1" t="n">
        <v>46138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59561-2025</t>
        </is>
      </c>
      <c r="B947" s="1" t="n">
        <v>45991.67924768518</v>
      </c>
      <c r="C947" s="1" t="n">
        <v>46138</v>
      </c>
      <c r="D947" t="inlineStr">
        <is>
          <t>VÄRMLANDS LÄN</t>
        </is>
      </c>
      <c r="E947" t="inlineStr">
        <is>
          <t>SUNNE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44484-2022</t>
        </is>
      </c>
      <c r="B948" s="1" t="n">
        <v>44840.35667824074</v>
      </c>
      <c r="C948" s="1" t="n">
        <v>46138</v>
      </c>
      <c r="D948" t="inlineStr">
        <is>
          <t>VÄRMLANDS LÄN</t>
        </is>
      </c>
      <c r="E948" t="inlineStr">
        <is>
          <t>SUNNE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60027-2025</t>
        </is>
      </c>
      <c r="B949" s="1" t="n">
        <v>45993.60309027778</v>
      </c>
      <c r="C949" s="1" t="n">
        <v>46138</v>
      </c>
      <c r="D949" t="inlineStr">
        <is>
          <t>VÄRMLANDS LÄN</t>
        </is>
      </c>
      <c r="E949" t="inlineStr">
        <is>
          <t>SUNNE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60020-2025</t>
        </is>
      </c>
      <c r="B950" s="1" t="n">
        <v>45993.600625</v>
      </c>
      <c r="C950" s="1" t="n">
        <v>46138</v>
      </c>
      <c r="D950" t="inlineStr">
        <is>
          <t>VÄRMLANDS LÄN</t>
        </is>
      </c>
      <c r="E950" t="inlineStr">
        <is>
          <t>SUNNE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60070-2025</t>
        </is>
      </c>
      <c r="B951" s="1" t="n">
        <v>45993.66758101852</v>
      </c>
      <c r="C951" s="1" t="n">
        <v>46138</v>
      </c>
      <c r="D951" t="inlineStr">
        <is>
          <t>VÄRMLANDS LÄN</t>
        </is>
      </c>
      <c r="E951" t="inlineStr">
        <is>
          <t>SUNNE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59986-2025</t>
        </is>
      </c>
      <c r="B952" s="1" t="n">
        <v>45993.55081018519</v>
      </c>
      <c r="C952" s="1" t="n">
        <v>46138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59783-2025</t>
        </is>
      </c>
      <c r="B953" s="1" t="n">
        <v>45992.61158564815</v>
      </c>
      <c r="C953" s="1" t="n">
        <v>46138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33623-2022</t>
        </is>
      </c>
      <c r="B954" s="1" t="n">
        <v>44789</v>
      </c>
      <c r="C954" s="1" t="n">
        <v>46138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59799-2025</t>
        </is>
      </c>
      <c r="B955" s="1" t="n">
        <v>45992.61952546296</v>
      </c>
      <c r="C955" s="1" t="n">
        <v>46138</v>
      </c>
      <c r="D955" t="inlineStr">
        <is>
          <t>VÄRMLANDS LÄN</t>
        </is>
      </c>
      <c r="E955" t="inlineStr">
        <is>
          <t>SUNNE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60126-2025</t>
        </is>
      </c>
      <c r="B956" s="1" t="n">
        <v>45994.34362268518</v>
      </c>
      <c r="C956" s="1" t="n">
        <v>46138</v>
      </c>
      <c r="D956" t="inlineStr">
        <is>
          <t>VÄRMLANDS LÄN</t>
        </is>
      </c>
      <c r="E956" t="inlineStr">
        <is>
          <t>SUNNE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62039-2022</t>
        </is>
      </c>
      <c r="B957" s="1" t="n">
        <v>44918</v>
      </c>
      <c r="C957" s="1" t="n">
        <v>46138</v>
      </c>
      <c r="D957" t="inlineStr">
        <is>
          <t>VÄRMLANDS LÄN</t>
        </is>
      </c>
      <c r="E957" t="inlineStr">
        <is>
          <t>SUNNE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60417-2025</t>
        </is>
      </c>
      <c r="B958" s="1" t="n">
        <v>45995.45273148148</v>
      </c>
      <c r="C958" s="1" t="n">
        <v>46138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60271-2025</t>
        </is>
      </c>
      <c r="B959" s="1" t="n">
        <v>45994.62667824074</v>
      </c>
      <c r="C959" s="1" t="n">
        <v>46138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60399-2025</t>
        </is>
      </c>
      <c r="B960" s="1" t="n">
        <v>45995.40128472223</v>
      </c>
      <c r="C960" s="1" t="n">
        <v>46138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36829-2025</t>
        </is>
      </c>
      <c r="B961" s="1" t="n">
        <v>45874.34097222222</v>
      </c>
      <c r="C961" s="1" t="n">
        <v>46138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3336-2024</t>
        </is>
      </c>
      <c r="B962" s="1" t="n">
        <v>45317.57612268518</v>
      </c>
      <c r="C962" s="1" t="n">
        <v>46138</v>
      </c>
      <c r="D962" t="inlineStr">
        <is>
          <t>VÄRMLANDS LÄN</t>
        </is>
      </c>
      <c r="E962" t="inlineStr">
        <is>
          <t>SUNNE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13208-2025</t>
        </is>
      </c>
      <c r="B963" s="1" t="n">
        <v>45735.43711805555</v>
      </c>
      <c r="C963" s="1" t="n">
        <v>46138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28026-2023</t>
        </is>
      </c>
      <c r="B964" s="1" t="n">
        <v>45098.98056712963</v>
      </c>
      <c r="C964" s="1" t="n">
        <v>46138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36822-2025</t>
        </is>
      </c>
      <c r="B965" s="1" t="n">
        <v>45873.9018287037</v>
      </c>
      <c r="C965" s="1" t="n">
        <v>46138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61110-2025</t>
        </is>
      </c>
      <c r="B966" s="1" t="n">
        <v>45999</v>
      </c>
      <c r="C966" s="1" t="n">
        <v>46138</v>
      </c>
      <c r="D966" t="inlineStr">
        <is>
          <t>VÄRMLANDS LÄN</t>
        </is>
      </c>
      <c r="E966" t="inlineStr">
        <is>
          <t>SUNNE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37006-2025</t>
        </is>
      </c>
      <c r="B967" s="1" t="n">
        <v>45874</v>
      </c>
      <c r="C967" s="1" t="n">
        <v>46138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36885-2025</t>
        </is>
      </c>
      <c r="B968" s="1" t="n">
        <v>45874.4428125</v>
      </c>
      <c r="C968" s="1" t="n">
        <v>46138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36923-2025</t>
        </is>
      </c>
      <c r="B969" s="1" t="n">
        <v>45874.54039351852</v>
      </c>
      <c r="C969" s="1" t="n">
        <v>46138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36867-2025</t>
        </is>
      </c>
      <c r="B970" s="1" t="n">
        <v>45874.42763888889</v>
      </c>
      <c r="C970" s="1" t="n">
        <v>46138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36875-2025</t>
        </is>
      </c>
      <c r="B971" s="1" t="n">
        <v>45874.43059027778</v>
      </c>
      <c r="C971" s="1" t="n">
        <v>46138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36898-2025</t>
        </is>
      </c>
      <c r="B972" s="1" t="n">
        <v>45874.47643518518</v>
      </c>
      <c r="C972" s="1" t="n">
        <v>46138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60571-2025</t>
        </is>
      </c>
      <c r="B973" s="1" t="n">
        <v>45995.91087962963</v>
      </c>
      <c r="C973" s="1" t="n">
        <v>46138</v>
      </c>
      <c r="D973" t="inlineStr">
        <is>
          <t>VÄRMLANDS LÄN</t>
        </is>
      </c>
      <c r="E973" t="inlineStr">
        <is>
          <t>SUNNE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37481-2025</t>
        </is>
      </c>
      <c r="B974" s="1" t="n">
        <v>45877.61613425926</v>
      </c>
      <c r="C974" s="1" t="n">
        <v>46138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10547-2022</t>
        </is>
      </c>
      <c r="B975" s="1" t="n">
        <v>44623</v>
      </c>
      <c r="C975" s="1" t="n">
        <v>46138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61540-2025</t>
        </is>
      </c>
      <c r="B976" s="1" t="n">
        <v>46001.72694444445</v>
      </c>
      <c r="C976" s="1" t="n">
        <v>46138</v>
      </c>
      <c r="D976" t="inlineStr">
        <is>
          <t>VÄRMLANDS LÄN</t>
        </is>
      </c>
      <c r="E976" t="inlineStr">
        <is>
          <t>SUNNE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17579-2024</t>
        </is>
      </c>
      <c r="B977" s="1" t="n">
        <v>45415.86181712963</v>
      </c>
      <c r="C977" s="1" t="n">
        <v>46138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20269-2025</t>
        </is>
      </c>
      <c r="B978" s="1" t="n">
        <v>45773.68157407407</v>
      </c>
      <c r="C978" s="1" t="n">
        <v>46138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16826-2024</t>
        </is>
      </c>
      <c r="B979" s="1" t="n">
        <v>45411.47464120371</v>
      </c>
      <c r="C979" s="1" t="n">
        <v>46138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61001-2025</t>
        </is>
      </c>
      <c r="B980" s="1" t="n">
        <v>45999.76532407408</v>
      </c>
      <c r="C980" s="1" t="n">
        <v>46138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33455-2022</t>
        </is>
      </c>
      <c r="B981" s="1" t="n">
        <v>44788</v>
      </c>
      <c r="C981" s="1" t="n">
        <v>46138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49244-2022</t>
        </is>
      </c>
      <c r="B982" s="1" t="n">
        <v>44861.38337962963</v>
      </c>
      <c r="C982" s="1" t="n">
        <v>46138</v>
      </c>
      <c r="D982" t="inlineStr">
        <is>
          <t>VÄRMLANDS LÄN</t>
        </is>
      </c>
      <c r="E982" t="inlineStr">
        <is>
          <t>SUNNE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44284-2023</t>
        </is>
      </c>
      <c r="B983" s="1" t="n">
        <v>45188</v>
      </c>
      <c r="C983" s="1" t="n">
        <v>46138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9900-2023</t>
        </is>
      </c>
      <c r="B984" s="1" t="n">
        <v>44985.37166666667</v>
      </c>
      <c r="C984" s="1" t="n">
        <v>46138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61257-2025</t>
        </is>
      </c>
      <c r="B985" s="1" t="n">
        <v>46000.67039351852</v>
      </c>
      <c r="C985" s="1" t="n">
        <v>46138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3582-2022</t>
        </is>
      </c>
      <c r="B986" s="1" t="n">
        <v>44586</v>
      </c>
      <c r="C986" s="1" t="n">
        <v>46138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4089-2022</t>
        </is>
      </c>
      <c r="B987" s="1" t="n">
        <v>44588.40491898148</v>
      </c>
      <c r="C987" s="1" t="n">
        <v>46138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19523-2022</t>
        </is>
      </c>
      <c r="B988" s="1" t="n">
        <v>44693.59369212963</v>
      </c>
      <c r="C988" s="1" t="n">
        <v>46138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19526-2022</t>
        </is>
      </c>
      <c r="B989" s="1" t="n">
        <v>44693.59880787037</v>
      </c>
      <c r="C989" s="1" t="n">
        <v>46138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26901-2023</t>
        </is>
      </c>
      <c r="B990" s="1" t="n">
        <v>45093</v>
      </c>
      <c r="C990" s="1" t="n">
        <v>46138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33756-2022</t>
        </is>
      </c>
      <c r="B991" s="1" t="n">
        <v>44790</v>
      </c>
      <c r="C991" s="1" t="n">
        <v>46138</v>
      </c>
      <c r="D991" t="inlineStr">
        <is>
          <t>VÄRMLANDS LÄN</t>
        </is>
      </c>
      <c r="E991" t="inlineStr">
        <is>
          <t>SUNNE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18392-2023</t>
        </is>
      </c>
      <c r="B992" s="1" t="n">
        <v>45042.35525462963</v>
      </c>
      <c r="C992" s="1" t="n">
        <v>46138</v>
      </c>
      <c r="D992" t="inlineStr">
        <is>
          <t>VÄRMLANDS LÄN</t>
        </is>
      </c>
      <c r="E992" t="inlineStr">
        <is>
          <t>SUNNE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38659-2024</t>
        </is>
      </c>
      <c r="B993" s="1" t="n">
        <v>45546</v>
      </c>
      <c r="C993" s="1" t="n">
        <v>46138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41017-2024</t>
        </is>
      </c>
      <c r="B994" s="1" t="n">
        <v>45559</v>
      </c>
      <c r="C994" s="1" t="n">
        <v>46138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44815-2024</t>
        </is>
      </c>
      <c r="B995" s="1" t="n">
        <v>45574.65931712963</v>
      </c>
      <c r="C995" s="1" t="n">
        <v>46138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37312-2025</t>
        </is>
      </c>
      <c r="B996" s="1" t="n">
        <v>45876</v>
      </c>
      <c r="C996" s="1" t="n">
        <v>46138</v>
      </c>
      <c r="D996" t="inlineStr">
        <is>
          <t>VÄRMLANDS LÄN</t>
        </is>
      </c>
      <c r="E996" t="inlineStr">
        <is>
          <t>SUNNE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37314-2025</t>
        </is>
      </c>
      <c r="B997" s="1" t="n">
        <v>45876.61037037037</v>
      </c>
      <c r="C997" s="1" t="n">
        <v>46138</v>
      </c>
      <c r="D997" t="inlineStr">
        <is>
          <t>VÄRMLANDS LÄN</t>
        </is>
      </c>
      <c r="E997" t="inlineStr">
        <is>
          <t>SUNNE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34723-2022</t>
        </is>
      </c>
      <c r="B998" s="1" t="n">
        <v>44795</v>
      </c>
      <c r="C998" s="1" t="n">
        <v>46138</v>
      </c>
      <c r="D998" t="inlineStr">
        <is>
          <t>VÄRMLANDS LÄN</t>
        </is>
      </c>
      <c r="E998" t="inlineStr">
        <is>
          <t>SUNNE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67193-2021</t>
        </is>
      </c>
      <c r="B999" s="1" t="n">
        <v>44523.45299768518</v>
      </c>
      <c r="C999" s="1" t="n">
        <v>46138</v>
      </c>
      <c r="D999" t="inlineStr">
        <is>
          <t>VÄRMLANDS LÄN</t>
        </is>
      </c>
      <c r="E999" t="inlineStr">
        <is>
          <t>SUNNE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47068-2022</t>
        </is>
      </c>
      <c r="B1000" s="1" t="n">
        <v>44852.42949074074</v>
      </c>
      <c r="C1000" s="1" t="n">
        <v>46138</v>
      </c>
      <c r="D1000" t="inlineStr">
        <is>
          <t>VÄRMLANDS LÄN</t>
        </is>
      </c>
      <c r="E1000" t="inlineStr">
        <is>
          <t>SUNNE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42537-2022</t>
        </is>
      </c>
      <c r="B1001" s="1" t="n">
        <v>44831.62577546296</v>
      </c>
      <c r="C1001" s="1" t="n">
        <v>46138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8692-2023</t>
        </is>
      </c>
      <c r="B1002" s="1" t="n">
        <v>44978.33378472222</v>
      </c>
      <c r="C1002" s="1" t="n">
        <v>46138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9133-2023</t>
        </is>
      </c>
      <c r="B1003" s="1" t="n">
        <v>44980.3475</v>
      </c>
      <c r="C1003" s="1" t="n">
        <v>46138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32851-2022</t>
        </is>
      </c>
      <c r="B1004" s="1" t="n">
        <v>44784.46863425926</v>
      </c>
      <c r="C1004" s="1" t="n">
        <v>46138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41525-2021</t>
        </is>
      </c>
      <c r="B1005" s="1" t="n">
        <v>44425</v>
      </c>
      <c r="C1005" s="1" t="n">
        <v>46138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45304-2023</t>
        </is>
      </c>
      <c r="B1006" s="1" t="n">
        <v>45191</v>
      </c>
      <c r="C1006" s="1" t="n">
        <v>46138</v>
      </c>
      <c r="D1006" t="inlineStr">
        <is>
          <t>VÄRMLANDS LÄN</t>
        </is>
      </c>
      <c r="E1006" t="inlineStr">
        <is>
          <t>SUNNE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61000-2025</t>
        </is>
      </c>
      <c r="B1007" s="1" t="n">
        <v>45999.76383101852</v>
      </c>
      <c r="C1007" s="1" t="n">
        <v>46138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61286-2025</t>
        </is>
      </c>
      <c r="B1008" s="1" t="n">
        <v>46000</v>
      </c>
      <c r="C1008" s="1" t="n">
        <v>46138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37382-2025</t>
        </is>
      </c>
      <c r="B1009" s="1" t="n">
        <v>45877.37577546296</v>
      </c>
      <c r="C1009" s="1" t="n">
        <v>46138</v>
      </c>
      <c r="D1009" t="inlineStr">
        <is>
          <t>VÄRMLANDS LÄN</t>
        </is>
      </c>
      <c r="E1009" t="inlineStr">
        <is>
          <t>SUNNE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37483-2025</t>
        </is>
      </c>
      <c r="B1010" s="1" t="n">
        <v>45877.61876157407</v>
      </c>
      <c r="C1010" s="1" t="n">
        <v>46138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28144-2021</t>
        </is>
      </c>
      <c r="B1011" s="1" t="n">
        <v>44355.54136574074</v>
      </c>
      <c r="C1011" s="1" t="n">
        <v>46138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37629-2025</t>
        </is>
      </c>
      <c r="B1012" s="1" t="n">
        <v>45880.46224537037</v>
      </c>
      <c r="C1012" s="1" t="n">
        <v>46138</v>
      </c>
      <c r="D1012" t="inlineStr">
        <is>
          <t>VÄRMLANDS LÄN</t>
        </is>
      </c>
      <c r="E1012" t="inlineStr">
        <is>
          <t>SUNNE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37782-2025</t>
        </is>
      </c>
      <c r="B1013" s="1" t="n">
        <v>45880.93476851852</v>
      </c>
      <c r="C1013" s="1" t="n">
        <v>46138</v>
      </c>
      <c r="D1013" t="inlineStr">
        <is>
          <t>VÄRMLANDS LÄN</t>
        </is>
      </c>
      <c r="E1013" t="inlineStr">
        <is>
          <t>SUNNE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37705-2025</t>
        </is>
      </c>
      <c r="B1014" s="1" t="n">
        <v>45880.59276620371</v>
      </c>
      <c r="C1014" s="1" t="n">
        <v>46138</v>
      </c>
      <c r="D1014" t="inlineStr">
        <is>
          <t>VÄRMLANDS LÄN</t>
        </is>
      </c>
      <c r="E1014" t="inlineStr">
        <is>
          <t>SUNNE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61002-2025</t>
        </is>
      </c>
      <c r="B1015" s="1" t="n">
        <v>45999.76662037037</v>
      </c>
      <c r="C1015" s="1" t="n">
        <v>46138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37993-2025</t>
        </is>
      </c>
      <c r="B1016" s="1" t="n">
        <v>45881.72263888889</v>
      </c>
      <c r="C1016" s="1" t="n">
        <v>46138</v>
      </c>
      <c r="D1016" t="inlineStr">
        <is>
          <t>VÄRMLANDS LÄN</t>
        </is>
      </c>
      <c r="E1016" t="inlineStr">
        <is>
          <t>SUNNE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25796-2024</t>
        </is>
      </c>
      <c r="B1017" s="1" t="n">
        <v>45467.34659722223</v>
      </c>
      <c r="C1017" s="1" t="n">
        <v>46138</v>
      </c>
      <c r="D1017" t="inlineStr">
        <is>
          <t>VÄRMLANDS LÄN</t>
        </is>
      </c>
      <c r="E1017" t="inlineStr">
        <is>
          <t>SUNNE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37992-2025</t>
        </is>
      </c>
      <c r="B1018" s="1" t="n">
        <v>45881.71462962963</v>
      </c>
      <c r="C1018" s="1" t="n">
        <v>46138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37990-2025</t>
        </is>
      </c>
      <c r="B1019" s="1" t="n">
        <v>45881.70932870371</v>
      </c>
      <c r="C1019" s="1" t="n">
        <v>46138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61978-2025</t>
        </is>
      </c>
      <c r="B1020" s="1" t="n">
        <v>46003.61256944444</v>
      </c>
      <c r="C1020" s="1" t="n">
        <v>46138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33992-2024</t>
        </is>
      </c>
      <c r="B1021" s="1" t="n">
        <v>45523.53612268518</v>
      </c>
      <c r="C1021" s="1" t="n">
        <v>46138</v>
      </c>
      <c r="D1021" t="inlineStr">
        <is>
          <t>VÄRMLANDS LÄN</t>
        </is>
      </c>
      <c r="E1021" t="inlineStr">
        <is>
          <t>SUNNE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61882-2025</t>
        </is>
      </c>
      <c r="B1022" s="1" t="n">
        <v>46003.42834490741</v>
      </c>
      <c r="C1022" s="1" t="n">
        <v>46138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17580-2024</t>
        </is>
      </c>
      <c r="B1023" s="1" t="n">
        <v>45415</v>
      </c>
      <c r="C1023" s="1" t="n">
        <v>46138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38011-2025</t>
        </is>
      </c>
      <c r="B1024" s="1" t="n">
        <v>45882.30717592593</v>
      </c>
      <c r="C1024" s="1" t="n">
        <v>46138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61760-2025</t>
        </is>
      </c>
      <c r="B1025" s="1" t="n">
        <v>46002.6209837963</v>
      </c>
      <c r="C1025" s="1" t="n">
        <v>46138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10349-2025</t>
        </is>
      </c>
      <c r="B1026" s="1" t="n">
        <v>45720</v>
      </c>
      <c r="C1026" s="1" t="n">
        <v>46138</v>
      </c>
      <c r="D1026" t="inlineStr">
        <is>
          <t>VÄRMLANDS LÄN</t>
        </is>
      </c>
      <c r="E1026" t="inlineStr">
        <is>
          <t>SUNNE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62026-2025</t>
        </is>
      </c>
      <c r="B1027" s="1" t="n">
        <v>46003.74414351852</v>
      </c>
      <c r="C1027" s="1" t="n">
        <v>46138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38289-2025</t>
        </is>
      </c>
      <c r="B1028" s="1" t="n">
        <v>45883.43831018519</v>
      </c>
      <c r="C1028" s="1" t="n">
        <v>46138</v>
      </c>
      <c r="D1028" t="inlineStr">
        <is>
          <t>VÄRMLANDS LÄN</t>
        </is>
      </c>
      <c r="E1028" t="inlineStr">
        <is>
          <t>SUNNE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34374-2023</t>
        </is>
      </c>
      <c r="B1029" s="1" t="n">
        <v>45131</v>
      </c>
      <c r="C1029" s="1" t="n">
        <v>46138</v>
      </c>
      <c r="D1029" t="inlineStr">
        <is>
          <t>VÄRMLANDS LÄN</t>
        </is>
      </c>
      <c r="E1029" t="inlineStr">
        <is>
          <t>SUNNE</t>
        </is>
      </c>
      <c r="G1029" t="n">
        <v>11.7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684-2025</t>
        </is>
      </c>
      <c r="B1030" s="1" t="n">
        <v>45665.13362268519</v>
      </c>
      <c r="C1030" s="1" t="n">
        <v>46138</v>
      </c>
      <c r="D1030" t="inlineStr">
        <is>
          <t>VÄRMLANDS LÄN</t>
        </is>
      </c>
      <c r="E1030" t="inlineStr">
        <is>
          <t>SUNNE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37832-2025</t>
        </is>
      </c>
      <c r="B1031" s="1" t="n">
        <v>45881.42045138889</v>
      </c>
      <c r="C1031" s="1" t="n">
        <v>46138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45206-2023</t>
        </is>
      </c>
      <c r="B1032" s="1" t="n">
        <v>45191.55560185185</v>
      </c>
      <c r="C1032" s="1" t="n">
        <v>46138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62067-2025</t>
        </is>
      </c>
      <c r="B1033" s="1" t="n">
        <v>46006.35743055555</v>
      </c>
      <c r="C1033" s="1" t="n">
        <v>46138</v>
      </c>
      <c r="D1033" t="inlineStr">
        <is>
          <t>VÄRMLANDS LÄN</t>
        </is>
      </c>
      <c r="E1033" t="inlineStr">
        <is>
          <t>SUNNE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62098-2025</t>
        </is>
      </c>
      <c r="B1034" s="1" t="n">
        <v>46006.39820601852</v>
      </c>
      <c r="C1034" s="1" t="n">
        <v>46138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62073-2025</t>
        </is>
      </c>
      <c r="B1035" s="1" t="n">
        <v>46006.36280092593</v>
      </c>
      <c r="C1035" s="1" t="n">
        <v>46138</v>
      </c>
      <c r="D1035" t="inlineStr">
        <is>
          <t>VÄRMLANDS LÄN</t>
        </is>
      </c>
      <c r="E1035" t="inlineStr">
        <is>
          <t>SUNNE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55163-2024</t>
        </is>
      </c>
      <c r="B1036" s="1" t="n">
        <v>45621.51796296296</v>
      </c>
      <c r="C1036" s="1" t="n">
        <v>46138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43865-2024</t>
        </is>
      </c>
      <c r="B1037" s="1" t="n">
        <v>45572.37413194445</v>
      </c>
      <c r="C1037" s="1" t="n">
        <v>46138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20106-2024</t>
        </is>
      </c>
      <c r="B1038" s="1" t="n">
        <v>45434.48952546297</v>
      </c>
      <c r="C1038" s="1" t="n">
        <v>46138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62070-2025</t>
        </is>
      </c>
      <c r="B1039" s="1" t="n">
        <v>46006.3612037037</v>
      </c>
      <c r="C1039" s="1" t="n">
        <v>46138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62097-2025</t>
        </is>
      </c>
      <c r="B1040" s="1" t="n">
        <v>46006.39413194444</v>
      </c>
      <c r="C1040" s="1" t="n">
        <v>46138</v>
      </c>
      <c r="D1040" t="inlineStr">
        <is>
          <t>VÄRMLANDS LÄN</t>
        </is>
      </c>
      <c r="E1040" t="inlineStr">
        <is>
          <t>SUNNE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62100-2025</t>
        </is>
      </c>
      <c r="B1041" s="1" t="n">
        <v>46006.40266203704</v>
      </c>
      <c r="C1041" s="1" t="n">
        <v>46138</v>
      </c>
      <c r="D1041" t="inlineStr">
        <is>
          <t>VÄRMLANDS LÄN</t>
        </is>
      </c>
      <c r="E1041" t="inlineStr">
        <is>
          <t>SUNNE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9593-2025</t>
        </is>
      </c>
      <c r="B1042" s="1" t="n">
        <v>45714</v>
      </c>
      <c r="C1042" s="1" t="n">
        <v>46138</v>
      </c>
      <c r="D1042" t="inlineStr">
        <is>
          <t>VÄRMLANDS LÄN</t>
        </is>
      </c>
      <c r="E1042" t="inlineStr">
        <is>
          <t>SUNNE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62141-2025</t>
        </is>
      </c>
      <c r="B1043" s="1" t="n">
        <v>46006.46894675926</v>
      </c>
      <c r="C1043" s="1" t="n">
        <v>46138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62577-2025</t>
        </is>
      </c>
      <c r="B1044" s="1" t="n">
        <v>46007.76765046296</v>
      </c>
      <c r="C1044" s="1" t="n">
        <v>46138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6569-2023</t>
        </is>
      </c>
      <c r="B1045" s="1" t="n">
        <v>44966.46943287037</v>
      </c>
      <c r="C1045" s="1" t="n">
        <v>46138</v>
      </c>
      <c r="D1045" t="inlineStr">
        <is>
          <t>VÄRMLANDS LÄN</t>
        </is>
      </c>
      <c r="E1045" t="inlineStr">
        <is>
          <t>SUNNE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62827-2025</t>
        </is>
      </c>
      <c r="B1046" s="1" t="n">
        <v>46008.66042824074</v>
      </c>
      <c r="C1046" s="1" t="n">
        <v>46138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31606-2021</t>
        </is>
      </c>
      <c r="B1047" s="1" t="n">
        <v>44369</v>
      </c>
      <c r="C1047" s="1" t="n">
        <v>46138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43113-2021</t>
        </is>
      </c>
      <c r="B1048" s="1" t="n">
        <v>44431</v>
      </c>
      <c r="C1048" s="1" t="n">
        <v>46138</v>
      </c>
      <c r="D1048" t="inlineStr">
        <is>
          <t>VÄRMLANDS LÄN</t>
        </is>
      </c>
      <c r="E1048" t="inlineStr">
        <is>
          <t>SUNNE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62963-2025</t>
        </is>
      </c>
      <c r="B1049" s="1" t="n">
        <v>46009.45936342593</v>
      </c>
      <c r="C1049" s="1" t="n">
        <v>46138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62702-2025</t>
        </is>
      </c>
      <c r="B1050" s="1" t="n">
        <v>46008.49226851852</v>
      </c>
      <c r="C1050" s="1" t="n">
        <v>46138</v>
      </c>
      <c r="D1050" t="inlineStr">
        <is>
          <t>VÄRMLANDS LÄN</t>
        </is>
      </c>
      <c r="E1050" t="inlineStr">
        <is>
          <t>SUNNE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9004-2023</t>
        </is>
      </c>
      <c r="B1051" s="1" t="n">
        <v>44979.58105324074</v>
      </c>
      <c r="C1051" s="1" t="n">
        <v>46138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25199-2023</t>
        </is>
      </c>
      <c r="B1052" s="1" t="n">
        <v>45086.58609953704</v>
      </c>
      <c r="C1052" s="1" t="n">
        <v>46138</v>
      </c>
      <c r="D1052" t="inlineStr">
        <is>
          <t>VÄRMLANDS LÄN</t>
        </is>
      </c>
      <c r="E1052" t="inlineStr">
        <is>
          <t>SUNNE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9076-2023</t>
        </is>
      </c>
      <c r="B1053" s="1" t="n">
        <v>44979.91328703704</v>
      </c>
      <c r="C1053" s="1" t="n">
        <v>46138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63280-2025</t>
        </is>
      </c>
      <c r="B1054" s="1" t="n">
        <v>46010.58559027778</v>
      </c>
      <c r="C1054" s="1" t="n">
        <v>46138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6023-2025</t>
        </is>
      </c>
      <c r="B1055" s="1" t="n">
        <v>45695</v>
      </c>
      <c r="C1055" s="1" t="n">
        <v>46138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45597-2023</t>
        </is>
      </c>
      <c r="B1056" s="1" t="n">
        <v>45194.64109953704</v>
      </c>
      <c r="C1056" s="1" t="n">
        <v>46138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13325-2025</t>
        </is>
      </c>
      <c r="B1057" s="1" t="n">
        <v>45735.60184027778</v>
      </c>
      <c r="C1057" s="1" t="n">
        <v>46138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55153-2024</t>
        </is>
      </c>
      <c r="B1058" s="1" t="n">
        <v>45621</v>
      </c>
      <c r="C1058" s="1" t="n">
        <v>46138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34711-2022</t>
        </is>
      </c>
      <c r="B1059" s="1" t="n">
        <v>44795.58136574074</v>
      </c>
      <c r="C1059" s="1" t="n">
        <v>46138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63705-2025</t>
        </is>
      </c>
      <c r="B1060" s="1" t="n">
        <v>46014.61185185185</v>
      </c>
      <c r="C1060" s="1" t="n">
        <v>46138</v>
      </c>
      <c r="D1060" t="inlineStr">
        <is>
          <t>VÄRMLANDS LÄN</t>
        </is>
      </c>
      <c r="E1060" t="inlineStr">
        <is>
          <t>SUNNE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44170-2024</t>
        </is>
      </c>
      <c r="B1061" s="1" t="n">
        <v>45572.7378125</v>
      </c>
      <c r="C1061" s="1" t="n">
        <v>46138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63704-2025</t>
        </is>
      </c>
      <c r="B1062" s="1" t="n">
        <v>46014.61005787037</v>
      </c>
      <c r="C1062" s="1" t="n">
        <v>46138</v>
      </c>
      <c r="D1062" t="inlineStr">
        <is>
          <t>VÄRMLANDS LÄN</t>
        </is>
      </c>
      <c r="E1062" t="inlineStr">
        <is>
          <t>SUNNE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67-2026</t>
        </is>
      </c>
      <c r="B1063" s="1" t="n">
        <v>46014</v>
      </c>
      <c r="C1063" s="1" t="n">
        <v>46138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35322-2023</t>
        </is>
      </c>
      <c r="B1064" s="1" t="n">
        <v>45146.40916666666</v>
      </c>
      <c r="C1064" s="1" t="n">
        <v>46138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44900.63076388889</v>
      </c>
      <c r="C1065" s="1" t="n">
        <v>46138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64048-2025</t>
        </is>
      </c>
      <c r="B1066" s="1" t="n">
        <v>46021.58035879629</v>
      </c>
      <c r="C1066" s="1" t="n">
        <v>46138</v>
      </c>
      <c r="D1066" t="inlineStr">
        <is>
          <t>VÄRMLANDS LÄN</t>
        </is>
      </c>
      <c r="E1066" t="inlineStr">
        <is>
          <t>SUNNE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24626-2023</t>
        </is>
      </c>
      <c r="B1067" s="1" t="n">
        <v>45084</v>
      </c>
      <c r="C1067" s="1" t="n">
        <v>46138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63832-2025</t>
        </is>
      </c>
      <c r="B1068" s="1" t="n">
        <v>46020.39114583333</v>
      </c>
      <c r="C1068" s="1" t="n">
        <v>46138</v>
      </c>
      <c r="D1068" t="inlineStr">
        <is>
          <t>VÄRMLANDS LÄN</t>
        </is>
      </c>
      <c r="E1068" t="inlineStr">
        <is>
          <t>SUNNE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64030-2025</t>
        </is>
      </c>
      <c r="B1069" s="1" t="n">
        <v>46021.48652777778</v>
      </c>
      <c r="C1069" s="1" t="n">
        <v>46138</v>
      </c>
      <c r="D1069" t="inlineStr">
        <is>
          <t>VÄRMLANDS LÄN</t>
        </is>
      </c>
      <c r="E1069" t="inlineStr">
        <is>
          <t>SUNNE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51634-2024</t>
        </is>
      </c>
      <c r="B1070" s="1" t="n">
        <v>45605.61619212963</v>
      </c>
      <c r="C1070" s="1" t="n">
        <v>46138</v>
      </c>
      <c r="D1070" t="inlineStr">
        <is>
          <t>VÄRMLANDS LÄN</t>
        </is>
      </c>
      <c r="E1070" t="inlineStr">
        <is>
          <t>SUNNE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54286-2024</t>
        </is>
      </c>
      <c r="B1071" s="1" t="n">
        <v>45616.90453703704</v>
      </c>
      <c r="C1071" s="1" t="n">
        <v>46138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64024-2025</t>
        </is>
      </c>
      <c r="B1072" s="1" t="n">
        <v>46021.47170138889</v>
      </c>
      <c r="C1072" s="1" t="n">
        <v>46138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64093-2025</t>
        </is>
      </c>
      <c r="B1073" s="1" t="n">
        <v>46021.72967592593</v>
      </c>
      <c r="C1073" s="1" t="n">
        <v>46138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63816-2025</t>
        </is>
      </c>
      <c r="B1074" s="1" t="n">
        <v>46020.34133101852</v>
      </c>
      <c r="C1074" s="1" t="n">
        <v>46138</v>
      </c>
      <c r="D1074" t="inlineStr">
        <is>
          <t>VÄRMLANDS LÄN</t>
        </is>
      </c>
      <c r="E1074" t="inlineStr">
        <is>
          <t>SUNNE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63817-2025</t>
        </is>
      </c>
      <c r="B1075" s="1" t="n">
        <v>46020.35164351852</v>
      </c>
      <c r="C1075" s="1" t="n">
        <v>46138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18821-2024</t>
        </is>
      </c>
      <c r="B1076" s="1" t="n">
        <v>45426.62637731482</v>
      </c>
      <c r="C1076" s="1" t="n">
        <v>46138</v>
      </c>
      <c r="D1076" t="inlineStr">
        <is>
          <t>VÄRMLANDS LÄN</t>
        </is>
      </c>
      <c r="E1076" t="inlineStr">
        <is>
          <t>SUNNE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27061-2024</t>
        </is>
      </c>
      <c r="B1077" s="1" t="n">
        <v>45471</v>
      </c>
      <c r="C1077" s="1" t="n">
        <v>46138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44231-2023</t>
        </is>
      </c>
      <c r="B1078" s="1" t="n">
        <v>45188</v>
      </c>
      <c r="C1078" s="1" t="n">
        <v>46138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14564-2023</t>
        </is>
      </c>
      <c r="B1079" s="1" t="n">
        <v>45013</v>
      </c>
      <c r="C1079" s="1" t="n">
        <v>46138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32408-2022</t>
        </is>
      </c>
      <c r="B1080" s="1" t="n">
        <v>44782</v>
      </c>
      <c r="C1080" s="1" t="n">
        <v>46138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16007-2025</t>
        </is>
      </c>
      <c r="B1081" s="1" t="n">
        <v>45749</v>
      </c>
      <c r="C1081" s="1" t="n">
        <v>46138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11687-2025</t>
        </is>
      </c>
      <c r="B1082" s="1" t="n">
        <v>45726</v>
      </c>
      <c r="C1082" s="1" t="n">
        <v>46138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52994-2021</t>
        </is>
      </c>
      <c r="B1083" s="1" t="n">
        <v>44467</v>
      </c>
      <c r="C1083" s="1" t="n">
        <v>46138</v>
      </c>
      <c r="D1083" t="inlineStr">
        <is>
          <t>VÄRMLANDS LÄN</t>
        </is>
      </c>
      <c r="E1083" t="inlineStr">
        <is>
          <t>SUNNE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7053-2023</t>
        </is>
      </c>
      <c r="B1084" s="1" t="n">
        <v>44969</v>
      </c>
      <c r="C1084" s="1" t="n">
        <v>46138</v>
      </c>
      <c r="D1084" t="inlineStr">
        <is>
          <t>VÄRMLANDS LÄN</t>
        </is>
      </c>
      <c r="E1084" t="inlineStr">
        <is>
          <t>SUNNE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52149-2021</t>
        </is>
      </c>
      <c r="B1085" s="1" t="n">
        <v>44463</v>
      </c>
      <c r="C1085" s="1" t="n">
        <v>46138</v>
      </c>
      <c r="D1085" t="inlineStr">
        <is>
          <t>VÄRMLANDS LÄN</t>
        </is>
      </c>
      <c r="E1085" t="inlineStr">
        <is>
          <t>SUNNE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15172-2022</t>
        </is>
      </c>
      <c r="B1086" s="1" t="n">
        <v>44658</v>
      </c>
      <c r="C1086" s="1" t="n">
        <v>46138</v>
      </c>
      <c r="D1086" t="inlineStr">
        <is>
          <t>VÄRMLANDS LÄN</t>
        </is>
      </c>
      <c r="E1086" t="inlineStr">
        <is>
          <t>SUNNE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946-2025</t>
        </is>
      </c>
      <c r="B1087" s="1" t="n">
        <v>45666.34496527778</v>
      </c>
      <c r="C1087" s="1" t="n">
        <v>46138</v>
      </c>
      <c r="D1087" t="inlineStr">
        <is>
          <t>VÄRMLANDS LÄN</t>
        </is>
      </c>
      <c r="E1087" t="inlineStr">
        <is>
          <t>SUNNE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5006-2025</t>
        </is>
      </c>
      <c r="B1088" s="1" t="n">
        <v>45691.3705787037</v>
      </c>
      <c r="C1088" s="1" t="n">
        <v>46138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39454-2024</t>
        </is>
      </c>
      <c r="B1089" s="1" t="n">
        <v>45551</v>
      </c>
      <c r="C1089" s="1" t="n">
        <v>46138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48712-2021</t>
        </is>
      </c>
      <c r="B1090" s="1" t="n">
        <v>44452</v>
      </c>
      <c r="C1090" s="1" t="n">
        <v>46138</v>
      </c>
      <c r="D1090" t="inlineStr">
        <is>
          <t>VÄRMLANDS LÄN</t>
        </is>
      </c>
      <c r="E1090" t="inlineStr">
        <is>
          <t>SUNNE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36578-2023</t>
        </is>
      </c>
      <c r="B1091" s="1" t="n">
        <v>45153</v>
      </c>
      <c r="C1091" s="1" t="n">
        <v>46138</v>
      </c>
      <c r="D1091" t="inlineStr">
        <is>
          <t>VÄRMLANDS LÄN</t>
        </is>
      </c>
      <c r="E1091" t="inlineStr">
        <is>
          <t>SUNNE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1327-2026</t>
        </is>
      </c>
      <c r="B1092" s="1" t="n">
        <v>46031.5609375</v>
      </c>
      <c r="C1092" s="1" t="n">
        <v>46138</v>
      </c>
      <c r="D1092" t="inlineStr">
        <is>
          <t>VÄRMLANDS LÄN</t>
        </is>
      </c>
      <c r="E1092" t="inlineStr">
        <is>
          <t>SUNNE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38377-2024</t>
        </is>
      </c>
      <c r="B1093" s="1" t="n">
        <v>45545</v>
      </c>
      <c r="C1093" s="1" t="n">
        <v>46138</v>
      </c>
      <c r="D1093" t="inlineStr">
        <is>
          <t>VÄRMLANDS LÄN</t>
        </is>
      </c>
      <c r="E1093" t="inlineStr">
        <is>
          <t>SUNNE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20615-2024</t>
        </is>
      </c>
      <c r="B1094" s="1" t="n">
        <v>45436.45390046296</v>
      </c>
      <c r="C1094" s="1" t="n">
        <v>46138</v>
      </c>
      <c r="D1094" t="inlineStr">
        <is>
          <t>VÄRMLANDS LÄN</t>
        </is>
      </c>
      <c r="E1094" t="inlineStr">
        <is>
          <t>SUNNE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14042-2025</t>
        </is>
      </c>
      <c r="B1095" s="1" t="n">
        <v>45740.36893518519</v>
      </c>
      <c r="C1095" s="1" t="n">
        <v>46138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14060-2025</t>
        </is>
      </c>
      <c r="B1096" s="1" t="n">
        <v>45740.41108796297</v>
      </c>
      <c r="C1096" s="1" t="n">
        <v>46138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1311-2026</t>
        </is>
      </c>
      <c r="B1097" s="1" t="n">
        <v>46031</v>
      </c>
      <c r="C1097" s="1" t="n">
        <v>46138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938-2026</t>
        </is>
      </c>
      <c r="B1098" s="1" t="n">
        <v>46030.52613425926</v>
      </c>
      <c r="C1098" s="1" t="n">
        <v>46138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48861-2024</t>
        </is>
      </c>
      <c r="B1099" s="1" t="n">
        <v>45593.92333333333</v>
      </c>
      <c r="C1099" s="1" t="n">
        <v>46138</v>
      </c>
      <c r="D1099" t="inlineStr">
        <is>
          <t>VÄRMLANDS LÄN</t>
        </is>
      </c>
      <c r="E1099" t="inlineStr">
        <is>
          <t>SUNNE</t>
        </is>
      </c>
      <c r="F1099" t="inlineStr">
        <is>
          <t>Kyrkan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4536-2023</t>
        </is>
      </c>
      <c r="B1100" s="1" t="n">
        <v>44956.63180555555</v>
      </c>
      <c r="C1100" s="1" t="n">
        <v>46138</v>
      </c>
      <c r="D1100" t="inlineStr">
        <is>
          <t>VÄRMLANDS LÄN</t>
        </is>
      </c>
      <c r="E1100" t="inlineStr">
        <is>
          <t>SUNNE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51698-2024</t>
        </is>
      </c>
      <c r="B1101" s="1" t="n">
        <v>45607.35412037037</v>
      </c>
      <c r="C1101" s="1" t="n">
        <v>46138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36800-2021</t>
        </is>
      </c>
      <c r="B1102" s="1" t="n">
        <v>44392</v>
      </c>
      <c r="C1102" s="1" t="n">
        <v>46138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1842-2026</t>
        </is>
      </c>
      <c r="B1103" s="1" t="n">
        <v>46035.40193287037</v>
      </c>
      <c r="C1103" s="1" t="n">
        <v>46138</v>
      </c>
      <c r="D1103" t="inlineStr">
        <is>
          <t>VÄRMLANDS LÄN</t>
        </is>
      </c>
      <c r="E1103" t="inlineStr">
        <is>
          <t>SUNNE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57678-2024</t>
        </is>
      </c>
      <c r="B1104" s="1" t="n">
        <v>45630</v>
      </c>
      <c r="C1104" s="1" t="n">
        <v>46138</v>
      </c>
      <c r="D1104" t="inlineStr">
        <is>
          <t>VÄRMLANDS LÄN</t>
        </is>
      </c>
      <c r="E1104" t="inlineStr">
        <is>
          <t>SUNNE</t>
        </is>
      </c>
      <c r="F1104" t="inlineStr">
        <is>
          <t>Kyrkan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35337-2022</t>
        </is>
      </c>
      <c r="B1105" s="1" t="n">
        <v>44798</v>
      </c>
      <c r="C1105" s="1" t="n">
        <v>46138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32011-2022</t>
        </is>
      </c>
      <c r="B1106" s="1" t="n">
        <v>44778</v>
      </c>
      <c r="C1106" s="1" t="n">
        <v>46138</v>
      </c>
      <c r="D1106" t="inlineStr">
        <is>
          <t>VÄRMLANDS LÄN</t>
        </is>
      </c>
      <c r="E1106" t="inlineStr">
        <is>
          <t>SUNNE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60996-2024</t>
        </is>
      </c>
      <c r="B1107" s="1" t="n">
        <v>45645</v>
      </c>
      <c r="C1107" s="1" t="n">
        <v>46138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2070-2026</t>
        </is>
      </c>
      <c r="B1108" s="1" t="n">
        <v>46036</v>
      </c>
      <c r="C1108" s="1" t="n">
        <v>46138</v>
      </c>
      <c r="D1108" t="inlineStr">
        <is>
          <t>VÄRMLANDS LÄN</t>
        </is>
      </c>
      <c r="E1108" t="inlineStr">
        <is>
          <t>SUNNE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14378-2022</t>
        </is>
      </c>
      <c r="B1109" s="1" t="n">
        <v>44652</v>
      </c>
      <c r="C1109" s="1" t="n">
        <v>46138</v>
      </c>
      <c r="D1109" t="inlineStr">
        <is>
          <t>VÄRMLANDS LÄN</t>
        </is>
      </c>
      <c r="E1109" t="inlineStr">
        <is>
          <t>SUNNE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19175-2024</t>
        </is>
      </c>
      <c r="B1110" s="1" t="n">
        <v>45428</v>
      </c>
      <c r="C1110" s="1" t="n">
        <v>46138</v>
      </c>
      <c r="D1110" t="inlineStr">
        <is>
          <t>VÄRMLANDS LÄN</t>
        </is>
      </c>
      <c r="E1110" t="inlineStr">
        <is>
          <t>SUNNE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50353-2023</t>
        </is>
      </c>
      <c r="B1111" s="1" t="n">
        <v>45216.58539351852</v>
      </c>
      <c r="C1111" s="1" t="n">
        <v>46138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16358-2023</t>
        </is>
      </c>
      <c r="B1112" s="1" t="n">
        <v>45028.71484953703</v>
      </c>
      <c r="C1112" s="1" t="n">
        <v>46138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59814-2025</t>
        </is>
      </c>
      <c r="B1113" s="1" t="n">
        <v>45992</v>
      </c>
      <c r="C1113" s="1" t="n">
        <v>46138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3117-2026</t>
        </is>
      </c>
      <c r="B1114" s="1" t="n">
        <v>46041.36875</v>
      </c>
      <c r="C1114" s="1" t="n">
        <v>46138</v>
      </c>
      <c r="D1114" t="inlineStr">
        <is>
          <t>VÄRMLANDS LÄN</t>
        </is>
      </c>
      <c r="E1114" t="inlineStr">
        <is>
          <t>SUNNE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73231-2021</t>
        </is>
      </c>
      <c r="B1115" s="1" t="n">
        <v>44550.65840277778</v>
      </c>
      <c r="C1115" s="1" t="n">
        <v>46138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6-2022</t>
        </is>
      </c>
      <c r="B1116" s="1" t="n">
        <v>44563.54627314815</v>
      </c>
      <c r="C1116" s="1" t="n">
        <v>46138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11695-2025</t>
        </is>
      </c>
      <c r="B1117" s="1" t="n">
        <v>45726</v>
      </c>
      <c r="C1117" s="1" t="n">
        <v>46138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42480-2023</t>
        </is>
      </c>
      <c r="B1118" s="1" t="n">
        <v>45180.76482638889</v>
      </c>
      <c r="C1118" s="1" t="n">
        <v>46138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3692-2026</t>
        </is>
      </c>
      <c r="B1119" s="1" t="n">
        <v>46043</v>
      </c>
      <c r="C1119" s="1" t="n">
        <v>46138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3713-2026</t>
        </is>
      </c>
      <c r="B1120" s="1" t="n">
        <v>46043.48622685186</v>
      </c>
      <c r="C1120" s="1" t="n">
        <v>46138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61645-2024</t>
        </is>
      </c>
      <c r="B1121" s="1" t="n">
        <v>45646</v>
      </c>
      <c r="C1121" s="1" t="n">
        <v>46138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3688-2026</t>
        </is>
      </c>
      <c r="B1122" s="1" t="n">
        <v>46043</v>
      </c>
      <c r="C1122" s="1" t="n">
        <v>46138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45992-2023</t>
        </is>
      </c>
      <c r="B1123" s="1" t="n">
        <v>45196.32231481482</v>
      </c>
      <c r="C1123" s="1" t="n">
        <v>46138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57737-2022</t>
        </is>
      </c>
      <c r="B1124" s="1" t="n">
        <v>44897</v>
      </c>
      <c r="C1124" s="1" t="n">
        <v>46138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16816-2024</t>
        </is>
      </c>
      <c r="B1125" s="1" t="n">
        <v>45411</v>
      </c>
      <c r="C1125" s="1" t="n">
        <v>46138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49214-2023</t>
        </is>
      </c>
      <c r="B1126" s="1" t="n">
        <v>45210.60864583333</v>
      </c>
      <c r="C1126" s="1" t="n">
        <v>46138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52194-2024</t>
        </is>
      </c>
      <c r="B1127" s="1" t="n">
        <v>45608</v>
      </c>
      <c r="C1127" s="1" t="n">
        <v>46138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3937-2026</t>
        </is>
      </c>
      <c r="B1128" s="1" t="n">
        <v>46043.82229166666</v>
      </c>
      <c r="C1128" s="1" t="n">
        <v>46138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1641-2026</t>
        </is>
      </c>
      <c r="B1129" s="1" t="n">
        <v>46034</v>
      </c>
      <c r="C1129" s="1" t="n">
        <v>46138</v>
      </c>
      <c r="D1129" t="inlineStr">
        <is>
          <t>VÄRMLANDS LÄN</t>
        </is>
      </c>
      <c r="E1129" t="inlineStr">
        <is>
          <t>SUNNE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48729-2024</t>
        </is>
      </c>
      <c r="B1130" s="1" t="n">
        <v>45593</v>
      </c>
      <c r="C1130" s="1" t="n">
        <v>46138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3936-2026</t>
        </is>
      </c>
      <c r="B1131" s="1" t="n">
        <v>46043.81475694444</v>
      </c>
      <c r="C1131" s="1" t="n">
        <v>46138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58129-2022</t>
        </is>
      </c>
      <c r="B1132" s="1" t="n">
        <v>44900</v>
      </c>
      <c r="C1132" s="1" t="n">
        <v>46138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49683-2023</t>
        </is>
      </c>
      <c r="B1133" s="1" t="n">
        <v>45212</v>
      </c>
      <c r="C1133" s="1" t="n">
        <v>46138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49217-2023</t>
        </is>
      </c>
      <c r="B1134" s="1" t="n">
        <v>45210.61206018519</v>
      </c>
      <c r="C1134" s="1" t="n">
        <v>46138</v>
      </c>
      <c r="D1134" t="inlineStr">
        <is>
          <t>VÄRMLANDS LÄN</t>
        </is>
      </c>
      <c r="E1134" t="inlineStr">
        <is>
          <t>SUNNE</t>
        </is>
      </c>
      <c r="F1134" t="inlineStr">
        <is>
          <t>Kommuner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3935-2026</t>
        </is>
      </c>
      <c r="B1135" s="1" t="n">
        <v>46043.8096875</v>
      </c>
      <c r="C1135" s="1" t="n">
        <v>46138</v>
      </c>
      <c r="D1135" t="inlineStr">
        <is>
          <t>VÄRMLANDS LÄN</t>
        </is>
      </c>
      <c r="E1135" t="inlineStr">
        <is>
          <t>SUNNE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29129-2022</t>
        </is>
      </c>
      <c r="B1136" s="1" t="n">
        <v>44750.45641203703</v>
      </c>
      <c r="C1136" s="1" t="n">
        <v>46138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65108-2023</t>
        </is>
      </c>
      <c r="B1137" s="1" t="n">
        <v>45288.44891203703</v>
      </c>
      <c r="C1137" s="1" t="n">
        <v>46138</v>
      </c>
      <c r="D1137" t="inlineStr">
        <is>
          <t>VÄRMLANDS LÄN</t>
        </is>
      </c>
      <c r="E1137" t="inlineStr">
        <is>
          <t>SUNNE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62904-2023</t>
        </is>
      </c>
      <c r="B1138" s="1" t="n">
        <v>45272</v>
      </c>
      <c r="C1138" s="1" t="n">
        <v>46138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27091-2022</t>
        </is>
      </c>
      <c r="B1139" s="1" t="n">
        <v>44741.42371527778</v>
      </c>
      <c r="C1139" s="1" t="n">
        <v>46138</v>
      </c>
      <c r="D1139" t="inlineStr">
        <is>
          <t>VÄRMLANDS LÄN</t>
        </is>
      </c>
      <c r="E1139" t="inlineStr">
        <is>
          <t>SUNNE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40986-2022</t>
        </is>
      </c>
      <c r="B1140" s="1" t="n">
        <v>44823</v>
      </c>
      <c r="C1140" s="1" t="n">
        <v>46138</v>
      </c>
      <c r="D1140" t="inlineStr">
        <is>
          <t>VÄRMLANDS LÄN</t>
        </is>
      </c>
      <c r="E1140" t="inlineStr">
        <is>
          <t>SUNNE</t>
        </is>
      </c>
      <c r="F1140" t="inlineStr">
        <is>
          <t>Kyrkan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46147-2023</t>
        </is>
      </c>
      <c r="B1141" s="1" t="n">
        <v>45196.57422453703</v>
      </c>
      <c r="C1141" s="1" t="n">
        <v>46138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5705-2026</t>
        </is>
      </c>
      <c r="B1142" s="1" t="n">
        <v>46049</v>
      </c>
      <c r="C1142" s="1" t="n">
        <v>46138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4560-2026</t>
        </is>
      </c>
      <c r="B1143" s="1" t="n">
        <v>46047.71127314815</v>
      </c>
      <c r="C1143" s="1" t="n">
        <v>46138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51842-2023</t>
        </is>
      </c>
      <c r="B1144" s="1" t="n">
        <v>45223.31387731482</v>
      </c>
      <c r="C1144" s="1" t="n">
        <v>46138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34141-2023</t>
        </is>
      </c>
      <c r="B1145" s="1" t="n">
        <v>45136.4377662037</v>
      </c>
      <c r="C1145" s="1" t="n">
        <v>46138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13142-2024</t>
        </is>
      </c>
      <c r="B1146" s="1" t="n">
        <v>45386.34809027778</v>
      </c>
      <c r="C1146" s="1" t="n">
        <v>46138</v>
      </c>
      <c r="D1146" t="inlineStr">
        <is>
          <t>VÄRMLANDS LÄN</t>
        </is>
      </c>
      <c r="E1146" t="inlineStr">
        <is>
          <t>SUNNE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21071-2021</t>
        </is>
      </c>
      <c r="B1147" s="1" t="n">
        <v>44319</v>
      </c>
      <c r="C1147" s="1" t="n">
        <v>46138</v>
      </c>
      <c r="D1147" t="inlineStr">
        <is>
          <t>VÄRMLANDS LÄN</t>
        </is>
      </c>
      <c r="E1147" t="inlineStr">
        <is>
          <t>SUNNE</t>
        </is>
      </c>
      <c r="F1147" t="inlineStr">
        <is>
          <t>Övriga Aktiebolag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59291-2024</t>
        </is>
      </c>
      <c r="B1148" s="1" t="n">
        <v>45636</v>
      </c>
      <c r="C1148" s="1" t="n">
        <v>46138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36851-2024</t>
        </is>
      </c>
      <c r="B1149" s="1" t="n">
        <v>45538.55824074074</v>
      </c>
      <c r="C1149" s="1" t="n">
        <v>46138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17094-2025</t>
        </is>
      </c>
      <c r="B1150" s="1" t="n">
        <v>45755.65569444445</v>
      </c>
      <c r="C1150" s="1" t="n">
        <v>46138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18171-2025</t>
        </is>
      </c>
      <c r="B1151" s="1" t="n">
        <v>45761</v>
      </c>
      <c r="C1151" s="1" t="n">
        <v>46138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48814-2023</t>
        </is>
      </c>
      <c r="B1152" s="1" t="n">
        <v>45209.33628472222</v>
      </c>
      <c r="C1152" s="1" t="n">
        <v>46138</v>
      </c>
      <c r="D1152" t="inlineStr">
        <is>
          <t>VÄRMLANDS LÄN</t>
        </is>
      </c>
      <c r="E1152" t="inlineStr">
        <is>
          <t>SUNNE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62965-2021</t>
        </is>
      </c>
      <c r="B1153" s="1" t="n">
        <v>44505</v>
      </c>
      <c r="C1153" s="1" t="n">
        <v>46138</v>
      </c>
      <c r="D1153" t="inlineStr">
        <is>
          <t>VÄRMLANDS LÄN</t>
        </is>
      </c>
      <c r="E1153" t="inlineStr">
        <is>
          <t>SUNNE</t>
        </is>
      </c>
      <c r="G1153" t="n">
        <v>16.3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19024-2025</t>
        </is>
      </c>
      <c r="B1154" s="1" t="n">
        <v>45764.62608796296</v>
      </c>
      <c r="C1154" s="1" t="n">
        <v>46138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8390-2025</t>
        </is>
      </c>
      <c r="B1155" s="1" t="n">
        <v>45709.365</v>
      </c>
      <c r="C1155" s="1" t="n">
        <v>46138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51454-2024</t>
        </is>
      </c>
      <c r="B1156" s="1" t="n">
        <v>45604</v>
      </c>
      <c r="C1156" s="1" t="n">
        <v>46138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16518-2023</t>
        </is>
      </c>
      <c r="B1157" s="1" t="n">
        <v>45029.66005787037</v>
      </c>
      <c r="C1157" s="1" t="n">
        <v>46138</v>
      </c>
      <c r="D1157" t="inlineStr">
        <is>
          <t>VÄRMLANDS LÄN</t>
        </is>
      </c>
      <c r="E1157" t="inlineStr">
        <is>
          <t>SUNNE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53428-2024</t>
        </is>
      </c>
      <c r="B1158" s="1" t="n">
        <v>45614.51670138889</v>
      </c>
      <c r="C1158" s="1" t="n">
        <v>46138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20978-2023</t>
        </is>
      </c>
      <c r="B1159" s="1" t="n">
        <v>45061</v>
      </c>
      <c r="C1159" s="1" t="n">
        <v>46138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54865-2021</t>
        </is>
      </c>
      <c r="B1160" s="1" t="n">
        <v>44474</v>
      </c>
      <c r="C1160" s="1" t="n">
        <v>46138</v>
      </c>
      <c r="D1160" t="inlineStr">
        <is>
          <t>VÄRMLANDS LÄN</t>
        </is>
      </c>
      <c r="E1160" t="inlineStr">
        <is>
          <t>SUNNE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33505-2023</t>
        </is>
      </c>
      <c r="B1161" s="1" t="n">
        <v>45118</v>
      </c>
      <c r="C1161" s="1" t="n">
        <v>46138</v>
      </c>
      <c r="D1161" t="inlineStr">
        <is>
          <t>VÄRMLANDS LÄN</t>
        </is>
      </c>
      <c r="E1161" t="inlineStr">
        <is>
          <t>SUNNE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6048-2026</t>
        </is>
      </c>
      <c r="B1162" s="1" t="n">
        <v>46052</v>
      </c>
      <c r="C1162" s="1" t="n">
        <v>46138</v>
      </c>
      <c r="D1162" t="inlineStr">
        <is>
          <t>VÄRMLANDS LÄN</t>
        </is>
      </c>
      <c r="E1162" t="inlineStr">
        <is>
          <t>SUNNE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59143-2024</t>
        </is>
      </c>
      <c r="B1163" s="1" t="n">
        <v>45637</v>
      </c>
      <c r="C1163" s="1" t="n">
        <v>46138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24331-2024</t>
        </is>
      </c>
      <c r="B1164" s="1" t="n">
        <v>45457.54918981482</v>
      </c>
      <c r="C1164" s="1" t="n">
        <v>46138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7054-2023</t>
        </is>
      </c>
      <c r="B1165" s="1" t="n">
        <v>44969</v>
      </c>
      <c r="C1165" s="1" t="n">
        <v>46138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7055-2023</t>
        </is>
      </c>
      <c r="B1166" s="1" t="n">
        <v>44969</v>
      </c>
      <c r="C1166" s="1" t="n">
        <v>46138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60182-2022</t>
        </is>
      </c>
      <c r="B1167" s="1" t="n">
        <v>44910</v>
      </c>
      <c r="C1167" s="1" t="n">
        <v>46138</v>
      </c>
      <c r="D1167" t="inlineStr">
        <is>
          <t>VÄRMLANDS LÄN</t>
        </is>
      </c>
      <c r="E1167" t="inlineStr">
        <is>
          <t>SUNNE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50748-2024</t>
        </is>
      </c>
      <c r="B1168" s="1" t="n">
        <v>45602.42335648148</v>
      </c>
      <c r="C1168" s="1" t="n">
        <v>46138</v>
      </c>
      <c r="D1168" t="inlineStr">
        <is>
          <t>VÄRMLANDS LÄN</t>
        </is>
      </c>
      <c r="E1168" t="inlineStr">
        <is>
          <t>SUNNE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18179-2023</t>
        </is>
      </c>
      <c r="B1169" s="1" t="n">
        <v>45041.34971064814</v>
      </c>
      <c r="C1169" s="1" t="n">
        <v>46138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43083-2022</t>
        </is>
      </c>
      <c r="B1170" s="1" t="n">
        <v>44833</v>
      </c>
      <c r="C1170" s="1" t="n">
        <v>46138</v>
      </c>
      <c r="D1170" t="inlineStr">
        <is>
          <t>VÄRMLANDS LÄN</t>
        </is>
      </c>
      <c r="E1170" t="inlineStr">
        <is>
          <t>SUNNE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60541-2023</t>
        </is>
      </c>
      <c r="B1171" s="1" t="n">
        <v>45259</v>
      </c>
      <c r="C1171" s="1" t="n">
        <v>46138</v>
      </c>
      <c r="D1171" t="inlineStr">
        <is>
          <t>VÄRMLANDS LÄN</t>
        </is>
      </c>
      <c r="E1171" t="inlineStr">
        <is>
          <t>SUNNE</t>
        </is>
      </c>
      <c r="G1171" t="n">
        <v>11.1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68000-2021</t>
        </is>
      </c>
      <c r="B1172" s="1" t="n">
        <v>44525.76622685185</v>
      </c>
      <c r="C1172" s="1" t="n">
        <v>46138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60633-2024</t>
        </is>
      </c>
      <c r="B1173" s="1" t="n">
        <v>45644</v>
      </c>
      <c r="C1173" s="1" t="n">
        <v>46138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19022-2025</t>
        </is>
      </c>
      <c r="B1174" s="1" t="n">
        <v>45764.61819444445</v>
      </c>
      <c r="C1174" s="1" t="n">
        <v>46138</v>
      </c>
      <c r="D1174" t="inlineStr">
        <is>
          <t>VÄRMLANDS LÄN</t>
        </is>
      </c>
      <c r="E1174" t="inlineStr">
        <is>
          <t>SUNNE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47092-2024</t>
        </is>
      </c>
      <c r="B1175" s="1" t="n">
        <v>45586.51635416667</v>
      </c>
      <c r="C1175" s="1" t="n">
        <v>46138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42213-2021</t>
        </is>
      </c>
      <c r="B1176" s="1" t="n">
        <v>44426</v>
      </c>
      <c r="C1176" s="1" t="n">
        <v>46138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46792-2024</t>
        </is>
      </c>
      <c r="B1177" s="1" t="n">
        <v>45583</v>
      </c>
      <c r="C1177" s="1" t="n">
        <v>46138</v>
      </c>
      <c r="D1177" t="inlineStr">
        <is>
          <t>VÄRMLANDS LÄN</t>
        </is>
      </c>
      <c r="E1177" t="inlineStr">
        <is>
          <t>SUNNE</t>
        </is>
      </c>
      <c r="F1177" t="inlineStr">
        <is>
          <t>Kommuner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17043-2025</t>
        </is>
      </c>
      <c r="B1178" s="1" t="n">
        <v>45755.58814814815</v>
      </c>
      <c r="C1178" s="1" t="n">
        <v>46138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38753-2022</t>
        </is>
      </c>
      <c r="B1179" s="1" t="n">
        <v>44816.36002314815</v>
      </c>
      <c r="C1179" s="1" t="n">
        <v>46138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43088-2023</t>
        </is>
      </c>
      <c r="B1180" s="1" t="n">
        <v>45182</v>
      </c>
      <c r="C1180" s="1" t="n">
        <v>46138</v>
      </c>
      <c r="D1180" t="inlineStr">
        <is>
          <t>VÄRMLANDS LÄN</t>
        </is>
      </c>
      <c r="E1180" t="inlineStr">
        <is>
          <t>SUNNE</t>
        </is>
      </c>
      <c r="G1180" t="n">
        <v>12.9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12097-2023</t>
        </is>
      </c>
      <c r="B1181" s="1" t="n">
        <v>44995</v>
      </c>
      <c r="C1181" s="1" t="n">
        <v>46138</v>
      </c>
      <c r="D1181" t="inlineStr">
        <is>
          <t>VÄRMLANDS LÄN</t>
        </is>
      </c>
      <c r="E1181" t="inlineStr">
        <is>
          <t>SUNNE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41569-2022</t>
        </is>
      </c>
      <c r="B1182" s="1" t="n">
        <v>44827.41791666667</v>
      </c>
      <c r="C1182" s="1" t="n">
        <v>46138</v>
      </c>
      <c r="D1182" t="inlineStr">
        <is>
          <t>VÄRMLANDS LÄN</t>
        </is>
      </c>
      <c r="E1182" t="inlineStr">
        <is>
          <t>SUNNE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14743-2025</t>
        </is>
      </c>
      <c r="B1183" s="1" t="n">
        <v>45742</v>
      </c>
      <c r="C1183" s="1" t="n">
        <v>46138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60217-2022</t>
        </is>
      </c>
      <c r="B1184" s="1" t="n">
        <v>44903</v>
      </c>
      <c r="C1184" s="1" t="n">
        <v>46138</v>
      </c>
      <c r="D1184" t="inlineStr">
        <is>
          <t>VÄRMLANDS LÄN</t>
        </is>
      </c>
      <c r="E1184" t="inlineStr">
        <is>
          <t>SUNNE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36233-2024</t>
        </is>
      </c>
      <c r="B1185" s="1" t="n">
        <v>45534</v>
      </c>
      <c r="C1185" s="1" t="n">
        <v>46138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14416-2026</t>
        </is>
      </c>
      <c r="B1186" s="1" t="n">
        <v>46100.4543287037</v>
      </c>
      <c r="C1186" s="1" t="n">
        <v>46138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55628-2024</t>
        </is>
      </c>
      <c r="B1187" s="1" t="n">
        <v>45622.60204861111</v>
      </c>
      <c r="C1187" s="1" t="n">
        <v>46138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19409-2025</t>
        </is>
      </c>
      <c r="B1188" s="1" t="n">
        <v>45769</v>
      </c>
      <c r="C1188" s="1" t="n">
        <v>46138</v>
      </c>
      <c r="D1188" t="inlineStr">
        <is>
          <t>VÄRMLANDS LÄN</t>
        </is>
      </c>
      <c r="E1188" t="inlineStr">
        <is>
          <t>SUNNE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6328-2023</t>
        </is>
      </c>
      <c r="B1189" s="1" t="n">
        <v>44965</v>
      </c>
      <c r="C1189" s="1" t="n">
        <v>46138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14470-2026</t>
        </is>
      </c>
      <c r="B1190" s="1" t="n">
        <v>46100.56643518519</v>
      </c>
      <c r="C1190" s="1" t="n">
        <v>46138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14531-2026</t>
        </is>
      </c>
      <c r="B1191" s="1" t="n">
        <v>46100.66466435185</v>
      </c>
      <c r="C1191" s="1" t="n">
        <v>46138</v>
      </c>
      <c r="D1191" t="inlineStr">
        <is>
          <t>VÄRMLANDS LÄN</t>
        </is>
      </c>
      <c r="E1191" t="inlineStr">
        <is>
          <t>SUNNE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7400-2026</t>
        </is>
      </c>
      <c r="B1192" s="1" t="n">
        <v>46059.38415509259</v>
      </c>
      <c r="C1192" s="1" t="n">
        <v>46138</v>
      </c>
      <c r="D1192" t="inlineStr">
        <is>
          <t>VÄRMLANDS LÄN</t>
        </is>
      </c>
      <c r="E1192" t="inlineStr">
        <is>
          <t>SUNNE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43305-2022</t>
        </is>
      </c>
      <c r="B1193" s="1" t="n">
        <v>44834.54809027778</v>
      </c>
      <c r="C1193" s="1" t="n">
        <v>46138</v>
      </c>
      <c r="D1193" t="inlineStr">
        <is>
          <t>VÄRMLANDS LÄN</t>
        </is>
      </c>
      <c r="E1193" t="inlineStr">
        <is>
          <t>SUNNE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7377-2026</t>
        </is>
      </c>
      <c r="B1194" s="1" t="n">
        <v>46059.35177083333</v>
      </c>
      <c r="C1194" s="1" t="n">
        <v>46138</v>
      </c>
      <c r="D1194" t="inlineStr">
        <is>
          <t>VÄRMLANDS LÄN</t>
        </is>
      </c>
      <c r="E1194" t="inlineStr">
        <is>
          <t>SUNNE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73730-2021</t>
        </is>
      </c>
      <c r="B1195" s="1" t="n">
        <v>44552.55450231482</v>
      </c>
      <c r="C1195" s="1" t="n">
        <v>46138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53925-2024</t>
        </is>
      </c>
      <c r="B1196" s="1" t="n">
        <v>45615</v>
      </c>
      <c r="C1196" s="1" t="n">
        <v>46138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15114-2026</t>
        </is>
      </c>
      <c r="B1197" s="1" t="n">
        <v>46105.36420138889</v>
      </c>
      <c r="C1197" s="1" t="n">
        <v>46138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15216-2026</t>
        </is>
      </c>
      <c r="B1198" s="1" t="n">
        <v>46105.51224537037</v>
      </c>
      <c r="C1198" s="1" t="n">
        <v>46138</v>
      </c>
      <c r="D1198" t="inlineStr">
        <is>
          <t>VÄRMLANDS LÄN</t>
        </is>
      </c>
      <c r="E1198" t="inlineStr">
        <is>
          <t>SUNNE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7703-2026</t>
        </is>
      </c>
      <c r="B1199" s="1" t="n">
        <v>46062.46831018518</v>
      </c>
      <c r="C1199" s="1" t="n">
        <v>46138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20345-2025</t>
        </is>
      </c>
      <c r="B1200" s="1" t="n">
        <v>45775.37788194444</v>
      </c>
      <c r="C1200" s="1" t="n">
        <v>46138</v>
      </c>
      <c r="D1200" t="inlineStr">
        <is>
          <t>VÄRMLANDS LÄN</t>
        </is>
      </c>
      <c r="E1200" t="inlineStr">
        <is>
          <t>SUNNE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21251-2024</t>
        </is>
      </c>
      <c r="B1201" s="1" t="n">
        <v>45440</v>
      </c>
      <c r="C1201" s="1" t="n">
        <v>46138</v>
      </c>
      <c r="D1201" t="inlineStr">
        <is>
          <t>VÄRMLANDS LÄN</t>
        </is>
      </c>
      <c r="E1201" t="inlineStr">
        <is>
          <t>SUNNE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7730-2026</t>
        </is>
      </c>
      <c r="B1202" s="1" t="n">
        <v>46062.51116898148</v>
      </c>
      <c r="C1202" s="1" t="n">
        <v>46138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15120-2022</t>
        </is>
      </c>
      <c r="B1203" s="1" t="n">
        <v>44658</v>
      </c>
      <c r="C1203" s="1" t="n">
        <v>46138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23943-2021</t>
        </is>
      </c>
      <c r="B1204" s="1" t="n">
        <v>44335</v>
      </c>
      <c r="C1204" s="1" t="n">
        <v>46138</v>
      </c>
      <c r="D1204" t="inlineStr">
        <is>
          <t>VÄRMLANDS LÄN</t>
        </is>
      </c>
      <c r="E1204" t="inlineStr">
        <is>
          <t>SUNNE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43089-2022</t>
        </is>
      </c>
      <c r="B1205" s="1" t="n">
        <v>44833</v>
      </c>
      <c r="C1205" s="1" t="n">
        <v>46138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7985-2026</t>
        </is>
      </c>
      <c r="B1206" s="1" t="n">
        <v>46063.49087962963</v>
      </c>
      <c r="C1206" s="1" t="n">
        <v>46138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7657-2026</t>
        </is>
      </c>
      <c r="B1207" s="1" t="n">
        <v>46062.39094907408</v>
      </c>
      <c r="C1207" s="1" t="n">
        <v>46138</v>
      </c>
      <c r="D1207" t="inlineStr">
        <is>
          <t>VÄRMLANDS LÄN</t>
        </is>
      </c>
      <c r="E1207" t="inlineStr">
        <is>
          <t>SUNNE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50695-2024</t>
        </is>
      </c>
      <c r="B1208" s="1" t="n">
        <v>45602.34934027777</v>
      </c>
      <c r="C1208" s="1" t="n">
        <v>46138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41407-2024</t>
        </is>
      </c>
      <c r="B1209" s="1" t="n">
        <v>45560</v>
      </c>
      <c r="C1209" s="1" t="n">
        <v>46138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5787-2025</t>
        </is>
      </c>
      <c r="B1210" s="1" t="n">
        <v>45694</v>
      </c>
      <c r="C1210" s="1" t="n">
        <v>46138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20285-2025</t>
        </is>
      </c>
      <c r="B1211" s="1" t="n">
        <v>45774.57085648148</v>
      </c>
      <c r="C1211" s="1" t="n">
        <v>46138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37603-2021</t>
        </is>
      </c>
      <c r="B1212" s="1" t="n">
        <v>44399</v>
      </c>
      <c r="C1212" s="1" t="n">
        <v>46138</v>
      </c>
      <c r="D1212" t="inlineStr">
        <is>
          <t>VÄRMLANDS LÄN</t>
        </is>
      </c>
      <c r="E1212" t="inlineStr">
        <is>
          <t>SUNNE</t>
        </is>
      </c>
      <c r="G1212" t="n">
        <v>11.7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56744-2024</t>
        </is>
      </c>
      <c r="B1213" s="1" t="n">
        <v>45628.37136574074</v>
      </c>
      <c r="C1213" s="1" t="n">
        <v>46138</v>
      </c>
      <c r="D1213" t="inlineStr">
        <is>
          <t>VÄRMLANDS LÄN</t>
        </is>
      </c>
      <c r="E1213" t="inlineStr">
        <is>
          <t>SUNNE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19739-2022</t>
        </is>
      </c>
      <c r="B1214" s="1" t="n">
        <v>44694</v>
      </c>
      <c r="C1214" s="1" t="n">
        <v>46138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63518-2023</t>
        </is>
      </c>
      <c r="B1215" s="1" t="n">
        <v>45274</v>
      </c>
      <c r="C1215" s="1" t="n">
        <v>46138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41915-2021</t>
        </is>
      </c>
      <c r="B1216" s="1" t="n">
        <v>44426</v>
      </c>
      <c r="C1216" s="1" t="n">
        <v>46138</v>
      </c>
      <c r="D1216" t="inlineStr">
        <is>
          <t>VÄRMLANDS LÄN</t>
        </is>
      </c>
      <c r="E1216" t="inlineStr">
        <is>
          <t>SUNNE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29588-2022</t>
        </is>
      </c>
      <c r="B1217" s="1" t="n">
        <v>44754</v>
      </c>
      <c r="C1217" s="1" t="n">
        <v>46138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15467-2026</t>
        </is>
      </c>
      <c r="B1218" s="1" t="n">
        <v>46106.42899305555</v>
      </c>
      <c r="C1218" s="1" t="n">
        <v>46138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8300-2026</t>
        </is>
      </c>
      <c r="B1219" s="1" t="n">
        <v>46064.5790625</v>
      </c>
      <c r="C1219" s="1" t="n">
        <v>46138</v>
      </c>
      <c r="D1219" t="inlineStr">
        <is>
          <t>VÄRMLANDS LÄN</t>
        </is>
      </c>
      <c r="E1219" t="inlineStr">
        <is>
          <t>SUNNE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34059-2023</t>
        </is>
      </c>
      <c r="B1220" s="1" t="n">
        <v>45125</v>
      </c>
      <c r="C1220" s="1" t="n">
        <v>46138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29746-2023</t>
        </is>
      </c>
      <c r="B1221" s="1" t="n">
        <v>45107</v>
      </c>
      <c r="C1221" s="1" t="n">
        <v>46138</v>
      </c>
      <c r="D1221" t="inlineStr">
        <is>
          <t>VÄRMLANDS LÄN</t>
        </is>
      </c>
      <c r="E1221" t="inlineStr">
        <is>
          <t>SUNNE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14740-2023</t>
        </is>
      </c>
      <c r="B1222" s="1" t="n">
        <v>45014.48680555556</v>
      </c>
      <c r="C1222" s="1" t="n">
        <v>46138</v>
      </c>
      <c r="D1222" t="inlineStr">
        <is>
          <t>VÄRMLANDS LÄN</t>
        </is>
      </c>
      <c r="E1222" t="inlineStr">
        <is>
          <t>SUNNE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23460-2023</t>
        </is>
      </c>
      <c r="B1223" s="1" t="n">
        <v>45076</v>
      </c>
      <c r="C1223" s="1" t="n">
        <v>46138</v>
      </c>
      <c r="D1223" t="inlineStr">
        <is>
          <t>VÄRMLANDS LÄN</t>
        </is>
      </c>
      <c r="E1223" t="inlineStr">
        <is>
          <t>SUNNE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14099-2025</t>
        </is>
      </c>
      <c r="B1224" s="1" t="n">
        <v>45740.45099537037</v>
      </c>
      <c r="C1224" s="1" t="n">
        <v>46138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7057-2023</t>
        </is>
      </c>
      <c r="B1225" s="1" t="n">
        <v>44969</v>
      </c>
      <c r="C1225" s="1" t="n">
        <v>46138</v>
      </c>
      <c r="D1225" t="inlineStr">
        <is>
          <t>VÄRMLANDS LÄN</t>
        </is>
      </c>
      <c r="E1225" t="inlineStr">
        <is>
          <t>SUNNE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48945-2021</t>
        </is>
      </c>
      <c r="B1226" s="1" t="n">
        <v>44453</v>
      </c>
      <c r="C1226" s="1" t="n">
        <v>46138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19011-2023</t>
        </is>
      </c>
      <c r="B1227" s="1" t="n">
        <v>45045</v>
      </c>
      <c r="C1227" s="1" t="n">
        <v>46138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28396-2022</t>
        </is>
      </c>
      <c r="B1228" s="1" t="n">
        <v>44747.57859953704</v>
      </c>
      <c r="C1228" s="1" t="n">
        <v>46138</v>
      </c>
      <c r="D1228" t="inlineStr">
        <is>
          <t>VÄRMLANDS LÄN</t>
        </is>
      </c>
      <c r="E1228" t="inlineStr">
        <is>
          <t>SUNNE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16147-2026</t>
        </is>
      </c>
      <c r="B1229" s="1" t="n">
        <v>46108.66819444444</v>
      </c>
      <c r="C1229" s="1" t="n">
        <v>46138</v>
      </c>
      <c r="D1229" t="inlineStr">
        <is>
          <t>VÄRMLANDS LÄN</t>
        </is>
      </c>
      <c r="E1229" t="inlineStr">
        <is>
          <t>SUNNE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16149-2026</t>
        </is>
      </c>
      <c r="B1230" s="1" t="n">
        <v>46108.67212962963</v>
      </c>
      <c r="C1230" s="1" t="n">
        <v>46138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64582-2023</t>
        </is>
      </c>
      <c r="B1231" s="1" t="n">
        <v>45281</v>
      </c>
      <c r="C1231" s="1" t="n">
        <v>46138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24066-2021</t>
        </is>
      </c>
      <c r="B1232" s="1" t="n">
        <v>44336</v>
      </c>
      <c r="C1232" s="1" t="n">
        <v>46138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25211-2024</t>
        </is>
      </c>
      <c r="B1233" s="1" t="n">
        <v>45462</v>
      </c>
      <c r="C1233" s="1" t="n">
        <v>46138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10231-2023</t>
        </is>
      </c>
      <c r="B1234" s="1" t="n">
        <v>44980</v>
      </c>
      <c r="C1234" s="1" t="n">
        <v>46138</v>
      </c>
      <c r="D1234" t="inlineStr">
        <is>
          <t>VÄRMLANDS LÄN</t>
        </is>
      </c>
      <c r="E1234" t="inlineStr">
        <is>
          <t>SUNNE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57392-2023</t>
        </is>
      </c>
      <c r="B1235" s="1" t="n">
        <v>45245.95524305556</v>
      </c>
      <c r="C1235" s="1" t="n">
        <v>46138</v>
      </c>
      <c r="D1235" t="inlineStr">
        <is>
          <t>VÄRMLANDS LÄN</t>
        </is>
      </c>
      <c r="E1235" t="inlineStr">
        <is>
          <t>SUNNE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16437-2026</t>
        </is>
      </c>
      <c r="B1236" s="1" t="n">
        <v>46111.83824074074</v>
      </c>
      <c r="C1236" s="1" t="n">
        <v>46138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513-2023</t>
        </is>
      </c>
      <c r="B1237" s="1" t="n">
        <v>44930</v>
      </c>
      <c r="C1237" s="1" t="n">
        <v>46138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37334-2024</t>
        </is>
      </c>
      <c r="B1238" s="1" t="n">
        <v>45540.52130787037</v>
      </c>
      <c r="C1238" s="1" t="n">
        <v>46138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64539-2023</t>
        </is>
      </c>
      <c r="B1239" s="1" t="n">
        <v>45281</v>
      </c>
      <c r="C1239" s="1" t="n">
        <v>46138</v>
      </c>
      <c r="D1239" t="inlineStr">
        <is>
          <t>VÄRMLANDS LÄN</t>
        </is>
      </c>
      <c r="E1239" t="inlineStr">
        <is>
          <t>SUNNE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8777-2026</t>
        </is>
      </c>
      <c r="B1240" s="1" t="n">
        <v>46066.57953703704</v>
      </c>
      <c r="C1240" s="1" t="n">
        <v>46138</v>
      </c>
      <c r="D1240" t="inlineStr">
        <is>
          <t>VÄRMLANDS LÄN</t>
        </is>
      </c>
      <c r="E1240" t="inlineStr">
        <is>
          <t>SUNNE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816-2024</t>
        </is>
      </c>
      <c r="B1241" s="1" t="n">
        <v>45300</v>
      </c>
      <c r="C1241" s="1" t="n">
        <v>46138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34062-2023</t>
        </is>
      </c>
      <c r="B1242" s="1" t="n">
        <v>45125</v>
      </c>
      <c r="C1242" s="1" t="n">
        <v>46138</v>
      </c>
      <c r="D1242" t="inlineStr">
        <is>
          <t>VÄRMLANDS LÄN</t>
        </is>
      </c>
      <c r="E1242" t="inlineStr">
        <is>
          <t>SUNNE</t>
        </is>
      </c>
      <c r="G1242" t="n">
        <v>20.1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38703-2021</t>
        </is>
      </c>
      <c r="B1243" s="1" t="n">
        <v>44410</v>
      </c>
      <c r="C1243" s="1" t="n">
        <v>46138</v>
      </c>
      <c r="D1243" t="inlineStr">
        <is>
          <t>VÄRMLANDS LÄN</t>
        </is>
      </c>
      <c r="E1243" t="inlineStr">
        <is>
          <t>SUNNE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36738-2021</t>
        </is>
      </c>
      <c r="B1244" s="1" t="n">
        <v>44392.60987268519</v>
      </c>
      <c r="C1244" s="1" t="n">
        <v>46138</v>
      </c>
      <c r="D1244" t="inlineStr">
        <is>
          <t>VÄRMLANDS LÄN</t>
        </is>
      </c>
      <c r="E1244" t="inlineStr">
        <is>
          <t>SUNNE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2385-2024</t>
        </is>
      </c>
      <c r="B1245" s="1" t="n">
        <v>45310.65686342592</v>
      </c>
      <c r="C1245" s="1" t="n">
        <v>46138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32405-2023</t>
        </is>
      </c>
      <c r="B1246" s="1" t="n">
        <v>45110</v>
      </c>
      <c r="C1246" s="1" t="n">
        <v>46138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statliga verk och myndigheter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9407-2026</t>
        </is>
      </c>
      <c r="B1247" s="1" t="n">
        <v>46071.4077662037</v>
      </c>
      <c r="C1247" s="1" t="n">
        <v>46138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9419-2026</t>
        </is>
      </c>
      <c r="B1248" s="1" t="n">
        <v>46071</v>
      </c>
      <c r="C1248" s="1" t="n">
        <v>46138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33459-2024</t>
        </is>
      </c>
      <c r="B1249" s="1" t="n">
        <v>45519.58299768518</v>
      </c>
      <c r="C1249" s="1" t="n">
        <v>46138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39128-2023</t>
        </is>
      </c>
      <c r="B1250" s="1" t="n">
        <v>45165.73158564815</v>
      </c>
      <c r="C1250" s="1" t="n">
        <v>46138</v>
      </c>
      <c r="D1250" t="inlineStr">
        <is>
          <t>VÄRMLANDS LÄN</t>
        </is>
      </c>
      <c r="E1250" t="inlineStr">
        <is>
          <t>SUNNE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56238-2023</t>
        </is>
      </c>
      <c r="B1251" s="1" t="n">
        <v>45240.92606481481</v>
      </c>
      <c r="C1251" s="1" t="n">
        <v>46138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71195-2021</t>
        </is>
      </c>
      <c r="B1252" s="1" t="n">
        <v>44539.52929398148</v>
      </c>
      <c r="C1252" s="1" t="n">
        <v>46138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46058-2023</t>
        </is>
      </c>
      <c r="B1253" s="1" t="n">
        <v>45196.45377314815</v>
      </c>
      <c r="C1253" s="1" t="n">
        <v>46138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52467-2024</t>
        </is>
      </c>
      <c r="B1254" s="1" t="n">
        <v>45609</v>
      </c>
      <c r="C1254" s="1" t="n">
        <v>46138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38901-2021</t>
        </is>
      </c>
      <c r="B1255" s="1" t="n">
        <v>44411</v>
      </c>
      <c r="C1255" s="1" t="n">
        <v>46138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17065-2026</t>
        </is>
      </c>
      <c r="B1256" s="1" t="n">
        <v>46114.52498842592</v>
      </c>
      <c r="C1256" s="1" t="n">
        <v>46138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31594-2021</t>
        </is>
      </c>
      <c r="B1257" s="1" t="n">
        <v>44369</v>
      </c>
      <c r="C1257" s="1" t="n">
        <v>46138</v>
      </c>
      <c r="D1257" t="inlineStr">
        <is>
          <t>VÄRMLANDS LÄN</t>
        </is>
      </c>
      <c r="E1257" t="inlineStr">
        <is>
          <t>SUNNE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31601-2021</t>
        </is>
      </c>
      <c r="B1258" s="1" t="n">
        <v>44369</v>
      </c>
      <c r="C1258" s="1" t="n">
        <v>46138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54487-2022</t>
        </is>
      </c>
      <c r="B1259" s="1" t="n">
        <v>44882</v>
      </c>
      <c r="C1259" s="1" t="n">
        <v>46138</v>
      </c>
      <c r="D1259" t="inlineStr">
        <is>
          <t>VÄRMLANDS LÄN</t>
        </is>
      </c>
      <c r="E1259" t="inlineStr">
        <is>
          <t>SUNNE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53638-2024</t>
        </is>
      </c>
      <c r="B1260" s="1" t="n">
        <v>45614</v>
      </c>
      <c r="C1260" s="1" t="n">
        <v>46138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47460-2023</t>
        </is>
      </c>
      <c r="B1261" s="1" t="n">
        <v>45202.85592592593</v>
      </c>
      <c r="C1261" s="1" t="n">
        <v>46138</v>
      </c>
      <c r="D1261" t="inlineStr">
        <is>
          <t>VÄRMLANDS LÄN</t>
        </is>
      </c>
      <c r="E1261" t="inlineStr">
        <is>
          <t>SUNNE</t>
        </is>
      </c>
      <c r="G1261" t="n">
        <v>14.2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17367-2026</t>
        </is>
      </c>
      <c r="B1262" s="1" t="n">
        <v>46119.69238425926</v>
      </c>
      <c r="C1262" s="1" t="n">
        <v>46138</v>
      </c>
      <c r="D1262" t="inlineStr">
        <is>
          <t>VÄRMLANDS LÄN</t>
        </is>
      </c>
      <c r="E1262" t="inlineStr">
        <is>
          <t>SUNNE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17197-2026</t>
        </is>
      </c>
      <c r="B1263" s="1" t="n">
        <v>46118.51572916667</v>
      </c>
      <c r="C1263" s="1" t="n">
        <v>46138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15747-2022</t>
        </is>
      </c>
      <c r="B1264" s="1" t="n">
        <v>44663.55354166667</v>
      </c>
      <c r="C1264" s="1" t="n">
        <v>46138</v>
      </c>
      <c r="D1264" t="inlineStr">
        <is>
          <t>VÄRMLANDS LÄN</t>
        </is>
      </c>
      <c r="E1264" t="inlineStr">
        <is>
          <t>SUNNE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21925-2023</t>
        </is>
      </c>
      <c r="B1265" s="1" t="n">
        <v>45068</v>
      </c>
      <c r="C1265" s="1" t="n">
        <v>46138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17196-2026</t>
        </is>
      </c>
      <c r="B1266" s="1" t="n">
        <v>46118.48293981481</v>
      </c>
      <c r="C1266" s="1" t="n">
        <v>46138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10099-2026</t>
        </is>
      </c>
      <c r="B1267" s="1" t="n">
        <v>46073.846875</v>
      </c>
      <c r="C1267" s="1" t="n">
        <v>46138</v>
      </c>
      <c r="D1267" t="inlineStr">
        <is>
          <t>VÄRMLANDS LÄN</t>
        </is>
      </c>
      <c r="E1267" t="inlineStr">
        <is>
          <t>SUNNE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49437-2024</t>
        </is>
      </c>
      <c r="B1268" s="1" t="n">
        <v>45595.86496527777</v>
      </c>
      <c r="C1268" s="1" t="n">
        <v>46138</v>
      </c>
      <c r="D1268" t="inlineStr">
        <is>
          <t>VÄRMLANDS LÄN</t>
        </is>
      </c>
      <c r="E1268" t="inlineStr">
        <is>
          <t>SUNNE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32202-2022</t>
        </is>
      </c>
      <c r="B1269" s="1" t="n">
        <v>44781</v>
      </c>
      <c r="C1269" s="1" t="n">
        <v>46138</v>
      </c>
      <c r="D1269" t="inlineStr">
        <is>
          <t>VÄRMLANDS LÄN</t>
        </is>
      </c>
      <c r="E1269" t="inlineStr">
        <is>
          <t>SUNNE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3085-2024</t>
        </is>
      </c>
      <c r="B1270" s="1" t="n">
        <v>45316.43939814815</v>
      </c>
      <c r="C1270" s="1" t="n">
        <v>46138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17322-2026</t>
        </is>
      </c>
      <c r="B1271" s="1" t="n">
        <v>46119.60590277778</v>
      </c>
      <c r="C1271" s="1" t="n">
        <v>46138</v>
      </c>
      <c r="D1271" t="inlineStr">
        <is>
          <t>VÄRMLANDS LÄN</t>
        </is>
      </c>
      <c r="E1271" t="inlineStr">
        <is>
          <t>SUNNE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17369-2026</t>
        </is>
      </c>
      <c r="B1272" s="1" t="n">
        <v>46119.69814814815</v>
      </c>
      <c r="C1272" s="1" t="n">
        <v>46138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10283-2026</t>
        </is>
      </c>
      <c r="B1273" s="1" t="n">
        <v>46076.59581018519</v>
      </c>
      <c r="C1273" s="1" t="n">
        <v>46138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10558-2026</t>
        </is>
      </c>
      <c r="B1274" s="1" t="n">
        <v>46077.6369212963</v>
      </c>
      <c r="C1274" s="1" t="n">
        <v>46138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7712-2024</t>
        </is>
      </c>
      <c r="B1275" s="1" t="n">
        <v>45349.37353009259</v>
      </c>
      <c r="C1275" s="1" t="n">
        <v>46138</v>
      </c>
      <c r="D1275" t="inlineStr">
        <is>
          <t>VÄRMLANDS LÄN</t>
        </is>
      </c>
      <c r="E1275" t="inlineStr">
        <is>
          <t>SUNNE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17448-2026</t>
        </is>
      </c>
      <c r="B1276" s="1" t="n">
        <v>46114</v>
      </c>
      <c r="C1276" s="1" t="n">
        <v>46138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4035-2025</t>
        </is>
      </c>
      <c r="B1277" s="1" t="n">
        <v>45684.59967592593</v>
      </c>
      <c r="C1277" s="1" t="n">
        <v>46138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17050-2026</t>
        </is>
      </c>
      <c r="B1278" s="1" t="n">
        <v>46114</v>
      </c>
      <c r="C1278" s="1" t="n">
        <v>46138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30132-2022</t>
        </is>
      </c>
      <c r="B1279" s="1" t="n">
        <v>44757</v>
      </c>
      <c r="C1279" s="1" t="n">
        <v>46138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41208-2023</t>
        </is>
      </c>
      <c r="B1280" s="1" t="n">
        <v>45174</v>
      </c>
      <c r="C1280" s="1" t="n">
        <v>46138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3390-2025</t>
        </is>
      </c>
      <c r="B1281" s="1" t="n">
        <v>45680.35740740741</v>
      </c>
      <c r="C1281" s="1" t="n">
        <v>46138</v>
      </c>
      <c r="D1281" t="inlineStr">
        <is>
          <t>VÄRMLANDS LÄN</t>
        </is>
      </c>
      <c r="E1281" t="inlineStr">
        <is>
          <t>SUNNE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17649-2026</t>
        </is>
      </c>
      <c r="B1282" s="1" t="n">
        <v>46121.54953703703</v>
      </c>
      <c r="C1282" s="1" t="n">
        <v>46138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3074-2024</t>
        </is>
      </c>
      <c r="B1283" s="1" t="n">
        <v>45316.42628472222</v>
      </c>
      <c r="C1283" s="1" t="n">
        <v>46138</v>
      </c>
      <c r="D1283" t="inlineStr">
        <is>
          <t>VÄRMLANDS LÄN</t>
        </is>
      </c>
      <c r="E1283" t="inlineStr">
        <is>
          <t>SUNNE</t>
        </is>
      </c>
      <c r="F1283" t="inlineStr">
        <is>
          <t>Kommuner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3082-2024</t>
        </is>
      </c>
      <c r="B1284" s="1" t="n">
        <v>45316.43537037037</v>
      </c>
      <c r="C1284" s="1" t="n">
        <v>46138</v>
      </c>
      <c r="D1284" t="inlineStr">
        <is>
          <t>VÄRMLANDS LÄN</t>
        </is>
      </c>
      <c r="E1284" t="inlineStr">
        <is>
          <t>SUNNE</t>
        </is>
      </c>
      <c r="F1284" t="inlineStr">
        <is>
          <t>Kommuner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37290-2022</t>
        </is>
      </c>
      <c r="B1285" s="1" t="n">
        <v>44808</v>
      </c>
      <c r="C1285" s="1" t="n">
        <v>46138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50455-2023</t>
        </is>
      </c>
      <c r="B1286" s="1" t="n">
        <v>45216.81375</v>
      </c>
      <c r="C1286" s="1" t="n">
        <v>46138</v>
      </c>
      <c r="D1286" t="inlineStr">
        <is>
          <t>VÄRMLANDS LÄN</t>
        </is>
      </c>
      <c r="E1286" t="inlineStr">
        <is>
          <t>SUNNE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1963-2024</t>
        </is>
      </c>
      <c r="B1287" s="1" t="n">
        <v>45308</v>
      </c>
      <c r="C1287" s="1" t="n">
        <v>46138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17653-2026</t>
        </is>
      </c>
      <c r="B1288" s="1" t="n">
        <v>46121.55535879629</v>
      </c>
      <c r="C1288" s="1" t="n">
        <v>46138</v>
      </c>
      <c r="D1288" t="inlineStr">
        <is>
          <t>VÄRMLANDS LÄN</t>
        </is>
      </c>
      <c r="E1288" t="inlineStr">
        <is>
          <t>SUNNE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19554-2023</t>
        </is>
      </c>
      <c r="B1289" s="1" t="n">
        <v>45050</v>
      </c>
      <c r="C1289" s="1" t="n">
        <v>46138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13158-2023</t>
        </is>
      </c>
      <c r="B1290" s="1" t="n">
        <v>45002.56912037037</v>
      </c>
      <c r="C1290" s="1" t="n">
        <v>46138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49978-2021</t>
        </is>
      </c>
      <c r="B1291" s="1" t="n">
        <v>44456</v>
      </c>
      <c r="C1291" s="1" t="n">
        <v>46138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34380-2023</t>
        </is>
      </c>
      <c r="B1292" s="1" t="n">
        <v>45131</v>
      </c>
      <c r="C1292" s="1" t="n">
        <v>46138</v>
      </c>
      <c r="D1292" t="inlineStr">
        <is>
          <t>VÄRMLANDS LÄN</t>
        </is>
      </c>
      <c r="E1292" t="inlineStr">
        <is>
          <t>SUNNE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65012-2021</t>
        </is>
      </c>
      <c r="B1293" s="1" t="n">
        <v>44514.96402777778</v>
      </c>
      <c r="C1293" s="1" t="n">
        <v>46138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18099-2026</t>
        </is>
      </c>
      <c r="B1294" s="1" t="n">
        <v>46125.56216435185</v>
      </c>
      <c r="C1294" s="1" t="n">
        <v>46138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19457-2023</t>
        </is>
      </c>
      <c r="B1295" s="1" t="n">
        <v>45050</v>
      </c>
      <c r="C1295" s="1" t="n">
        <v>46138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27573-2023</t>
        </is>
      </c>
      <c r="B1296" s="1" t="n">
        <v>45093</v>
      </c>
      <c r="C1296" s="1" t="n">
        <v>46138</v>
      </c>
      <c r="D1296" t="inlineStr">
        <is>
          <t>VÄRMLANDS LÄN</t>
        </is>
      </c>
      <c r="E1296" t="inlineStr">
        <is>
          <t>SUNNE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25816-2024</t>
        </is>
      </c>
      <c r="B1297" s="1" t="n">
        <v>45467.38015046297</v>
      </c>
      <c r="C1297" s="1" t="n">
        <v>46138</v>
      </c>
      <c r="D1297" t="inlineStr">
        <is>
          <t>VÄRMLANDS LÄN</t>
        </is>
      </c>
      <c r="E1297" t="inlineStr">
        <is>
          <t>SUNNE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18128-2026</t>
        </is>
      </c>
      <c r="B1298" s="1" t="n">
        <v>46125.59123842593</v>
      </c>
      <c r="C1298" s="1" t="n">
        <v>46138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53433-2024</t>
        </is>
      </c>
      <c r="B1299" s="1" t="n">
        <v>45614.52704861111</v>
      </c>
      <c r="C1299" s="1" t="n">
        <v>46138</v>
      </c>
      <c r="D1299" t="inlineStr">
        <is>
          <t>VÄRMLANDS LÄN</t>
        </is>
      </c>
      <c r="E1299" t="inlineStr">
        <is>
          <t>SUNNE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34541-2022</t>
        </is>
      </c>
      <c r="B1300" s="1" t="n">
        <v>44793</v>
      </c>
      <c r="C1300" s="1" t="n">
        <v>46138</v>
      </c>
      <c r="D1300" t="inlineStr">
        <is>
          <t>VÄRMLANDS LÄN</t>
        </is>
      </c>
      <c r="E1300" t="inlineStr">
        <is>
          <t>SUNNE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40612-2023</t>
        </is>
      </c>
      <c r="B1301" s="1" t="n">
        <v>45170.51244212963</v>
      </c>
      <c r="C1301" s="1" t="n">
        <v>46138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22734-2024</t>
        </is>
      </c>
      <c r="B1302" s="1" t="n">
        <v>45448</v>
      </c>
      <c r="C1302" s="1" t="n">
        <v>46138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46138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11447-2026</t>
        </is>
      </c>
      <c r="B1304" s="1" t="n">
        <v>46083.54385416667</v>
      </c>
      <c r="C1304" s="1" t="n">
        <v>46138</v>
      </c>
      <c r="D1304" t="inlineStr">
        <is>
          <t>VÄRMLANDS LÄN</t>
        </is>
      </c>
      <c r="E1304" t="inlineStr">
        <is>
          <t>SUNNE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39167-2022</t>
        </is>
      </c>
      <c r="B1305" s="1" t="n">
        <v>44817.49707175926</v>
      </c>
      <c r="C1305" s="1" t="n">
        <v>46138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45093.34003472222</v>
      </c>
      <c r="C1306" s="1" t="n">
        <v>46138</v>
      </c>
      <c r="D1306" t="inlineStr">
        <is>
          <t>VÄRMLANDS LÄN</t>
        </is>
      </c>
      <c r="E1306" t="inlineStr">
        <is>
          <t>SUNNE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12304-2024</t>
        </is>
      </c>
      <c r="B1307" s="1" t="n">
        <v>45378.61495370371</v>
      </c>
      <c r="C1307" s="1" t="n">
        <v>46138</v>
      </c>
      <c r="D1307" t="inlineStr">
        <is>
          <t>VÄRMLANDS LÄN</t>
        </is>
      </c>
      <c r="E1307" t="inlineStr">
        <is>
          <t>SUNNE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18072-2026</t>
        </is>
      </c>
      <c r="B1308" s="1" t="n">
        <v>46125.48856481481</v>
      </c>
      <c r="C1308" s="1" t="n">
        <v>46138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41967-2023</t>
        </is>
      </c>
      <c r="B1309" s="1" t="n">
        <v>45177.37006944444</v>
      </c>
      <c r="C1309" s="1" t="n">
        <v>46138</v>
      </c>
      <c r="D1309" t="inlineStr">
        <is>
          <t>VÄRMLANDS LÄN</t>
        </is>
      </c>
      <c r="E1309" t="inlineStr">
        <is>
          <t>SUNNE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16882-2024</t>
        </is>
      </c>
      <c r="B1310" s="1" t="n">
        <v>45411.59430555555</v>
      </c>
      <c r="C1310" s="1" t="n">
        <v>46138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44303-2021</t>
        </is>
      </c>
      <c r="B1311" s="1" t="n">
        <v>44435</v>
      </c>
      <c r="C1311" s="1" t="n">
        <v>46138</v>
      </c>
      <c r="D1311" t="inlineStr">
        <is>
          <t>VÄRMLANDS LÄN</t>
        </is>
      </c>
      <c r="E1311" t="inlineStr">
        <is>
          <t>SUNNE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55828-2024</t>
        </is>
      </c>
      <c r="B1312" s="1" t="n">
        <v>45622</v>
      </c>
      <c r="C1312" s="1" t="n">
        <v>46138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4785-2022</t>
        </is>
      </c>
      <c r="B1313" s="1" t="n">
        <v>44592.63289351852</v>
      </c>
      <c r="C1313" s="1" t="n">
        <v>46138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18736-2026</t>
        </is>
      </c>
      <c r="B1314" s="1" t="n">
        <v>46128.50109953704</v>
      </c>
      <c r="C1314" s="1" t="n">
        <v>46138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14045-2025</t>
        </is>
      </c>
      <c r="B1315" s="1" t="n">
        <v>45738</v>
      </c>
      <c r="C1315" s="1" t="n">
        <v>46138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12185-2026</t>
        </is>
      </c>
      <c r="B1316" s="1" t="n">
        <v>46086</v>
      </c>
      <c r="C1316" s="1" t="n">
        <v>46138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11843-2026</t>
        </is>
      </c>
      <c r="B1317" s="1" t="n">
        <v>46085.45460648148</v>
      </c>
      <c r="C1317" s="1" t="n">
        <v>46138</v>
      </c>
      <c r="D1317" t="inlineStr">
        <is>
          <t>VÄRMLANDS LÄN</t>
        </is>
      </c>
      <c r="E1317" t="inlineStr">
        <is>
          <t>SUNNE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3260-2025</t>
        </is>
      </c>
      <c r="B1318" s="1" t="n">
        <v>45679.56194444445</v>
      </c>
      <c r="C1318" s="1" t="n">
        <v>46138</v>
      </c>
      <c r="D1318" t="inlineStr">
        <is>
          <t>VÄRMLANDS LÄN</t>
        </is>
      </c>
      <c r="E1318" t="inlineStr">
        <is>
          <t>SUNNE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18489-2026</t>
        </is>
      </c>
      <c r="B1319" s="1" t="n">
        <v>46127.45114583334</v>
      </c>
      <c r="C1319" s="1" t="n">
        <v>46138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18755-2026</t>
        </is>
      </c>
      <c r="B1320" s="1" t="n">
        <v>46128.55603009259</v>
      </c>
      <c r="C1320" s="1" t="n">
        <v>46138</v>
      </c>
      <c r="D1320" t="inlineStr">
        <is>
          <t>VÄRMLANDS LÄN</t>
        </is>
      </c>
      <c r="E1320" t="inlineStr">
        <is>
          <t>SUNNE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18524-2026</t>
        </is>
      </c>
      <c r="B1321" s="1" t="n">
        <v>46127.5343287037</v>
      </c>
      <c r="C1321" s="1" t="n">
        <v>46138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35039-2025</t>
        </is>
      </c>
      <c r="B1322" s="1" t="n">
        <v>45852</v>
      </c>
      <c r="C1322" s="1" t="n">
        <v>46138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29601-2025</t>
        </is>
      </c>
      <c r="B1323" s="1" t="n">
        <v>45825.41493055555</v>
      </c>
      <c r="C1323" s="1" t="n">
        <v>46138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12285-2026</t>
        </is>
      </c>
      <c r="B1324" s="1" t="n">
        <v>46087.55202546297</v>
      </c>
      <c r="C1324" s="1" t="n">
        <v>46138</v>
      </c>
      <c r="D1324" t="inlineStr">
        <is>
          <t>VÄRMLANDS LÄN</t>
        </is>
      </c>
      <c r="E1324" t="inlineStr">
        <is>
          <t>SUNNE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18886-2026</t>
        </is>
      </c>
      <c r="B1325" s="1" t="n">
        <v>46129</v>
      </c>
      <c r="C1325" s="1" t="n">
        <v>46138</v>
      </c>
      <c r="D1325" t="inlineStr">
        <is>
          <t>VÄRMLANDS LÄN</t>
        </is>
      </c>
      <c r="E1325" t="inlineStr">
        <is>
          <t>SUNNE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12280-2026</t>
        </is>
      </c>
      <c r="B1326" s="1" t="n">
        <v>46087.54524305555</v>
      </c>
      <c r="C1326" s="1" t="n">
        <v>46138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19034-2026</t>
        </is>
      </c>
      <c r="B1327" s="1" t="n">
        <v>46131.87958333334</v>
      </c>
      <c r="C1327" s="1" t="n">
        <v>46138</v>
      </c>
      <c r="D1327" t="inlineStr">
        <is>
          <t>VÄRMLANDS LÄN</t>
        </is>
      </c>
      <c r="E1327" t="inlineStr">
        <is>
          <t>SUNNE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46138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12282-2026</t>
        </is>
      </c>
      <c r="B1329" s="1" t="n">
        <v>46087.54784722222</v>
      </c>
      <c r="C1329" s="1" t="n">
        <v>46138</v>
      </c>
      <c r="D1329" t="inlineStr">
        <is>
          <t>VÄRMLANDS LÄN</t>
        </is>
      </c>
      <c r="E1329" t="inlineStr">
        <is>
          <t>SUNNE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12459-2026</t>
        </is>
      </c>
      <c r="B1330" s="1" t="n">
        <v>46090.52135416667</v>
      </c>
      <c r="C1330" s="1" t="n">
        <v>46138</v>
      </c>
      <c r="D1330" t="inlineStr">
        <is>
          <t>VÄRMLANDS LÄN</t>
        </is>
      </c>
      <c r="E1330" t="inlineStr">
        <is>
          <t>SUNNE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12321-2026</t>
        </is>
      </c>
      <c r="B1331" s="1" t="n">
        <v>46087.60670138889</v>
      </c>
      <c r="C1331" s="1" t="n">
        <v>46138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12284-2026</t>
        </is>
      </c>
      <c r="B1332" s="1" t="n">
        <v>46087.54989583333</v>
      </c>
      <c r="C1332" s="1" t="n">
        <v>46138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12291-2026</t>
        </is>
      </c>
      <c r="B1333" s="1" t="n">
        <v>46087.55425925926</v>
      </c>
      <c r="C1333" s="1" t="n">
        <v>46138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25005-2023</t>
        </is>
      </c>
      <c r="B1334" s="1" t="n">
        <v>45085.65954861111</v>
      </c>
      <c r="C1334" s="1" t="n">
        <v>46138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18885-2026</t>
        </is>
      </c>
      <c r="B1335" s="1" t="n">
        <v>46129</v>
      </c>
      <c r="C1335" s="1" t="n">
        <v>46138</v>
      </c>
      <c r="D1335" t="inlineStr">
        <is>
          <t>VÄRMLANDS LÄN</t>
        </is>
      </c>
      <c r="E1335" t="inlineStr">
        <is>
          <t>SUNNE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7230-2022</t>
        </is>
      </c>
      <c r="B1336" s="1" t="n">
        <v>44606</v>
      </c>
      <c r="C1336" s="1" t="n">
        <v>46138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34936-2025</t>
        </is>
      </c>
      <c r="B1337" s="1" t="n">
        <v>45849.57689814815</v>
      </c>
      <c r="C1337" s="1" t="n">
        <v>46138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54535-2023</t>
        </is>
      </c>
      <c r="B1338" s="1" t="n">
        <v>45226</v>
      </c>
      <c r="C1338" s="1" t="n">
        <v>46138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58812-2022</t>
        </is>
      </c>
      <c r="B1339" s="1" t="n">
        <v>44903.4503587963</v>
      </c>
      <c r="C1339" s="1" t="n">
        <v>46138</v>
      </c>
      <c r="D1339" t="inlineStr">
        <is>
          <t>VÄRMLANDS LÄN</t>
        </is>
      </c>
      <c r="E1339" t="inlineStr">
        <is>
          <t>SUNNE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30669-2021</t>
        </is>
      </c>
      <c r="B1340" s="1" t="n">
        <v>44365.38503472223</v>
      </c>
      <c r="C1340" s="1" t="n">
        <v>46138</v>
      </c>
      <c r="D1340" t="inlineStr">
        <is>
          <t>VÄRMLANDS LÄN</t>
        </is>
      </c>
      <c r="E1340" t="inlineStr">
        <is>
          <t>SUNNE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34951-2025</t>
        </is>
      </c>
      <c r="B1341" s="1" t="n">
        <v>45849.59826388889</v>
      </c>
      <c r="C1341" s="1" t="n">
        <v>46138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12813-2025</t>
        </is>
      </c>
      <c r="B1342" s="1" t="n">
        <v>45733</v>
      </c>
      <c r="C1342" s="1" t="n">
        <v>46138</v>
      </c>
      <c r="D1342" t="inlineStr">
        <is>
          <t>VÄRMLANDS LÄN</t>
        </is>
      </c>
      <c r="E1342" t="inlineStr">
        <is>
          <t>SUNNE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19441-2026</t>
        </is>
      </c>
      <c r="B1343" s="1" t="n">
        <v>46133.6534375</v>
      </c>
      <c r="C1343" s="1" t="n">
        <v>46138</v>
      </c>
      <c r="D1343" t="inlineStr">
        <is>
          <t>VÄRMLANDS LÄN</t>
        </is>
      </c>
      <c r="E1343" t="inlineStr">
        <is>
          <t>SUNNE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7683-2025</t>
        </is>
      </c>
      <c r="B1344" s="1" t="n">
        <v>45706</v>
      </c>
      <c r="C1344" s="1" t="n">
        <v>46138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13015-2026</t>
        </is>
      </c>
      <c r="B1345" s="1" t="n">
        <v>46092.72943287037</v>
      </c>
      <c r="C1345" s="1" t="n">
        <v>46138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19438-2026</t>
        </is>
      </c>
      <c r="B1346" s="1" t="n">
        <v>46129</v>
      </c>
      <c r="C1346" s="1" t="n">
        <v>46138</v>
      </c>
      <c r="D1346" t="inlineStr">
        <is>
          <t>VÄRMLANDS LÄN</t>
        </is>
      </c>
      <c r="E1346" t="inlineStr">
        <is>
          <t>SUNNE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19587-2026</t>
        </is>
      </c>
      <c r="B1347" s="1" t="n">
        <v>46134.46858796296</v>
      </c>
      <c r="C1347" s="1" t="n">
        <v>46138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19449-2026</t>
        </is>
      </c>
      <c r="B1348" s="1" t="n">
        <v>46129</v>
      </c>
      <c r="C1348" s="1" t="n">
        <v>46138</v>
      </c>
      <c r="D1348" t="inlineStr">
        <is>
          <t>VÄRMLANDS LÄN</t>
        </is>
      </c>
      <c r="E1348" t="inlineStr">
        <is>
          <t>SUNNE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19398-2026</t>
        </is>
      </c>
      <c r="B1349" s="1" t="n">
        <v>46133.57969907407</v>
      </c>
      <c r="C1349" s="1" t="n">
        <v>46138</v>
      </c>
      <c r="D1349" t="inlineStr">
        <is>
          <t>VÄRMLANDS LÄN</t>
        </is>
      </c>
      <c r="E1349" t="inlineStr">
        <is>
          <t>SUNNE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35901-2021</t>
        </is>
      </c>
      <c r="B1350" s="1" t="n">
        <v>44387.60369212963</v>
      </c>
      <c r="C1350" s="1" t="n">
        <v>46138</v>
      </c>
      <c r="D1350" t="inlineStr">
        <is>
          <t>VÄRMLANDS LÄN</t>
        </is>
      </c>
      <c r="E1350" t="inlineStr">
        <is>
          <t>SUNNE</t>
        </is>
      </c>
      <c r="G1350" t="n">
        <v>11.9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56029-2023</t>
        </is>
      </c>
      <c r="B1351" s="1" t="n">
        <v>45233</v>
      </c>
      <c r="C1351" s="1" t="n">
        <v>46138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60696-2023</t>
        </is>
      </c>
      <c r="B1352" s="1" t="n">
        <v>45260</v>
      </c>
      <c r="C1352" s="1" t="n">
        <v>46138</v>
      </c>
      <c r="D1352" t="inlineStr">
        <is>
          <t>VÄRMLANDS LÄN</t>
        </is>
      </c>
      <c r="E1352" t="inlineStr">
        <is>
          <t>SUNNE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34375-2023</t>
        </is>
      </c>
      <c r="B1353" s="1" t="n">
        <v>45131</v>
      </c>
      <c r="C1353" s="1" t="n">
        <v>46138</v>
      </c>
      <c r="D1353" t="inlineStr">
        <is>
          <t>VÄRMLANDS LÄN</t>
        </is>
      </c>
      <c r="E1353" t="inlineStr">
        <is>
          <t>SUNNE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37218-2021</t>
        </is>
      </c>
      <c r="B1354" s="1" t="n">
        <v>44396</v>
      </c>
      <c r="C1354" s="1" t="n">
        <v>46138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12408-2024</t>
        </is>
      </c>
      <c r="B1355" s="1" t="n">
        <v>45379.39612268518</v>
      </c>
      <c r="C1355" s="1" t="n">
        <v>46138</v>
      </c>
      <c r="D1355" t="inlineStr">
        <is>
          <t>VÄRMLANDS LÄN</t>
        </is>
      </c>
      <c r="E1355" t="inlineStr">
        <is>
          <t>SUNNE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20057-2024</t>
        </is>
      </c>
      <c r="B1356" s="1" t="n">
        <v>45434.3966087963</v>
      </c>
      <c r="C1356" s="1" t="n">
        <v>46138</v>
      </c>
      <c r="D1356" t="inlineStr">
        <is>
          <t>VÄRMLANDS LÄN</t>
        </is>
      </c>
      <c r="E1356" t="inlineStr">
        <is>
          <t>SUNNE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51420-2021</t>
        </is>
      </c>
      <c r="B1357" s="1" t="n">
        <v>44461.90510416667</v>
      </c>
      <c r="C1357" s="1" t="n">
        <v>46138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7400-2023</t>
        </is>
      </c>
      <c r="B1358" s="1" t="n">
        <v>44971</v>
      </c>
      <c r="C1358" s="1" t="n">
        <v>46138</v>
      </c>
      <c r="D1358" t="inlineStr">
        <is>
          <t>VÄRMLANDS LÄN</t>
        </is>
      </c>
      <c r="E1358" t="inlineStr">
        <is>
          <t>SUNNE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1158-2025</t>
        </is>
      </c>
      <c r="B1359" s="1" t="n">
        <v>45666.76282407407</v>
      </c>
      <c r="C1359" s="1" t="n">
        <v>46138</v>
      </c>
      <c r="D1359" t="inlineStr">
        <is>
          <t>VÄRMLANDS LÄN</t>
        </is>
      </c>
      <c r="E1359" t="inlineStr">
        <is>
          <t>SUNNE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12810-2026</t>
        </is>
      </c>
      <c r="B1360" s="1" t="n">
        <v>46091</v>
      </c>
      <c r="C1360" s="1" t="n">
        <v>46138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19338-2026</t>
        </is>
      </c>
      <c r="B1361" s="1" t="n">
        <v>46133.43494212963</v>
      </c>
      <c r="C1361" s="1" t="n">
        <v>46138</v>
      </c>
      <c r="D1361" t="inlineStr">
        <is>
          <t>VÄRMLANDS LÄN</t>
        </is>
      </c>
      <c r="E1361" t="inlineStr">
        <is>
          <t>SUNNE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2063-2025</t>
        </is>
      </c>
      <c r="B1362" s="1" t="n">
        <v>45672</v>
      </c>
      <c r="C1362" s="1" t="n">
        <v>46138</v>
      </c>
      <c r="D1362" t="inlineStr">
        <is>
          <t>VÄRMLANDS LÄN</t>
        </is>
      </c>
      <c r="E1362" t="inlineStr">
        <is>
          <t>SUNNE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19677-2026</t>
        </is>
      </c>
      <c r="B1363" s="1" t="n">
        <v>46134.64005787037</v>
      </c>
      <c r="C1363" s="1" t="n">
        <v>46138</v>
      </c>
      <c r="D1363" t="inlineStr">
        <is>
          <t>VÄRMLANDS LÄN</t>
        </is>
      </c>
      <c r="E1363" t="inlineStr">
        <is>
          <t>SUNNE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19405-2026</t>
        </is>
      </c>
      <c r="B1364" s="1" t="n">
        <v>46133.58486111111</v>
      </c>
      <c r="C1364" s="1" t="n">
        <v>46138</v>
      </c>
      <c r="D1364" t="inlineStr">
        <is>
          <t>VÄRMLANDS LÄN</t>
        </is>
      </c>
      <c r="E1364" t="inlineStr">
        <is>
          <t>SUNNE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38873-2024</t>
        </is>
      </c>
      <c r="B1365" s="1" t="n">
        <v>45547.64424768519</v>
      </c>
      <c r="C1365" s="1" t="n">
        <v>46138</v>
      </c>
      <c r="D1365" t="inlineStr">
        <is>
          <t>VÄRMLANDS LÄN</t>
        </is>
      </c>
      <c r="E1365" t="inlineStr">
        <is>
          <t>SUNNE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13107-2026</t>
        </is>
      </c>
      <c r="B1366" s="1" t="n">
        <v>46093.42510416666</v>
      </c>
      <c r="C1366" s="1" t="n">
        <v>46138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48108-2023</t>
        </is>
      </c>
      <c r="B1367" s="1" t="n">
        <v>45205.34498842592</v>
      </c>
      <c r="C1367" s="1" t="n">
        <v>46138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13334-2026</t>
        </is>
      </c>
      <c r="B1368" s="1" t="n">
        <v>46094.37185185185</v>
      </c>
      <c r="C1368" s="1" t="n">
        <v>46138</v>
      </c>
      <c r="D1368" t="inlineStr">
        <is>
          <t>VÄRMLANDS LÄN</t>
        </is>
      </c>
      <c r="E1368" t="inlineStr">
        <is>
          <t>SUNNE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13335-2026</t>
        </is>
      </c>
      <c r="B1369" s="1" t="n">
        <v>46094.37289351852</v>
      </c>
      <c r="C1369" s="1" t="n">
        <v>46138</v>
      </c>
      <c r="D1369" t="inlineStr">
        <is>
          <t>VÄRMLANDS LÄN</t>
        </is>
      </c>
      <c r="E1369" t="inlineStr">
        <is>
          <t>SUNNE</t>
        </is>
      </c>
      <c r="F1369" t="inlineStr">
        <is>
          <t>Övriga Aktiebolag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60145-2022</t>
        </is>
      </c>
      <c r="B1370" s="1" t="n">
        <v>44909</v>
      </c>
      <c r="C1370" s="1" t="n">
        <v>46138</v>
      </c>
      <c r="D1370" t="inlineStr">
        <is>
          <t>VÄRMLANDS LÄN</t>
        </is>
      </c>
      <c r="E1370" t="inlineStr">
        <is>
          <t>SUNNE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17830-2023</t>
        </is>
      </c>
      <c r="B1371" s="1" t="n">
        <v>45037</v>
      </c>
      <c r="C1371" s="1" t="n">
        <v>46138</v>
      </c>
      <c r="D1371" t="inlineStr">
        <is>
          <t>VÄRMLANDS LÄN</t>
        </is>
      </c>
      <c r="E1371" t="inlineStr">
        <is>
          <t>SUNNE</t>
        </is>
      </c>
      <c r="G1371" t="n">
        <v>13.1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21920-2023</t>
        </is>
      </c>
      <c r="B1372" s="1" t="n">
        <v>45068</v>
      </c>
      <c r="C1372" s="1" t="n">
        <v>46138</v>
      </c>
      <c r="D1372" t="inlineStr">
        <is>
          <t>VÄRMLANDS LÄN</t>
        </is>
      </c>
      <c r="E1372" t="inlineStr">
        <is>
          <t>SUNNE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7738-2025</t>
        </is>
      </c>
      <c r="B1373" s="1" t="n">
        <v>45706.47546296296</v>
      </c>
      <c r="C1373" s="1" t="n">
        <v>46138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6641-2024</t>
        </is>
      </c>
      <c r="B1374" s="1" t="n">
        <v>45341.65578703704</v>
      </c>
      <c r="C1374" s="1" t="n">
        <v>46138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38776-2024</t>
        </is>
      </c>
      <c r="B1375" s="1" t="n">
        <v>45547.4672337963</v>
      </c>
      <c r="C1375" s="1" t="n">
        <v>46138</v>
      </c>
      <c r="D1375" t="inlineStr">
        <is>
          <t>VÄRMLANDS LÄN</t>
        </is>
      </c>
      <c r="E1375" t="inlineStr">
        <is>
          <t>SUNNE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13381-2026</t>
        </is>
      </c>
      <c r="B1376" s="1" t="n">
        <v>46094</v>
      </c>
      <c r="C1376" s="1" t="n">
        <v>46138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6944-2025</t>
        </is>
      </c>
      <c r="B1377" s="1" t="n">
        <v>45701</v>
      </c>
      <c r="C1377" s="1" t="n">
        <v>46138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31339-2023</t>
        </is>
      </c>
      <c r="B1378" s="1" t="n">
        <v>45114</v>
      </c>
      <c r="C1378" s="1" t="n">
        <v>46138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36926-2024</t>
        </is>
      </c>
      <c r="B1379" s="1" t="n">
        <v>45538.66530092592</v>
      </c>
      <c r="C1379" s="1" t="n">
        <v>46138</v>
      </c>
      <c r="D1379" t="inlineStr">
        <is>
          <t>VÄRMLANDS LÄN</t>
        </is>
      </c>
      <c r="E1379" t="inlineStr">
        <is>
          <t>SUNNE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24536-2023</t>
        </is>
      </c>
      <c r="B1380" s="1" t="n">
        <v>45082</v>
      </c>
      <c r="C1380" s="1" t="n">
        <v>46138</v>
      </c>
      <c r="D1380" t="inlineStr">
        <is>
          <t>VÄRMLANDS LÄN</t>
        </is>
      </c>
      <c r="E1380" t="inlineStr">
        <is>
          <t>SUNNE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13538-2026</t>
        </is>
      </c>
      <c r="B1381" s="1" t="n">
        <v>46094</v>
      </c>
      <c r="C1381" s="1" t="n">
        <v>46138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61216-2024</t>
        </is>
      </c>
      <c r="B1382" s="1" t="n">
        <v>45644</v>
      </c>
      <c r="C1382" s="1" t="n">
        <v>46138</v>
      </c>
      <c r="D1382" t="inlineStr">
        <is>
          <t>VÄRMLANDS LÄN</t>
        </is>
      </c>
      <c r="E1382" t="inlineStr">
        <is>
          <t>SUNNE</t>
        </is>
      </c>
      <c r="G1382" t="n">
        <v>9.800000000000001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834-2024</t>
        </is>
      </c>
      <c r="B1383" s="1" t="n">
        <v>45300</v>
      </c>
      <c r="C1383" s="1" t="n">
        <v>46138</v>
      </c>
      <c r="D1383" t="inlineStr">
        <is>
          <t>VÄRMLANDS LÄN</t>
        </is>
      </c>
      <c r="E1383" t="inlineStr">
        <is>
          <t>SUNNE</t>
        </is>
      </c>
      <c r="F1383" t="inlineStr">
        <is>
          <t>Övriga statliga verk och myndigheter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58757-2021</t>
        </is>
      </c>
      <c r="B1384" s="1" t="n">
        <v>44489.53834490741</v>
      </c>
      <c r="C1384" s="1" t="n">
        <v>46138</v>
      </c>
      <c r="D1384" t="inlineStr">
        <is>
          <t>VÄRMLANDS LÄN</t>
        </is>
      </c>
      <c r="E1384" t="inlineStr">
        <is>
          <t>SUNNE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24796-2023</t>
        </is>
      </c>
      <c r="B1385" s="1" t="n">
        <v>45084.71806712963</v>
      </c>
      <c r="C1385" s="1" t="n">
        <v>46138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51786-2021</t>
        </is>
      </c>
      <c r="B1386" s="1" t="n">
        <v>44462.62216435185</v>
      </c>
      <c r="C1386" s="1" t="n">
        <v>46138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59047-2024</t>
        </is>
      </c>
      <c r="B1387" s="1" t="n">
        <v>45636.77380787037</v>
      </c>
      <c r="C1387" s="1" t="n">
        <v>46138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47162-2024</t>
        </is>
      </c>
      <c r="B1388" s="1" t="n">
        <v>45586.60469907407</v>
      </c>
      <c r="C1388" s="1" t="n">
        <v>46138</v>
      </c>
      <c r="D1388" t="inlineStr">
        <is>
          <t>VÄRMLANDS LÄN</t>
        </is>
      </c>
      <c r="E1388" t="inlineStr">
        <is>
          <t>SUNNE</t>
        </is>
      </c>
      <c r="F1388" t="inlineStr">
        <is>
          <t>Kommuner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2977-2024</t>
        </is>
      </c>
      <c r="B1389" s="1" t="n">
        <v>45315.68362268519</v>
      </c>
      <c r="C1389" s="1" t="n">
        <v>46138</v>
      </c>
      <c r="D1389" t="inlineStr">
        <is>
          <t>VÄRMLANDS LÄN</t>
        </is>
      </c>
      <c r="E1389" t="inlineStr">
        <is>
          <t>SUNNE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38361-2022</t>
        </is>
      </c>
      <c r="B1390" s="1" t="n">
        <v>44812</v>
      </c>
      <c r="C1390" s="1" t="n">
        <v>46138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30974-2023</t>
        </is>
      </c>
      <c r="B1391" s="1" t="n">
        <v>45113</v>
      </c>
      <c r="C1391" s="1" t="n">
        <v>46138</v>
      </c>
      <c r="D1391" t="inlineStr">
        <is>
          <t>VÄRMLANDS LÄN</t>
        </is>
      </c>
      <c r="E1391" t="inlineStr">
        <is>
          <t>SUNNE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12527-2024</t>
        </is>
      </c>
      <c r="B1392" s="1" t="n">
        <v>45379.61871527778</v>
      </c>
      <c r="C1392" s="1" t="n">
        <v>46138</v>
      </c>
      <c r="D1392" t="inlineStr">
        <is>
          <t>VÄRMLANDS LÄN</t>
        </is>
      </c>
      <c r="E1392" t="inlineStr">
        <is>
          <t>SUNNE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42388-2022</t>
        </is>
      </c>
      <c r="B1393" s="1" t="n">
        <v>44831</v>
      </c>
      <c r="C1393" s="1" t="n">
        <v>46138</v>
      </c>
      <c r="D1393" t="inlineStr">
        <is>
          <t>VÄRMLANDS LÄN</t>
        </is>
      </c>
      <c r="E1393" t="inlineStr">
        <is>
          <t>SUNNE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9445-2024</t>
        </is>
      </c>
      <c r="B1394" s="1" t="n">
        <v>45359.50938657407</v>
      </c>
      <c r="C1394" s="1" t="n">
        <v>46138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46790-2024</t>
        </is>
      </c>
      <c r="B1395" s="1" t="n">
        <v>45583</v>
      </c>
      <c r="C1395" s="1" t="n">
        <v>46138</v>
      </c>
      <c r="D1395" t="inlineStr">
        <is>
          <t>VÄRMLANDS LÄN</t>
        </is>
      </c>
      <c r="E1395" t="inlineStr">
        <is>
          <t>SUNNE</t>
        </is>
      </c>
      <c r="F1395" t="inlineStr">
        <is>
          <t>Kommuner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60999-2024</t>
        </is>
      </c>
      <c r="B1396" s="1" t="n">
        <v>45645.43425925926</v>
      </c>
      <c r="C1396" s="1" t="n">
        <v>46138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18740-2024</t>
        </is>
      </c>
      <c r="B1397" s="1" t="n">
        <v>45426.49829861111</v>
      </c>
      <c r="C1397" s="1" t="n">
        <v>46138</v>
      </c>
      <c r="D1397" t="inlineStr">
        <is>
          <t>VÄRMLANDS LÄN</t>
        </is>
      </c>
      <c r="E1397" t="inlineStr">
        <is>
          <t>SUNNE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1759-2022</t>
        </is>
      </c>
      <c r="B1398" s="1" t="n">
        <v>44574</v>
      </c>
      <c r="C1398" s="1" t="n">
        <v>46138</v>
      </c>
      <c r="D1398" t="inlineStr">
        <is>
          <t>VÄRMLANDS LÄN</t>
        </is>
      </c>
      <c r="E1398" t="inlineStr">
        <is>
          <t>SUNNE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2519-2022</t>
        </is>
      </c>
      <c r="B1399" s="1" t="n">
        <v>44579</v>
      </c>
      <c r="C1399" s="1" t="n">
        <v>46138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52580-2024</t>
        </is>
      </c>
      <c r="B1400" s="1" t="n">
        <v>45609</v>
      </c>
      <c r="C1400" s="1" t="n">
        <v>46138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11505-2024</t>
        </is>
      </c>
      <c r="B1401" s="1" t="n">
        <v>45372</v>
      </c>
      <c r="C1401" s="1" t="n">
        <v>46138</v>
      </c>
      <c r="D1401" t="inlineStr">
        <is>
          <t>VÄRMLANDS LÄN</t>
        </is>
      </c>
      <c r="E1401" t="inlineStr">
        <is>
          <t>SUNNE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18353-2025</t>
        </is>
      </c>
      <c r="B1402" s="1" t="n">
        <v>45762</v>
      </c>
      <c r="C1402" s="1" t="n">
        <v>46138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18359-2025</t>
        </is>
      </c>
      <c r="B1403" s="1" t="n">
        <v>45762</v>
      </c>
      <c r="C1403" s="1" t="n">
        <v>46138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59694-2022</t>
        </is>
      </c>
      <c r="B1404" s="1" t="n">
        <v>44908.38121527778</v>
      </c>
      <c r="C1404" s="1" t="n">
        <v>46138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56652-2022</t>
        </is>
      </c>
      <c r="B1405" s="1" t="n">
        <v>44893.63410879629</v>
      </c>
      <c r="C1405" s="1" t="n">
        <v>46138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57939-2022</t>
        </is>
      </c>
      <c r="B1406" s="1" t="n">
        <v>44900.3946412037</v>
      </c>
      <c r="C1406" s="1" t="n">
        <v>46138</v>
      </c>
      <c r="D1406" t="inlineStr">
        <is>
          <t>VÄRMLANDS LÄN</t>
        </is>
      </c>
      <c r="E1406" t="inlineStr">
        <is>
          <t>SUNNE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52309-2024</t>
        </is>
      </c>
      <c r="B1407" s="1" t="n">
        <v>45608.82700231481</v>
      </c>
      <c r="C1407" s="1" t="n">
        <v>46138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40174-2021</t>
        </is>
      </c>
      <c r="B1408" s="1" t="n">
        <v>44418</v>
      </c>
      <c r="C1408" s="1" t="n">
        <v>46138</v>
      </c>
      <c r="D1408" t="inlineStr">
        <is>
          <t>VÄRMLANDS LÄN</t>
        </is>
      </c>
      <c r="E1408" t="inlineStr">
        <is>
          <t>SUNNE</t>
        </is>
      </c>
      <c r="F1408" t="inlineStr">
        <is>
          <t>Övriga Aktiebolag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63095-2023</t>
        </is>
      </c>
      <c r="B1409" s="1" t="n">
        <v>45273.39255787037</v>
      </c>
      <c r="C1409" s="1" t="n">
        <v>46138</v>
      </c>
      <c r="D1409" t="inlineStr">
        <is>
          <t>VÄRMLANDS LÄN</t>
        </is>
      </c>
      <c r="E1409" t="inlineStr">
        <is>
          <t>SUNNE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52521-2023</t>
        </is>
      </c>
      <c r="B1410" s="1" t="n">
        <v>45225.50306712963</v>
      </c>
      <c r="C1410" s="1" t="n">
        <v>46138</v>
      </c>
      <c r="D1410" t="inlineStr">
        <is>
          <t>VÄRMLANDS LÄN</t>
        </is>
      </c>
      <c r="E1410" t="inlineStr">
        <is>
          <t>SUNNE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62183-2022</t>
        </is>
      </c>
      <c r="B1411" s="1" t="n">
        <v>44922.55553240741</v>
      </c>
      <c r="C1411" s="1" t="n">
        <v>46138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20236-2022</t>
        </is>
      </c>
      <c r="B1412" s="1" t="n">
        <v>44698</v>
      </c>
      <c r="C1412" s="1" t="n">
        <v>46138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23406-2022</t>
        </is>
      </c>
      <c r="B1413" s="1" t="n">
        <v>44720</v>
      </c>
      <c r="C1413" s="1" t="n">
        <v>46138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60701-2024</t>
        </is>
      </c>
      <c r="B1414" s="1" t="n">
        <v>45644.48877314815</v>
      </c>
      <c r="C1414" s="1" t="n">
        <v>46138</v>
      </c>
      <c r="D1414" t="inlineStr">
        <is>
          <t>VÄRMLANDS LÄN</t>
        </is>
      </c>
      <c r="E1414" t="inlineStr">
        <is>
          <t>SUNNE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50346-2023</t>
        </is>
      </c>
      <c r="B1415" s="1" t="n">
        <v>45216.57738425926</v>
      </c>
      <c r="C1415" s="1" t="n">
        <v>46138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47456-2023</t>
        </is>
      </c>
      <c r="B1416" s="1" t="n">
        <v>45202</v>
      </c>
      <c r="C1416" s="1" t="n">
        <v>46138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6697-2022</t>
        </is>
      </c>
      <c r="B1417" s="1" t="n">
        <v>44602.42381944445</v>
      </c>
      <c r="C1417" s="1" t="n">
        <v>46138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44896-2021</t>
        </is>
      </c>
      <c r="B1418" s="1" t="n">
        <v>44438</v>
      </c>
      <c r="C1418" s="1" t="n">
        <v>46138</v>
      </c>
      <c r="D1418" t="inlineStr">
        <is>
          <t>VÄRMLANDS LÄN</t>
        </is>
      </c>
      <c r="E1418" t="inlineStr">
        <is>
          <t>SUNNE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15741-2025</t>
        </is>
      </c>
      <c r="B1419" s="1" t="n">
        <v>45747</v>
      </c>
      <c r="C1419" s="1" t="n">
        <v>46138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15752-2025</t>
        </is>
      </c>
      <c r="B1420" s="1" t="n">
        <v>45748.55623842592</v>
      </c>
      <c r="C1420" s="1" t="n">
        <v>46138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6566-2023</t>
        </is>
      </c>
      <c r="B1421" s="1" t="n">
        <v>44966</v>
      </c>
      <c r="C1421" s="1" t="n">
        <v>46138</v>
      </c>
      <c r="D1421" t="inlineStr">
        <is>
          <t>VÄRMLANDS LÄN</t>
        </is>
      </c>
      <c r="E1421" t="inlineStr">
        <is>
          <t>SUNNE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19494-2023</t>
        </is>
      </c>
      <c r="B1422" s="1" t="n">
        <v>45050</v>
      </c>
      <c r="C1422" s="1" t="n">
        <v>46138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50753-2024</t>
        </is>
      </c>
      <c r="B1423" s="1" t="n">
        <v>45602.42717592593</v>
      </c>
      <c r="C1423" s="1" t="n">
        <v>46138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45665-2023</t>
        </is>
      </c>
      <c r="B1424" s="1" t="n">
        <v>45194</v>
      </c>
      <c r="C1424" s="1" t="n">
        <v>46138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53-2023</t>
        </is>
      </c>
      <c r="B1425" s="1" t="n">
        <v>44928.4027199074</v>
      </c>
      <c r="C1425" s="1" t="n">
        <v>46138</v>
      </c>
      <c r="D1425" t="inlineStr">
        <is>
          <t>VÄRMLANDS LÄN</t>
        </is>
      </c>
      <c r="E1425" t="inlineStr">
        <is>
          <t>SUNNE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21632-2024</t>
        </is>
      </c>
      <c r="B1426" s="1" t="n">
        <v>45442.33895833333</v>
      </c>
      <c r="C1426" s="1" t="n">
        <v>46138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4566-2022</t>
        </is>
      </c>
      <c r="B1427" s="1" t="n">
        <v>44591.63807870371</v>
      </c>
      <c r="C1427" s="1" t="n">
        <v>46138</v>
      </c>
      <c r="D1427" t="inlineStr">
        <is>
          <t>VÄRMLANDS LÄN</t>
        </is>
      </c>
      <c r="E1427" t="inlineStr">
        <is>
          <t>SUNNE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72781-2021</t>
        </is>
      </c>
      <c r="B1428" s="1" t="n">
        <v>44547.33819444444</v>
      </c>
      <c r="C1428" s="1" t="n">
        <v>46138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20156-2023</t>
        </is>
      </c>
      <c r="B1429" s="1" t="n">
        <v>45055</v>
      </c>
      <c r="C1429" s="1" t="n">
        <v>46138</v>
      </c>
      <c r="D1429" t="inlineStr">
        <is>
          <t>VÄRMLANDS LÄN</t>
        </is>
      </c>
      <c r="E1429" t="inlineStr">
        <is>
          <t>SUNNE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10394-2024</t>
        </is>
      </c>
      <c r="B1430" s="1" t="n">
        <v>45365.66694444444</v>
      </c>
      <c r="C1430" s="1" t="n">
        <v>46138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26608-2023</t>
        </is>
      </c>
      <c r="B1431" s="1" t="n">
        <v>45092</v>
      </c>
      <c r="C1431" s="1" t="n">
        <v>46138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34553-2024</t>
        </is>
      </c>
      <c r="B1432" s="1" t="n">
        <v>45525</v>
      </c>
      <c r="C1432" s="1" t="n">
        <v>46138</v>
      </c>
      <c r="D1432" t="inlineStr">
        <is>
          <t>VÄRMLANDS LÄN</t>
        </is>
      </c>
      <c r="E1432" t="inlineStr">
        <is>
          <t>SUNNE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42447-2023</t>
        </is>
      </c>
      <c r="B1433" s="1" t="n">
        <v>45180</v>
      </c>
      <c r="C1433" s="1" t="n">
        <v>46138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9742-2025</t>
        </is>
      </c>
      <c r="B1434" s="1" t="n">
        <v>45716</v>
      </c>
      <c r="C1434" s="1" t="n">
        <v>46138</v>
      </c>
      <c r="D1434" t="inlineStr">
        <is>
          <t>VÄRMLANDS LÄN</t>
        </is>
      </c>
      <c r="E1434" t="inlineStr">
        <is>
          <t>SUNNE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1958-2024</t>
        </is>
      </c>
      <c r="B1435" s="1" t="n">
        <v>45308</v>
      </c>
      <c r="C1435" s="1" t="n">
        <v>46138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25797-2024</t>
        </is>
      </c>
      <c r="B1436" s="1" t="n">
        <v>45467.35356481482</v>
      </c>
      <c r="C1436" s="1" t="n">
        <v>46138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48028-2023</t>
        </is>
      </c>
      <c r="B1437" s="1" t="n">
        <v>45204.7071875</v>
      </c>
      <c r="C1437" s="1" t="n">
        <v>46138</v>
      </c>
      <c r="D1437" t="inlineStr">
        <is>
          <t>VÄRMLANDS LÄN</t>
        </is>
      </c>
      <c r="E1437" t="inlineStr">
        <is>
          <t>SUNNE</t>
        </is>
      </c>
      <c r="G1437" t="n">
        <v>9.199999999999999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48053-2023</t>
        </is>
      </c>
      <c r="B1438" s="1" t="n">
        <v>45204</v>
      </c>
      <c r="C1438" s="1" t="n">
        <v>46138</v>
      </c>
      <c r="D1438" t="inlineStr">
        <is>
          <t>VÄRMLANDS LÄN</t>
        </is>
      </c>
      <c r="E1438" t="inlineStr">
        <is>
          <t>SUNNE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46071-2023</t>
        </is>
      </c>
      <c r="B1439" s="1" t="n">
        <v>45196.46587962963</v>
      </c>
      <c r="C1439" s="1" t="n">
        <v>46138</v>
      </c>
      <c r="D1439" t="inlineStr">
        <is>
          <t>VÄRMLANDS LÄN</t>
        </is>
      </c>
      <c r="E1439" t="inlineStr">
        <is>
          <t>SUNNE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17030-2023</t>
        </is>
      </c>
      <c r="B1440" s="1" t="n">
        <v>45034.39105324074</v>
      </c>
      <c r="C1440" s="1" t="n">
        <v>46138</v>
      </c>
      <c r="D1440" t="inlineStr">
        <is>
          <t>VÄRMLANDS LÄN</t>
        </is>
      </c>
      <c r="E1440" t="inlineStr">
        <is>
          <t>SUNNE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1304-2025</t>
        </is>
      </c>
      <c r="B1441" s="1" t="n">
        <v>45667.54837962963</v>
      </c>
      <c r="C1441" s="1" t="n">
        <v>46138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28925-2023</t>
        </is>
      </c>
      <c r="B1442" s="1" t="n">
        <v>45104</v>
      </c>
      <c r="C1442" s="1" t="n">
        <v>46138</v>
      </c>
      <c r="D1442" t="inlineStr">
        <is>
          <t>VÄRMLANDS LÄN</t>
        </is>
      </c>
      <c r="E1442" t="inlineStr">
        <is>
          <t>SUNNE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18389-2025</t>
        </is>
      </c>
      <c r="B1443" s="1" t="n">
        <v>45762</v>
      </c>
      <c r="C1443" s="1" t="n">
        <v>46138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10252-2024</t>
        </is>
      </c>
      <c r="B1444" s="1" t="n">
        <v>45365</v>
      </c>
      <c r="C1444" s="1" t="n">
        <v>46138</v>
      </c>
      <c r="D1444" t="inlineStr">
        <is>
          <t>VÄRMLANDS LÄN</t>
        </is>
      </c>
      <c r="E1444" t="inlineStr">
        <is>
          <t>SUNNE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31525-2021</t>
        </is>
      </c>
      <c r="B1445" s="1" t="n">
        <v>44369</v>
      </c>
      <c r="C1445" s="1" t="n">
        <v>46138</v>
      </c>
      <c r="D1445" t="inlineStr">
        <is>
          <t>VÄRMLANDS LÄN</t>
        </is>
      </c>
      <c r="E1445" t="inlineStr">
        <is>
          <t>SUNNE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51851-2023</t>
        </is>
      </c>
      <c r="B1446" s="1" t="n">
        <v>45223.34915509259</v>
      </c>
      <c r="C1446" s="1" t="n">
        <v>46138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19340-2022</t>
        </is>
      </c>
      <c r="B1447" s="1" t="n">
        <v>44692.64092592592</v>
      </c>
      <c r="C1447" s="1" t="n">
        <v>46138</v>
      </c>
      <c r="D1447" t="inlineStr">
        <is>
          <t>VÄRMLANDS LÄN</t>
        </is>
      </c>
      <c r="E1447" t="inlineStr">
        <is>
          <t>SUNNE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14877-2025</t>
        </is>
      </c>
      <c r="B1448" s="1" t="n">
        <v>45743.46116898148</v>
      </c>
      <c r="C1448" s="1" t="n">
        <v>46138</v>
      </c>
      <c r="D1448" t="inlineStr">
        <is>
          <t>VÄRMLANDS LÄN</t>
        </is>
      </c>
      <c r="E1448" t="inlineStr">
        <is>
          <t>SUNNE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50775-2024</t>
        </is>
      </c>
      <c r="B1449" s="1" t="n">
        <v>45602</v>
      </c>
      <c r="C1449" s="1" t="n">
        <v>46138</v>
      </c>
      <c r="D1449" t="inlineStr">
        <is>
          <t>VÄRMLANDS LÄN</t>
        </is>
      </c>
      <c r="E1449" t="inlineStr">
        <is>
          <t>SUNNE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46138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33765-2022</t>
        </is>
      </c>
      <c r="B1451" s="1" t="n">
        <v>44790</v>
      </c>
      <c r="C1451" s="1" t="n">
        <v>46138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18426-2025</t>
        </is>
      </c>
      <c r="B1452" s="1" t="n">
        <v>45762.62719907407</v>
      </c>
      <c r="C1452" s="1" t="n">
        <v>46138</v>
      </c>
      <c r="D1452" t="inlineStr">
        <is>
          <t>VÄRMLANDS LÄN</t>
        </is>
      </c>
      <c r="E1452" t="inlineStr">
        <is>
          <t>SUNNE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9840-2023</t>
        </is>
      </c>
      <c r="B1453" s="1" t="n">
        <v>44984</v>
      </c>
      <c r="C1453" s="1" t="n">
        <v>46138</v>
      </c>
      <c r="D1453" t="inlineStr">
        <is>
          <t>VÄRMLANDS LÄN</t>
        </is>
      </c>
      <c r="E1453" t="inlineStr">
        <is>
          <t>SUNNE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60689-2023</t>
        </is>
      </c>
      <c r="B1454" s="1" t="n">
        <v>45260</v>
      </c>
      <c r="C1454" s="1" t="n">
        <v>46138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58851-2023</t>
        </is>
      </c>
      <c r="B1455" s="1" t="n">
        <v>45252</v>
      </c>
      <c r="C1455" s="1" t="n">
        <v>46138</v>
      </c>
      <c r="D1455" t="inlineStr">
        <is>
          <t>VÄRMLANDS LÄN</t>
        </is>
      </c>
      <c r="E1455" t="inlineStr">
        <is>
          <t>SUNNE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36686-2021</t>
        </is>
      </c>
      <c r="B1456" s="1" t="n">
        <v>44392.48008101852</v>
      </c>
      <c r="C1456" s="1" t="n">
        <v>46138</v>
      </c>
      <c r="D1456" t="inlineStr">
        <is>
          <t>VÄRMLANDS LÄN</t>
        </is>
      </c>
      <c r="E1456" t="inlineStr">
        <is>
          <t>SUNNE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34055-2023</t>
        </is>
      </c>
      <c r="B1457" s="1" t="n">
        <v>45125</v>
      </c>
      <c r="C1457" s="1" t="n">
        <v>46138</v>
      </c>
      <c r="D1457" t="inlineStr">
        <is>
          <t>VÄRMLANDS LÄN</t>
        </is>
      </c>
      <c r="E1457" t="inlineStr">
        <is>
          <t>SUNNE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17036-2023</t>
        </is>
      </c>
      <c r="B1458" s="1" t="n">
        <v>45034</v>
      </c>
      <c r="C1458" s="1" t="n">
        <v>46138</v>
      </c>
      <c r="D1458" t="inlineStr">
        <is>
          <t>VÄRMLANDS LÄN</t>
        </is>
      </c>
      <c r="E1458" t="inlineStr">
        <is>
          <t>SUNNE</t>
        </is>
      </c>
      <c r="F1458" t="inlineStr">
        <is>
          <t>Övriga Aktiebolag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20457-2025</t>
        </is>
      </c>
      <c r="B1459" s="1" t="n">
        <v>45775.5158912037</v>
      </c>
      <c r="C1459" s="1" t="n">
        <v>46138</v>
      </c>
      <c r="D1459" t="inlineStr">
        <is>
          <t>VÄRMLANDS LÄN</t>
        </is>
      </c>
      <c r="E1459" t="inlineStr">
        <is>
          <t>SUNNE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27991-2023</t>
        </is>
      </c>
      <c r="B1460" s="1" t="n">
        <v>45098.86320601852</v>
      </c>
      <c r="C1460" s="1" t="n">
        <v>46138</v>
      </c>
      <c r="D1460" t="inlineStr">
        <is>
          <t>VÄRMLANDS LÄN</t>
        </is>
      </c>
      <c r="E1460" t="inlineStr">
        <is>
          <t>SUNNE</t>
        </is>
      </c>
      <c r="G1460" t="n">
        <v>13.9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55423-2021</t>
        </is>
      </c>
      <c r="B1461" s="1" t="n">
        <v>44475</v>
      </c>
      <c r="C1461" s="1" t="n">
        <v>46138</v>
      </c>
      <c r="D1461" t="inlineStr">
        <is>
          <t>VÄRMLANDS LÄN</t>
        </is>
      </c>
      <c r="E1461" t="inlineStr">
        <is>
          <t>SUNNE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55430-2021</t>
        </is>
      </c>
      <c r="B1462" s="1" t="n">
        <v>44475</v>
      </c>
      <c r="C1462" s="1" t="n">
        <v>46138</v>
      </c>
      <c r="D1462" t="inlineStr">
        <is>
          <t>VÄRMLANDS LÄN</t>
        </is>
      </c>
      <c r="E1462" t="inlineStr">
        <is>
          <t>SUNNE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16712-2025</t>
        </is>
      </c>
      <c r="B1463" s="1" t="n">
        <v>45754.48180555556</v>
      </c>
      <c r="C1463" s="1" t="n">
        <v>46138</v>
      </c>
      <c r="D1463" t="inlineStr">
        <is>
          <t>VÄRMLANDS LÄN</t>
        </is>
      </c>
      <c r="E1463" t="inlineStr">
        <is>
          <t>SUNNE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252-2022</t>
        </is>
      </c>
      <c r="B1464" s="1" t="n">
        <v>44565</v>
      </c>
      <c r="C1464" s="1" t="n">
        <v>46138</v>
      </c>
      <c r="D1464" t="inlineStr">
        <is>
          <t>VÄRMLANDS LÄN</t>
        </is>
      </c>
      <c r="E1464" t="inlineStr">
        <is>
          <t>SUNNE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4564-2025</t>
        </is>
      </c>
      <c r="B1465" s="1" t="n">
        <v>45687.46071759259</v>
      </c>
      <c r="C1465" s="1" t="n">
        <v>46138</v>
      </c>
      <c r="D1465" t="inlineStr">
        <is>
          <t>VÄRMLANDS LÄN</t>
        </is>
      </c>
      <c r="E1465" t="inlineStr">
        <is>
          <t>SUNNE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55079-2022</t>
        </is>
      </c>
      <c r="B1466" s="1" t="n">
        <v>44886</v>
      </c>
      <c r="C1466" s="1" t="n">
        <v>46138</v>
      </c>
      <c r="D1466" t="inlineStr">
        <is>
          <t>VÄRMLANDS LÄN</t>
        </is>
      </c>
      <c r="E1466" t="inlineStr">
        <is>
          <t>SUNNE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44096-2024</t>
        </is>
      </c>
      <c r="B1467" s="1" t="n">
        <v>45572.6249537037</v>
      </c>
      <c r="C1467" s="1" t="n">
        <v>46138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7287-2025</t>
        </is>
      </c>
      <c r="B1468" s="1" t="n">
        <v>45702</v>
      </c>
      <c r="C1468" s="1" t="n">
        <v>46138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30304-2024</t>
        </is>
      </c>
      <c r="B1469" s="1" t="n">
        <v>45490.69657407407</v>
      </c>
      <c r="C1469" s="1" t="n">
        <v>46138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18925-2025</t>
        </is>
      </c>
      <c r="B1470" s="1" t="n">
        <v>45764</v>
      </c>
      <c r="C1470" s="1" t="n">
        <v>46138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46120-2023</t>
        </is>
      </c>
      <c r="B1471" s="1" t="n">
        <v>45196.55380787037</v>
      </c>
      <c r="C1471" s="1" t="n">
        <v>46138</v>
      </c>
      <c r="D1471" t="inlineStr">
        <is>
          <t>VÄRMLANDS LÄN</t>
        </is>
      </c>
      <c r="E1471" t="inlineStr">
        <is>
          <t>SUNNE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6434-2023</t>
        </is>
      </c>
      <c r="B1472" s="1" t="n">
        <v>44965.87659722222</v>
      </c>
      <c r="C1472" s="1" t="n">
        <v>46138</v>
      </c>
      <c r="D1472" t="inlineStr">
        <is>
          <t>VÄRMLANDS LÄN</t>
        </is>
      </c>
      <c r="E1472" t="inlineStr">
        <is>
          <t>SUNNE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62149-2024</t>
        </is>
      </c>
      <c r="B1473" s="1" t="n">
        <v>45646</v>
      </c>
      <c r="C1473" s="1" t="n">
        <v>46138</v>
      </c>
      <c r="D1473" t="inlineStr">
        <is>
          <t>VÄRMLANDS LÄN</t>
        </is>
      </c>
      <c r="E1473" t="inlineStr">
        <is>
          <t>SUNNE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29489-2022</t>
        </is>
      </c>
      <c r="B1474" s="1" t="n">
        <v>44753</v>
      </c>
      <c r="C1474" s="1" t="n">
        <v>46138</v>
      </c>
      <c r="D1474" t="inlineStr">
        <is>
          <t>VÄRMLANDS LÄN</t>
        </is>
      </c>
      <c r="E1474" t="inlineStr">
        <is>
          <t>SUNNE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57316-2021</t>
        </is>
      </c>
      <c r="B1475" s="1" t="n">
        <v>44483</v>
      </c>
      <c r="C1475" s="1" t="n">
        <v>46138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42523-2023</t>
        </is>
      </c>
      <c r="B1476" s="1" t="n">
        <v>45181</v>
      </c>
      <c r="C1476" s="1" t="n">
        <v>46138</v>
      </c>
      <c r="D1476" t="inlineStr">
        <is>
          <t>VÄRMLANDS LÄN</t>
        </is>
      </c>
      <c r="E1476" t="inlineStr">
        <is>
          <t>SUNNE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48237-2021</t>
        </is>
      </c>
      <c r="B1477" s="1" t="n">
        <v>44449</v>
      </c>
      <c r="C1477" s="1" t="n">
        <v>46138</v>
      </c>
      <c r="D1477" t="inlineStr">
        <is>
          <t>VÄRMLANDS LÄN</t>
        </is>
      </c>
      <c r="E1477" t="inlineStr">
        <is>
          <t>SUNNE</t>
        </is>
      </c>
      <c r="G1477" t="n">
        <v>0.1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20017-2025</t>
        </is>
      </c>
      <c r="B1478" s="1" t="n">
        <v>45772.31625</v>
      </c>
      <c r="C1478" s="1" t="n">
        <v>46138</v>
      </c>
      <c r="D1478" t="inlineStr">
        <is>
          <t>VÄRMLANDS LÄN</t>
        </is>
      </c>
      <c r="E1478" t="inlineStr">
        <is>
          <t>SUNNE</t>
        </is>
      </c>
      <c r="F1478" t="inlineStr">
        <is>
          <t>Övriga statliga verk och myndigheter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10509-2024</t>
        </is>
      </c>
      <c r="B1479" s="1" t="n">
        <v>45366</v>
      </c>
      <c r="C1479" s="1" t="n">
        <v>46138</v>
      </c>
      <c r="D1479" t="inlineStr">
        <is>
          <t>VÄRMLANDS LÄN</t>
        </is>
      </c>
      <c r="E1479" t="inlineStr">
        <is>
          <t>SUNNE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56433-2022</t>
        </is>
      </c>
      <c r="B1480" s="1" t="n">
        <v>44891.82001157408</v>
      </c>
      <c r="C1480" s="1" t="n">
        <v>46138</v>
      </c>
      <c r="D1480" t="inlineStr">
        <is>
          <t>VÄRMLANDS LÄN</t>
        </is>
      </c>
      <c r="E1480" t="inlineStr">
        <is>
          <t>SUNNE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54036-2022</t>
        </is>
      </c>
      <c r="B1481" s="1" t="n">
        <v>44881.45065972222</v>
      </c>
      <c r="C1481" s="1" t="n">
        <v>46138</v>
      </c>
      <c r="D1481" t="inlineStr">
        <is>
          <t>VÄRMLANDS LÄN</t>
        </is>
      </c>
      <c r="E1481" t="inlineStr">
        <is>
          <t>SUNNE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44623-2023</t>
        </is>
      </c>
      <c r="B1482" s="1" t="n">
        <v>45189.64806712963</v>
      </c>
      <c r="C1482" s="1" t="n">
        <v>46138</v>
      </c>
      <c r="D1482" t="inlineStr">
        <is>
          <t>VÄRMLANDS LÄN</t>
        </is>
      </c>
      <c r="E1482" t="inlineStr">
        <is>
          <t>SUNNE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31702-2024</t>
        </is>
      </c>
      <c r="B1483" s="1" t="n">
        <v>45508</v>
      </c>
      <c r="C1483" s="1" t="n">
        <v>46138</v>
      </c>
      <c r="D1483" t="inlineStr">
        <is>
          <t>VÄRMLANDS LÄN</t>
        </is>
      </c>
      <c r="E1483" t="inlineStr">
        <is>
          <t>SUNNE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52512-2023</t>
        </is>
      </c>
      <c r="B1484" s="1" t="n">
        <v>45225.47777777778</v>
      </c>
      <c r="C1484" s="1" t="n">
        <v>46138</v>
      </c>
      <c r="D1484" t="inlineStr">
        <is>
          <t>VÄRMLANDS LÄN</t>
        </is>
      </c>
      <c r="E1484" t="inlineStr">
        <is>
          <t>SUNNE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49887-2021</t>
        </is>
      </c>
      <c r="B1485" s="1" t="n">
        <v>44455</v>
      </c>
      <c r="C1485" s="1" t="n">
        <v>46138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46138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28968-2021</t>
        </is>
      </c>
      <c r="B1487" s="1" t="n">
        <v>44358</v>
      </c>
      <c r="C1487" s="1" t="n">
        <v>46138</v>
      </c>
      <c r="D1487" t="inlineStr">
        <is>
          <t>VÄRMLANDS LÄN</t>
        </is>
      </c>
      <c r="E1487" t="inlineStr">
        <is>
          <t>SUNNE</t>
        </is>
      </c>
      <c r="G1487" t="n">
        <v>16.6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37790-2024</t>
        </is>
      </c>
      <c r="B1488" s="1" t="n">
        <v>45543.32729166667</v>
      </c>
      <c r="C1488" s="1" t="n">
        <v>46138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19497-2023</t>
        </is>
      </c>
      <c r="B1489" s="1" t="n">
        <v>45050</v>
      </c>
      <c r="C1489" s="1" t="n">
        <v>46138</v>
      </c>
      <c r="D1489" t="inlineStr">
        <is>
          <t>VÄRMLANDS LÄN</t>
        </is>
      </c>
      <c r="E1489" t="inlineStr">
        <is>
          <t>SUNNE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8941-2023</t>
        </is>
      </c>
      <c r="B1490" s="1" t="n">
        <v>44979.45167824074</v>
      </c>
      <c r="C1490" s="1" t="n">
        <v>46138</v>
      </c>
      <c r="D1490" t="inlineStr">
        <is>
          <t>VÄRMLANDS LÄN</t>
        </is>
      </c>
      <c r="E1490" t="inlineStr">
        <is>
          <t>SUNNE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3392-2025</t>
        </is>
      </c>
      <c r="B1491" s="1" t="n">
        <v>45680.36237268519</v>
      </c>
      <c r="C1491" s="1" t="n">
        <v>46138</v>
      </c>
      <c r="D1491" t="inlineStr">
        <is>
          <t>VÄRMLANDS LÄN</t>
        </is>
      </c>
      <c r="E1491" t="inlineStr">
        <is>
          <t>SUNNE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2026-04-26T10:52:17Z</dcterms:created>
  <dcterms:modified xmlns:dcterms="http://purl.org/dc/terms/" xmlns:xsi="http://www.w3.org/2001/XMLSchema-instance" xsi:type="dcterms:W3CDTF">2026-04-26T10:52:18Z</dcterms:modified>
</cp:coreProperties>
</file>