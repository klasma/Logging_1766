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45744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45744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45744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45744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45744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45744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45744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45744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45744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45744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45744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HYPERLINK("https://klasma.github.io/Logging_1766/artfynd/A 13181-2025 artfynd.xlsx", "A 13181-2025")</f>
        <v/>
      </c>
      <c r="T12">
        <f>HYPERLINK("https://klasma.github.io/Logging_1766/kartor/A 13181-2025 karta.png", "A 13181-2025")</f>
        <v/>
      </c>
      <c r="V12">
        <f>HYPERLINK("https://klasma.github.io/Logging_1766/klagomål/A 13181-2025 FSC-klagomål.docx", "A 13181-2025")</f>
        <v/>
      </c>
      <c r="W12">
        <f>HYPERLINK("https://klasma.github.io/Logging_1766/klagomålsmail/A 13181-2025 FSC-klagomål mail.docx", "A 13181-2025")</f>
        <v/>
      </c>
      <c r="X12">
        <f>HYPERLINK("https://klasma.github.io/Logging_1766/tillsyn/A 13181-2025 tillsynsbegäran.docx", "A 13181-2025")</f>
        <v/>
      </c>
      <c r="Y12">
        <f>HYPERLINK("https://klasma.github.io/Logging_1766/tillsynsmail/A 13181-2025 tillsynsbegäran mail.docx", "A 13181-2025")</f>
        <v/>
      </c>
      <c r="Z12">
        <f>HYPERLINK("https://klasma.github.io/Logging_1766/fåglar/A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45744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45744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45744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45744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45744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45744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45744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45744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45744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45744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45744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45744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45744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45744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45744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45744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45744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45744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45744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45744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45744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45744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45744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45744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45744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45744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45744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45744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45744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45744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45744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45744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45744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45744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45744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45744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45744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45744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45744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45744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45744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45744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45744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45744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45744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45744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45744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45744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45744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45744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45744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45744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45744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45744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45744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45744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45744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45744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45744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45744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45744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45744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45744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45744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45744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45744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45744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45744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45744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45744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45744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45744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45744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45744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45744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45744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45744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45744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45744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45744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45744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45744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45744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45744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45744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45744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45744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45744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45744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45744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45744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45744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45744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45744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45744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45744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45744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45744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45744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45744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45744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45744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45744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45744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45744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45744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45744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45744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45744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45744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45744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45744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45744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45744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45744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45744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45744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45744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45744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45744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45744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45744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45744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45744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45744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45744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45744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45744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45744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45744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45744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45744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45744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45744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45744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45744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45744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45744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45744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45744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45744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45744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45744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45744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45744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45744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45744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45744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45744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45744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45744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45744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45744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45744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45744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45744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45744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45744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45744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45744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45744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45744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45744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45744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45744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45744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45744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45744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45744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45744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45744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45744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45744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45744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45744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45744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45744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45744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45744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45744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45744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45744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45744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45744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45744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45744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45744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45744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45744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45744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45744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45744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45744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45744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45744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45744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45744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45744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45744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45744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45744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45744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45744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45744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45744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45744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45744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45744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45744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45744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45744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45744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45744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45744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45744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45744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45744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45744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45744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45744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45744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45744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45744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45744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45744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45744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45744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45744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45744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45744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45744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45744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45744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45744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45744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45744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45744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45744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45744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45744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45744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45744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45744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45744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45744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45744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45744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45744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45744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45744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45744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45744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45744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45744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45744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45744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45744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45744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45744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45744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45744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45744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45744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45744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45744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45744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45744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45744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45744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45744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45744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45744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45744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45744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45744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45744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45744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45744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45744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45744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45744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45744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45744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45744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45744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45744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45744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45744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45744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45744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45744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45744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45744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45744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45744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45744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45744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45744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45744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45744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45744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45744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45744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45744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45744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45744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45744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45744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45744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45744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45744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45744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45744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45744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45744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45744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45744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45744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45744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45744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45744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45744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45744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45744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45744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45744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45744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45744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45744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45744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45744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45744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45744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45744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45744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45744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45744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45744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45744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45744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45744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45744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45744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45744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45744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45744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45744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45744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45744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45744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45744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45744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45744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45744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45744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45744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45744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45744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45744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45744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45744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45744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45744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45744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45744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45744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45744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45744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45744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45744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45744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45744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45744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45744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45744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45744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45744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45744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45744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45744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45744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45744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45744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45744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45744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45744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45744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45744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45744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45744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45744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45744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45744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45744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45744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45744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45744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45744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45744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45744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45744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45744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45744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45744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45744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45744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45744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45744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45744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45744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45744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45744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45744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45744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45744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45744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45744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45744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45744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45744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45744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45744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45744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45744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45744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45744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45744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45744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45744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45744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45744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45744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45744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45744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45744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45744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45744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45744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45744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45744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45744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45744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45744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45744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45744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45744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45744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45744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45744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45744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45744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45744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45744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45744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45744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45744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45744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45744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45744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45744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45744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45744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45744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45744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45744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45744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45744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45744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45744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45744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45744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45744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45744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45744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45744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45744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45744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45744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45744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45744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45744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45744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45744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45744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45744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45744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45744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45744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45744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45744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45744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45744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45744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45744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45744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45744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45744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45744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45744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45744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45744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45744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45744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45744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45744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45744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45744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45744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45744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45744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45744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45744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45744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45744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45744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45744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45744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45744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45744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45744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45744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45744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45744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45744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45744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45744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45744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45744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45744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45744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45744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45744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45744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45744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45744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45744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45744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45744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45744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45744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45744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45744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45744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45744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45744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45744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45744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45744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45744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45744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45744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45744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45744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45744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45744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45744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45744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45744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45744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45744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45744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45744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45744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45744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45744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45744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45744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45744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45744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45744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45744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45744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45744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45744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45744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45744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45744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45744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45744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45744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45744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45744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45744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45744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45744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45744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45744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45744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45744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45744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45744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45744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45744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45744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45744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45744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45744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45744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45744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45744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45744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45744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45744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45744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45744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45744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45744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45744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45744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45744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45744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45744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45744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45744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45744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45744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45744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45744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45744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45744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45744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45744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45744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45744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45744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45744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45744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45744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45744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45744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45744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45744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45744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45744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45744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45744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45744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45744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45744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45744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45744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45744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45744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45744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45744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45744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45744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45744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45744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45744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45744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45744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45744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45744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45744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45744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45744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45744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45744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45744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45744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45744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45744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45744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45744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45744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45744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45744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45744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45744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45744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45744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45744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45744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45744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45744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45744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45744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45744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45744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45744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45744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45744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45744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45744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45744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45744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45744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45744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45744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45744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45744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45744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45744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45744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45744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45744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45744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45744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45744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45744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45744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45744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45744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45744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45744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45744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45744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45744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45744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45744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45744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45744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45744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45744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45744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45744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45744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45744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45744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45744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45744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45744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45744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45744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45744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45744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45744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45744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45744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45744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45744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45744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45744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45744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45744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45744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45744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45744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45744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45744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45744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45744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45744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45744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45744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45744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45744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45744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45744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45744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45744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45744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45744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45744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45744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45744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45744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45744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45744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45744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45744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45744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45744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45744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45744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45744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45744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45744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45744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45744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45744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45744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45744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45744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45744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45744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45744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45744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45744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45744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45744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45744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45744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45744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45744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45744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45744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45744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45744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45744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45744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45744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45744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45744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45744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45744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45744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45744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45744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45744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45744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45744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45744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45744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45744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45744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45744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45744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45744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45744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45744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45744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45744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45744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45744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45744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45744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45744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45744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45744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45744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45744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45744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45744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45744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45744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45744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45744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45744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45744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45744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45744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45744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45744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45744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45744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45744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45744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45744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45744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45744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45744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45744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45744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45744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45744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45744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45744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45744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45744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45744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45744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45744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45744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45744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45744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45744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45744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45744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45744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45744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45744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45744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45744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45744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45744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45744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45744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45744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45744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45744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45744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45744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45744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45744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45744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45744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45744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45744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45744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45744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45744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45744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45744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45744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45744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45744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45744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45744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45744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45744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45744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45744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45744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45744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45744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45744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45744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45744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45744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45744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45744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45744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45744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45744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45744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45744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45744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45744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45744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45744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45744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45744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45744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45744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45744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45744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45744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45744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45744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45744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45744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45744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45744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45744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45744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45744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45744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45744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45744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45744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45744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45744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45744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45744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45744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45744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45744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45744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45744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45744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45744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45744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45744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45744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45744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45744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45744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45744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45744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45744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45744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45744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45744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45744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45744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45744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45744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45744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45744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45744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45744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45744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45744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45744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45744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45744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45744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45744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45744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45744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45744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45744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45744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45744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45744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45744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45744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45744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45744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45744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45744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45744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45744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45744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45744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45744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45744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45744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45744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45744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45744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45744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45744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45744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45744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45744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45744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45744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45744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45744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45744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45744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45744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45744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45744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45744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45744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45744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45744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45744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45744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45744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45744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45744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45744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45744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45744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45744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45744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45744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45744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45744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45744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45744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45744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45744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45744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45744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45744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45744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45744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45744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45744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45744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45744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45744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45744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45744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45744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45744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45744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45744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45744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45744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45744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45744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45744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45744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45744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45744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45744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45744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45744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45744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45744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45744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45744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45744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45744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45744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45744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45744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45744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45744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45744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45744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45744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45744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45744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45744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45744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45744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45744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45744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45744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45744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45744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45744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45744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45744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45744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45744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45744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45744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45744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45744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45744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45744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45744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45744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45744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45744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45744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45744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45744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45744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45744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45744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45744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45744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45744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45744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45744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45744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45744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45744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45744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45744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45744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45744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45744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45744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45744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45744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45744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45744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45744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45744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45744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45744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45744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45744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45744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45744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45744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45744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45744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45744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45744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45744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45744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45744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45744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45744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45744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45744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45744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45744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45744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45744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45744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45744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45744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45744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45744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45744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45744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45744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45744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45744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45744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45744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45744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45744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45744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45744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45744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45744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45744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45744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45744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45744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45744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45744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45744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45744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45744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45744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45744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45744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45744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45744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45744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45744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45744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45744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45744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45744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45744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45744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45744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45744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45744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45744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45744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45744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45744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45744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45744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45744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45744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45744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45744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45744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45744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45744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45744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45744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45744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45744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45744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45744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45744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45744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45744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45744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45744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45744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45744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45744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45744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45744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45744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45744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45744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45744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45744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45744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45744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45744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45744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45744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45744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45744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45744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45744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45744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45744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45744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45744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45744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45744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45744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45744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45744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45744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45744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45744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45744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45744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45744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45744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45744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45744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45744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45744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45744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45744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45744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45744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45744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45744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45744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45744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45744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45744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45744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45744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45744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45744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45744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45744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45744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45744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45744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45744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45744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45744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45744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45744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45744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45744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45744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45744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45744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45744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45744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45744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45744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45744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45744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45744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45744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45744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45744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45744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45744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45744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45744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45744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45744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45744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45744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45744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45744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45744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45744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45744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45744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45744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45744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45744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45744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45744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45744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45744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45744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45744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45744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45744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45744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45744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45744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45744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45744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45744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45744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45744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45744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45744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45744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45744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45744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45744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45744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45744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45744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45744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45744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45744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45744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45744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45744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45744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45744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45744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45744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45744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45744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45744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45744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45744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45744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45744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45744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45744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45744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45744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45744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45744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45744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45744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45744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45744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45744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45744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45744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45744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45744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45744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45744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45744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45744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45744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45744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45744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45744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45744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45744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45744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45744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45744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45744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45744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45744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45744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45744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45744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45744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45744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45744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45744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45744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45744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45744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45744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45744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45744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45744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45744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45744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45744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45744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45744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45744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45744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45744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45744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45744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45744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45744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45744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45744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45744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45744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45744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45744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45744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45744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45744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45744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45744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45744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45744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45744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45744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45744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45744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45744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45744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45744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45744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45744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45744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45744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45744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45744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45744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45744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45744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45744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45744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45744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45744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45744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45744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45744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45744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45744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45744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45744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45744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45744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45744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45744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45744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45744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45744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45744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45744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45744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45744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45744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45744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45744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45744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45744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45744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45744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45744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45744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45744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45744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45744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45744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45744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45744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45744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45744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45744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45744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45744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45744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45744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45744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45744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45744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45744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45744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45744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45744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45744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45744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45744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45744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45744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45744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45744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45744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45744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45744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45744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45744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45744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45744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45744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45744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45744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45744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45744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45744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45744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45744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45744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45744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45744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45744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45744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45744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45744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45744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45744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45744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45744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45744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45744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45744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45744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45744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45744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45744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45744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45744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45744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45744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45744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45744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45744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45744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45744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45744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45744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45744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45744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45744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45744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45744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45744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45744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45744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45744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45744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45744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45744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45744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45744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45744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45744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45744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45744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45744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45744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45744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45744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45744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45744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45744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45744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45744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45744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45744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45744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45744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45744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45744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45744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45744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45744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45744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45744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45744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45744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45744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45744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45744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45744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45744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45744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45744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45744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45744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45744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45744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45744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45744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45744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45744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45744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45744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45744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45744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45744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45744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45744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45744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45744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45744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45744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45744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45744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45744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45744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45744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45744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45744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45744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45744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45744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45744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45744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45744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45744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45744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45744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45744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45744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45744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45744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45744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45744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45744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45744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45744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45744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45744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45744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45744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45744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45744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45744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45744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45744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45744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45744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45744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45744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45744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45744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45744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45744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45744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45744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45744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45744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45744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45744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45744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45744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45744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45744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45744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45744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45744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45744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45744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45744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45744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45744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45744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45744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45744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45744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45744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45744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45744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45744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45744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45744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45744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45744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45744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45744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45744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45744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45744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45744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45744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45744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45744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45744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45744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45744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45744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45744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45744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45744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45744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45744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45744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45744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45744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45744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45744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45744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45744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45744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45744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45744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45744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45744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45744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45744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45744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45744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45744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45744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45744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45744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45744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45744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45744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45744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45744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45744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45744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45744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45744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45744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45744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45744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45744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45744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45744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45744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45744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45744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45744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45744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45744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45744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45744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45744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45744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45744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45744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45744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45744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45744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45744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45744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45744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45744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45744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45744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45744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45744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45744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45744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45744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45744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45744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45744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45744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45744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45744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45744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45744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45744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45744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45744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45744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45744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45744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45744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45744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45744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45744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45744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45744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45744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45744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45744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45744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45744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45744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45744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45744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45744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45744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45744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45744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45744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45744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45744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45744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45744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45744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45744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45744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45744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45744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45744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45744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45744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45744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45744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45744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45744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45744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45744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45744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45744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45744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45744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45744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45744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45744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45744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45744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45744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45744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45744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45744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45744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45744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45744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45744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45744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45744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45744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45744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45744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45744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45744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45744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45744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45744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45744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45744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45744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45744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45744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45744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45744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45744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45744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45744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45744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45744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45744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45744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45744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45744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45744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45744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45744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45744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45744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45744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45744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45744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45744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45744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45744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45744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45744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45744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45744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45744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45744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45744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45744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45744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45744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45744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45744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45744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45744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45744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45744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45744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45744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45744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45744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45744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45744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45744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45744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45744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45744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45744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45744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45744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45744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45744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45744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45744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45744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45744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45744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45744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45744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45744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45744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45744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45744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45744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45744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45744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45744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45744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45744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45744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45744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45744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45744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45744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45744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45744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45744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45744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45744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45744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45744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45744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45744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45744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45744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45744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45744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45744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45744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45744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45744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45744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45744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45744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45744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45744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45744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45744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45744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45744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45744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45744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45744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45744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45744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45744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45744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45744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45744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45744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45744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45744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45744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45744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45744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45744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45744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45744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45744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45744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45744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45744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45744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45744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45744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45744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45744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45744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45744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45744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45744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45744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45744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45744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45744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45744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45744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45744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45744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45744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45744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45744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45744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45744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45744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45744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45744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45744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45744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45744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45744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45744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45744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45744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45744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45744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45744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45744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45744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45744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45744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45744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45744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45744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45744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45744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45744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45744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45744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45744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45744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45744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45744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45744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45744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45744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45744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45744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45744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45744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45744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45744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45744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45744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45744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45744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45744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45744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45744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45744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45744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45744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45744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45744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45744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45744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45744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45744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45744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45744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45744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45744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45744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45744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45744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45744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45744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45744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45744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45744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45744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45744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45744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45744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45744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45744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45744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45744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45744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45744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45744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45744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45744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45744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45744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45744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45744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45744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45744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45744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45744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45744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45744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45744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45744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45744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45744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45744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45744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45744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45744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45744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45744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45744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45744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45744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45744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45744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45744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45744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45744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45744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45744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45744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45744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45744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45744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45744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45744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45744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45744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45744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45744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45744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45744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45744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45744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45744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45744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45744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45744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45744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45744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45744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45744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45744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45744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45744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45744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45744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45744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45744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45744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45744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45744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45744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45744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45744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45744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45744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45744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45744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45744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45744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45744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45744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45744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45744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45744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45744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45744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45744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45744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45744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45744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45744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45744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45744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45744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45744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45744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45744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45744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45744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45744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45744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45744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45744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45744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45744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45744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45744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45744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45744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45744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45744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45744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45744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45744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45744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45744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45744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45744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45744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45744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45744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45744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45744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45744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45744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45744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45744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45744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45744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45744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45744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45744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45744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45744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45744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45744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45744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45744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45744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45744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45744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45744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45744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45744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45744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45744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45744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45744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45744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45744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45744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45744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45744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45744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45744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45744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45744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45744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45744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45744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45744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45744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45744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45744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45744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45744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45744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45744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45744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45744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45744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45744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45744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45744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45744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45744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45744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45744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45744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45744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45744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45744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45744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45744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45744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45744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45744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45744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45744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45744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45744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45744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45744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45744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45744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45744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45744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45744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45744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45744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45744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45744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45744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45744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45744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45744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45744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45744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45744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45744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45744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45744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45744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45744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45744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45744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45744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45744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45744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45744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45744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45744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45744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45744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45744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45744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45744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45744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45744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45744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45744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45744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45744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45744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10347-2025</t>
        </is>
      </c>
      <c r="B2297" s="1" t="n">
        <v>45720</v>
      </c>
      <c r="C2297" s="1" t="n">
        <v>45744</v>
      </c>
      <c r="D2297" t="inlineStr">
        <is>
          <t>VÄRMLANDS LÄN</t>
        </is>
      </c>
      <c r="E2297" t="inlineStr">
        <is>
          <t>SUNNE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45744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10261-2025</t>
        </is>
      </c>
      <c r="B2299" s="1" t="n">
        <v>45720</v>
      </c>
      <c r="C2299" s="1" t="n">
        <v>45744</v>
      </c>
      <c r="D2299" t="inlineStr">
        <is>
          <t>VÄRMLANDS LÄN</t>
        </is>
      </c>
      <c r="E2299" t="inlineStr">
        <is>
          <t>SUNNE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45744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10349-2025</t>
        </is>
      </c>
      <c r="B2301" s="1" t="n">
        <v>45720</v>
      </c>
      <c r="C2301" s="1" t="n">
        <v>45744</v>
      </c>
      <c r="D2301" t="inlineStr">
        <is>
          <t>VÄRMLANDS LÄN</t>
        </is>
      </c>
      <c r="E2301" t="inlineStr">
        <is>
          <t>SUNNE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45744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10615-2025</t>
        </is>
      </c>
      <c r="B2303" s="1" t="n">
        <v>45721</v>
      </c>
      <c r="C2303" s="1" t="n">
        <v>45744</v>
      </c>
      <c r="D2303" t="inlineStr">
        <is>
          <t>VÄRMLANDS LÄN</t>
        </is>
      </c>
      <c r="E2303" t="inlineStr">
        <is>
          <t>SUNNE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10548-2025</t>
        </is>
      </c>
      <c r="B2304" s="1" t="n">
        <v>45721</v>
      </c>
      <c r="C2304" s="1" t="n">
        <v>45744</v>
      </c>
      <c r="D2304" t="inlineStr">
        <is>
          <t>VÄRMLANDS LÄN</t>
        </is>
      </c>
      <c r="E2304" t="inlineStr">
        <is>
          <t>SUNNE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45744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45744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11242-2025</t>
        </is>
      </c>
      <c r="B2307" s="1" t="n">
        <v>45726</v>
      </c>
      <c r="C2307" s="1" t="n">
        <v>45744</v>
      </c>
      <c r="D2307" t="inlineStr">
        <is>
          <t>VÄRMLANDS LÄN</t>
        </is>
      </c>
      <c r="E2307" t="inlineStr">
        <is>
          <t>SUNNE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11659-2025</t>
        </is>
      </c>
      <c r="B2308" s="1" t="n">
        <v>45726</v>
      </c>
      <c r="C2308" s="1" t="n">
        <v>45744</v>
      </c>
      <c r="D2308" t="inlineStr">
        <is>
          <t>VÄRMLANDS LÄN</t>
        </is>
      </c>
      <c r="E2308" t="inlineStr">
        <is>
          <t>SUNNE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45744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11695-2025</t>
        </is>
      </c>
      <c r="B2310" s="1" t="n">
        <v>45726</v>
      </c>
      <c r="C2310" s="1" t="n">
        <v>45744</v>
      </c>
      <c r="D2310" t="inlineStr">
        <is>
          <t>VÄRMLANDS LÄN</t>
        </is>
      </c>
      <c r="E2310" t="inlineStr">
        <is>
          <t>SUNNE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45744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12241-2025</t>
        </is>
      </c>
      <c r="B2312" s="1" t="n">
        <v>45729</v>
      </c>
      <c r="C2312" s="1" t="n">
        <v>45744</v>
      </c>
      <c r="D2312" t="inlineStr">
        <is>
          <t>VÄRMLANDS LÄN</t>
        </is>
      </c>
      <c r="E2312" t="inlineStr">
        <is>
          <t>SUNNE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12271-2025</t>
        </is>
      </c>
      <c r="B2313" s="1" t="n">
        <v>45729</v>
      </c>
      <c r="C2313" s="1" t="n">
        <v>45744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12273-2025</t>
        </is>
      </c>
      <c r="B2314" s="1" t="n">
        <v>45729</v>
      </c>
      <c r="C2314" s="1" t="n">
        <v>45744</v>
      </c>
      <c r="D2314" t="inlineStr">
        <is>
          <t>VÄRMLANDS LÄN</t>
        </is>
      </c>
      <c r="E2314" t="inlineStr">
        <is>
          <t>SUNNE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45744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13035-2025</t>
        </is>
      </c>
      <c r="B2316" s="1" t="n">
        <v>45734</v>
      </c>
      <c r="C2316" s="1" t="n">
        <v>45744</v>
      </c>
      <c r="D2316" t="inlineStr">
        <is>
          <t>VÄRMLANDS LÄN</t>
        </is>
      </c>
      <c r="E2316" t="inlineStr">
        <is>
          <t>SUNNE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45744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45744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45744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13325-2025</t>
        </is>
      </c>
      <c r="B2320" s="1" t="n">
        <v>45735</v>
      </c>
      <c r="C2320" s="1" t="n">
        <v>45744</v>
      </c>
      <c r="D2320" t="inlineStr">
        <is>
          <t>VÄRMLANDS LÄN</t>
        </is>
      </c>
      <c r="E2320" t="inlineStr">
        <is>
          <t>SUNNE</t>
        </is>
      </c>
      <c r="F2320" t="inlineStr">
        <is>
          <t>Bergvik skog väst AB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13275-2025</t>
        </is>
      </c>
      <c r="B2321" s="1" t="n">
        <v>45735</v>
      </c>
      <c r="C2321" s="1" t="n">
        <v>45744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45744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13610-2025</t>
        </is>
      </c>
      <c r="B2323" s="1" t="n">
        <v>45736</v>
      </c>
      <c r="C2323" s="1" t="n">
        <v>45744</v>
      </c>
      <c r="D2323" t="inlineStr">
        <is>
          <t>VÄRMLANDS LÄN</t>
        </is>
      </c>
      <c r="E2323" t="inlineStr">
        <is>
          <t>SUNNE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13643-2025</t>
        </is>
      </c>
      <c r="B2324" s="1" t="n">
        <v>45736</v>
      </c>
      <c r="C2324" s="1" t="n">
        <v>45744</v>
      </c>
      <c r="D2324" t="inlineStr">
        <is>
          <t>VÄRMLANDS LÄN</t>
        </is>
      </c>
      <c r="E2324" t="inlineStr">
        <is>
          <t>SUNNE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13646-2025</t>
        </is>
      </c>
      <c r="B2325" s="1" t="n">
        <v>45736</v>
      </c>
      <c r="C2325" s="1" t="n">
        <v>45744</v>
      </c>
      <c r="D2325" t="inlineStr">
        <is>
          <t>VÄRMLANDS LÄN</t>
        </is>
      </c>
      <c r="E2325" t="inlineStr">
        <is>
          <t>SUNNE</t>
        </is>
      </c>
      <c r="G2325" t="n">
        <v>5.5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13650-2025</t>
        </is>
      </c>
      <c r="B2326" s="1" t="n">
        <v>45736</v>
      </c>
      <c r="C2326" s="1" t="n">
        <v>45744</v>
      </c>
      <c r="D2326" t="inlineStr">
        <is>
          <t>VÄRMLANDS LÄN</t>
        </is>
      </c>
      <c r="E2326" t="inlineStr">
        <is>
          <t>SUNNE</t>
        </is>
      </c>
      <c r="G2326" t="n">
        <v>7.9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13846-2025</t>
        </is>
      </c>
      <c r="B2327" s="1" t="n">
        <v>45737</v>
      </c>
      <c r="C2327" s="1" t="n">
        <v>45744</v>
      </c>
      <c r="D2327" t="inlineStr">
        <is>
          <t>VÄRMLANDS LÄN</t>
        </is>
      </c>
      <c r="E2327" t="inlineStr">
        <is>
          <t>SUNNE</t>
        </is>
      </c>
      <c r="F2327" t="inlineStr">
        <is>
          <t>Bergvik skog väst AB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13807-2025</t>
        </is>
      </c>
      <c r="B2328" s="1" t="n">
        <v>45737</v>
      </c>
      <c r="C2328" s="1" t="n">
        <v>45744</v>
      </c>
      <c r="D2328" t="inlineStr">
        <is>
          <t>VÄRMLANDS LÄN</t>
        </is>
      </c>
      <c r="E2328" t="inlineStr">
        <is>
          <t>SUNNE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13880-2025</t>
        </is>
      </c>
      <c r="B2329" s="1" t="n">
        <v>45737</v>
      </c>
      <c r="C2329" s="1" t="n">
        <v>45744</v>
      </c>
      <c r="D2329" t="inlineStr">
        <is>
          <t>VÄRMLANDS LÄN</t>
        </is>
      </c>
      <c r="E2329" t="inlineStr">
        <is>
          <t>SUNNE</t>
        </is>
      </c>
      <c r="F2329" t="inlineStr">
        <is>
          <t>Kommuner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45744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14060-2025</t>
        </is>
      </c>
      <c r="B2331" s="1" t="n">
        <v>45740</v>
      </c>
      <c r="C2331" s="1" t="n">
        <v>45744</v>
      </c>
      <c r="D2331" t="inlineStr">
        <is>
          <t>VÄRMLANDS LÄN</t>
        </is>
      </c>
      <c r="E2331" t="inlineStr">
        <is>
          <t>SUNNE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14099-2025</t>
        </is>
      </c>
      <c r="B2332" s="1" t="n">
        <v>45740</v>
      </c>
      <c r="C2332" s="1" t="n">
        <v>45744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14042-2025</t>
        </is>
      </c>
      <c r="B2333" s="1" t="n">
        <v>45740</v>
      </c>
      <c r="C2333" s="1" t="n">
        <v>45744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14188-2025</t>
        </is>
      </c>
      <c r="B2334" s="1" t="n">
        <v>45740</v>
      </c>
      <c r="C2334" s="1" t="n">
        <v>45744</v>
      </c>
      <c r="D2334" t="inlineStr">
        <is>
          <t>VÄRMLANDS LÄN</t>
        </is>
      </c>
      <c r="E2334" t="inlineStr">
        <is>
          <t>SUNNE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45744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45744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45744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14360-2025</t>
        </is>
      </c>
      <c r="B2338" s="1" t="n">
        <v>45741</v>
      </c>
      <c r="C2338" s="1" t="n">
        <v>45744</v>
      </c>
      <c r="D2338" t="inlineStr">
        <is>
          <t>VÄRMLANDS LÄN</t>
        </is>
      </c>
      <c r="E2338" t="inlineStr">
        <is>
          <t>SUNNE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14364-2025</t>
        </is>
      </c>
      <c r="B2339" s="1" t="n">
        <v>45741</v>
      </c>
      <c r="C2339" s="1" t="n">
        <v>45744</v>
      </c>
      <c r="D2339" t="inlineStr">
        <is>
          <t>VÄRMLANDS LÄN</t>
        </is>
      </c>
      <c r="E2339" t="inlineStr">
        <is>
          <t>SUNNE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45744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14499-2025</t>
        </is>
      </c>
      <c r="B2341" s="1" t="n">
        <v>45741</v>
      </c>
      <c r="C2341" s="1" t="n">
        <v>45744</v>
      </c>
      <c r="D2341" t="inlineStr">
        <is>
          <t>VÄRMLANDS LÄN</t>
        </is>
      </c>
      <c r="E2341" t="inlineStr">
        <is>
          <t>SUNNE</t>
        </is>
      </c>
      <c r="F2341" t="inlineStr">
        <is>
          <t>Bergvik skog väst AB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45744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14506-2025</t>
        </is>
      </c>
      <c r="B2343" s="1" t="n">
        <v>45741</v>
      </c>
      <c r="C2343" s="1" t="n">
        <v>45744</v>
      </c>
      <c r="D2343" t="inlineStr">
        <is>
          <t>VÄRMLANDS LÄN</t>
        </is>
      </c>
      <c r="E2343" t="inlineStr">
        <is>
          <t>SUNNE</t>
        </is>
      </c>
      <c r="F2343" t="inlineStr">
        <is>
          <t>Bergvik skog väst AB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45744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14743-2025</t>
        </is>
      </c>
      <c r="B2345" s="1" t="n">
        <v>45742</v>
      </c>
      <c r="C2345" s="1" t="n">
        <v>45744</v>
      </c>
      <c r="D2345" t="inlineStr">
        <is>
          <t>VÄRMLANDS LÄN</t>
        </is>
      </c>
      <c r="E2345" t="inlineStr">
        <is>
          <t>SUNNE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14874-2025</t>
        </is>
      </c>
      <c r="B2346" s="1" t="n">
        <v>45743</v>
      </c>
      <c r="C2346" s="1" t="n">
        <v>45744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14884-2025</t>
        </is>
      </c>
      <c r="B2347" s="1" t="n">
        <v>45743</v>
      </c>
      <c r="C2347" s="1" t="n">
        <v>45744</v>
      </c>
      <c r="D2347" t="inlineStr">
        <is>
          <t>VÄRMLANDS LÄN</t>
        </is>
      </c>
      <c r="E2347" t="inlineStr">
        <is>
          <t>SUNNE</t>
        </is>
      </c>
      <c r="G2347" t="n">
        <v>4.9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14877-2025</t>
        </is>
      </c>
      <c r="B2348" s="1" t="n">
        <v>45743</v>
      </c>
      <c r="C2348" s="1" t="n">
        <v>45744</v>
      </c>
      <c r="D2348" t="inlineStr">
        <is>
          <t>VÄRMLANDS LÄN</t>
        </is>
      </c>
      <c r="E2348" t="inlineStr">
        <is>
          <t>SUNNE</t>
        </is>
      </c>
      <c r="G2348" t="n">
        <v>8.6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>
      <c r="A2349" t="inlineStr">
        <is>
          <t>A 14954-2025</t>
        </is>
      </c>
      <c r="B2349" s="1" t="n">
        <v>45743</v>
      </c>
      <c r="C2349" s="1" t="n">
        <v>45744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2025-03-28T18:23:20Z</dcterms:created>
  <dcterms:modified xmlns:dcterms="http://purl.org/dc/terms/" xmlns:xsi="http://www.w3.org/2001/XMLSchema-instance" xsi:type="dcterms:W3CDTF">2025-03-28T18:23:22Z</dcterms:modified>
</cp:coreProperties>
</file>