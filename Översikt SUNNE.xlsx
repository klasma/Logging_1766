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251"/>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2558-2021</t>
        </is>
      </c>
      <c r="B2" t="inlineStr">
        <is>
          <t>samrådsanmälan</t>
        </is>
      </c>
      <c r="C2" t="n">
        <v/>
      </c>
      <c r="D2" s="1" t="n">
        <v>44357</v>
      </c>
      <c r="E2" s="1" t="n">
        <v>46313</v>
      </c>
      <c r="F2" t="inlineStr">
        <is>
          <t>VÄRMLANDS LÄN</t>
        </is>
      </c>
      <c r="G2" t="inlineStr">
        <is>
          <t>SUNNE</t>
        </is>
      </c>
      <c r="H2" t="inlineStr">
        <is>
          <t>Kommuner</t>
        </is>
      </c>
      <c r="I2" t="n">
        <v>144.4</v>
      </c>
      <c r="J2" t="n">
        <v>11</v>
      </c>
      <c r="K2" t="n">
        <v>21</v>
      </c>
      <c r="L2" t="n">
        <v>10</v>
      </c>
      <c r="M2" t="n">
        <v>4</v>
      </c>
      <c r="N2" t="n">
        <v>0</v>
      </c>
      <c r="O2" t="n">
        <v>0</v>
      </c>
      <c r="P2" t="n">
        <v>0</v>
      </c>
      <c r="Q2" t="n">
        <v>14</v>
      </c>
      <c r="R2" t="n">
        <v>4</v>
      </c>
      <c r="S2" t="n">
        <v>42</v>
      </c>
      <c r="T2" t="n">
        <v>103</v>
      </c>
      <c r="U2" t="n">
        <v>4</v>
      </c>
      <c r="V2" s="2" t="inlineStr">
        <is>
          <t>Aspgelélav
Blackticka
Gränsticka
Igelkott
Desmeknopp
Fjällig taggsvamp s.str.
Grynig filtlav
Gullpudra
Järnsparv
Rödvingetrast
Stjärntagging
Tretåig hackspett
Vedtrappmossa
Vårärt
Blek stjärnmossa
Bronshjon
Bågpraktmossa
Bårdlav
Dvärghäxört
Grön sköldmossa
Jättesvampmal
Källmossa
Mörk husmossa
Skinnlav
Skogshakmossa
Springkorn
Stekelbock
Strutbräken
Stubbspretmossa
Stuplav
Svart trolldruva
Tibast
Trådticka
Underviol
Vedticka
Blåsippa
Spillkråka
Gröngöling
Grönsiska
Kråka
Kopparödla
Lopplummer (aggregat)</t>
        </is>
      </c>
      <c r="W2">
        <f>HYPERLINK("https://klasma.github.io/Logging_1766/artfynd/S 2558-2021 artfynd.xlsx", "S 2558-2021")</f>
        <v/>
      </c>
      <c r="X2">
        <f>HYPERLINK("https://klasma.github.io/Logging_1766/kartor/S 2558-2021 karta.png", "S 2558-2021")</f>
        <v/>
      </c>
      <c r="Y2">
        <f>HYPERLINK("https://klasma.github.io/Logging_1766/kartor_geotiff/S 2558-2021 georefererad karta.tif", "S 2558-2021")</f>
        <v/>
      </c>
      <c r="AA2">
        <f>HYPERLINK("https://klasma.github.io/Logging_1766/klagomål/S 2558-2021 FSC-klagomål.docx", "S 2558-2021")</f>
        <v/>
      </c>
      <c r="AB2">
        <f>HYPERLINK("https://klasma.github.io/Logging_1766/klagomålsmail/S 2558-2021 FSC-klagomål mail.docx", "S 2558-2021")</f>
        <v/>
      </c>
      <c r="AC2">
        <f>HYPERLINK("https://klasma.github.io/Logging_1766/tillsyn/S 2558-2021 tillsynsbegäran.docx", "S 2558-2021")</f>
        <v/>
      </c>
      <c r="AD2">
        <f>HYPERLINK("https://klasma.github.io/Logging_1766/tillsynsmail/S 2558-2021 tillsynsbegäran mail.docx", "S 2558-2021")</f>
        <v/>
      </c>
      <c r="AE2">
        <f>HYPERLINK("https://klasma.github.io/Logging_1766/fåglar/S 2558-2021 prioriterade fågelarter.docx", "S 2558-2021")</f>
        <v/>
      </c>
    </row>
    <row r="3" ht="15" customHeight="1">
      <c r="A3" t="inlineStr">
        <is>
          <t>A 7337-2025</t>
        </is>
      </c>
      <c r="B3" t="inlineStr">
        <is>
          <t>avverkningsanmälan</t>
        </is>
      </c>
      <c r="C3" t="inlineStr">
        <is>
          <t>Föryngringsavverkning</t>
        </is>
      </c>
      <c r="D3" s="1" t="n">
        <v>45703</v>
      </c>
      <c r="E3" s="1" t="n">
        <v>46313</v>
      </c>
      <c r="F3" t="inlineStr">
        <is>
          <t>VÄRMLANDS LÄN</t>
        </is>
      </c>
      <c r="G3" t="inlineStr">
        <is>
          <t>SUNNE</t>
        </is>
      </c>
      <c r="I3" t="n">
        <v>10.7</v>
      </c>
      <c r="J3" t="n">
        <v>2</v>
      </c>
      <c r="K3" t="n">
        <v>2</v>
      </c>
      <c r="L3" t="n">
        <v>5</v>
      </c>
      <c r="M3" t="n">
        <v>1</v>
      </c>
      <c r="N3" t="n">
        <v>0</v>
      </c>
      <c r="O3" t="n">
        <v>0</v>
      </c>
      <c r="P3" t="n">
        <v>0</v>
      </c>
      <c r="Q3" t="n">
        <v>6</v>
      </c>
      <c r="R3" t="n">
        <v>1</v>
      </c>
      <c r="S3" t="n">
        <v>9</v>
      </c>
      <c r="T3" t="n">
        <v>20</v>
      </c>
      <c r="U3" t="n">
        <v>11</v>
      </c>
      <c r="V3" s="2" t="inlineStr">
        <is>
          <t>Garnlav
Kolflarnlav
Lunglav
Skrovellav
Tretåig hackspett
Vedskivlav
Björksplintborre
Stuplav
Tjäder</t>
        </is>
      </c>
      <c r="W3">
        <f>HYPERLINK("https://klasma.github.io/Logging_1766/artfynd/A 7337-2025 artfynd.xlsx", "A 7337-2025")</f>
        <v/>
      </c>
      <c r="X3">
        <f>HYPERLINK("https://klasma.github.io/Logging_1766/kartor/A 7337-2025 karta.png", "A 7337-2025")</f>
        <v/>
      </c>
      <c r="Y3">
        <f>HYPERLINK("https://klasma.github.io/Logging_1766/kartor_geotiff/A 7337-2025 georefererad karta.tif", "A 7337-2025")</f>
        <v/>
      </c>
      <c r="AA3">
        <f>HYPERLINK("https://klasma.github.io/Logging_1766/klagomål/A 7337-2025 FSC-klagomål.docx", "A 7337-2025")</f>
        <v/>
      </c>
      <c r="AB3">
        <f>HYPERLINK("https://klasma.github.io/Logging_1766/klagomålsmail/A 7337-2025 FSC-klagomål mail.docx", "A 7337-2025")</f>
        <v/>
      </c>
      <c r="AC3">
        <f>HYPERLINK("https://klasma.github.io/Logging_1766/tillsyn/A 7337-2025 tillsynsbegäran.docx", "A 7337-2025")</f>
        <v/>
      </c>
      <c r="AD3">
        <f>HYPERLINK("https://klasma.github.io/Logging_1766/tillsynsmail/A 7337-2025 tillsynsbegäran mail.docx", "A 7337-2025")</f>
        <v/>
      </c>
      <c r="AE3">
        <f>HYPERLINK("https://klasma.github.io/Logging_1766/fåglar/A 7337-2025 prioriterade fågelarter.docx", "A 7337-2025")</f>
        <v/>
      </c>
    </row>
    <row r="4" ht="15" customHeight="1">
      <c r="A4" t="inlineStr">
        <is>
          <t>A 47107-2024</t>
        </is>
      </c>
      <c r="B4" t="inlineStr">
        <is>
          <t>avverkningsanmälan</t>
        </is>
      </c>
      <c r="C4" t="inlineStr">
        <is>
          <t>Föryngringsavverkning</t>
        </is>
      </c>
      <c r="D4" s="1" t="n">
        <v>45586</v>
      </c>
      <c r="E4" s="1" t="n">
        <v>46313</v>
      </c>
      <c r="F4" t="inlineStr">
        <is>
          <t>VÄRMLANDS LÄN</t>
        </is>
      </c>
      <c r="G4" t="inlineStr">
        <is>
          <t>SUNNE</t>
        </is>
      </c>
      <c r="H4" t="inlineStr">
        <is>
          <t>Kommuner</t>
        </is>
      </c>
      <c r="I4" t="n">
        <v>1.4</v>
      </c>
      <c r="J4" t="n">
        <v>6</v>
      </c>
      <c r="K4" t="n">
        <v>0</v>
      </c>
      <c r="L4" t="n">
        <v>3</v>
      </c>
      <c r="M4" t="n">
        <v>0</v>
      </c>
      <c r="N4" t="n">
        <v>0</v>
      </c>
      <c r="O4" t="n">
        <v>0</v>
      </c>
      <c r="P4" t="n">
        <v>0</v>
      </c>
      <c r="Q4" t="n">
        <v>3</v>
      </c>
      <c r="R4" t="n">
        <v>0</v>
      </c>
      <c r="S4" t="n">
        <v>7</v>
      </c>
      <c r="T4" t="n">
        <v>10</v>
      </c>
      <c r="U4" t="n">
        <v>10</v>
      </c>
      <c r="V4" s="2" t="inlineStr">
        <is>
          <t>Barbastell
Brunlångöra
Nordfladdermus
Missne
Vattenfladdermus
Vanlig groda
Vanlig padda</t>
        </is>
      </c>
      <c r="W4">
        <f>HYPERLINK("https://klasma.github.io/Logging_1766/artfynd/A 47107-2024 artfynd.xlsx", "A 47107-2024")</f>
        <v/>
      </c>
      <c r="X4">
        <f>HYPERLINK("https://klasma.github.io/Logging_1766/kartor/A 47107-2024 karta.png", "A 47107-2024")</f>
        <v/>
      </c>
      <c r="Y4">
        <f>HYPERLINK("https://klasma.github.io/Logging_1766/kartor_geotiff/A 47107-2024 georefererad karta.tif", "A 47107-2024")</f>
        <v/>
      </c>
      <c r="AA4">
        <f>HYPERLINK("https://klasma.github.io/Logging_1766/klagomål/A 47107-2024 FSC-klagomål.docx", "A 47107-2024")</f>
        <v/>
      </c>
      <c r="AB4">
        <f>HYPERLINK("https://klasma.github.io/Logging_1766/klagomålsmail/A 47107-2024 FSC-klagomål mail.docx", "A 47107-2024")</f>
        <v/>
      </c>
      <c r="AC4">
        <f>HYPERLINK("https://klasma.github.io/Logging_1766/tillsyn/A 47107-2024 tillsynsbegäran.docx", "A 47107-2024")</f>
        <v/>
      </c>
      <c r="AD4">
        <f>HYPERLINK("https://klasma.github.io/Logging_1766/tillsynsmail/A 47107-2024 tillsynsbegäran mail.docx", "A 47107-2024")</f>
        <v/>
      </c>
    </row>
    <row r="5" ht="15" customHeight="1">
      <c r="A5" t="inlineStr">
        <is>
          <t>S 2551-2022</t>
        </is>
      </c>
      <c r="B5" t="inlineStr">
        <is>
          <t>samrådsanmälan</t>
        </is>
      </c>
      <c r="C5" t="inlineStr">
        <is>
          <t>Åtgärd i nyckelbiotop</t>
        </is>
      </c>
      <c r="D5" s="1" t="n">
        <v>44697</v>
      </c>
      <c r="E5" s="1" t="n">
        <v>46313</v>
      </c>
      <c r="F5" t="inlineStr">
        <is>
          <t>VÄRMLANDS LÄN</t>
        </is>
      </c>
      <c r="G5" t="inlineStr">
        <is>
          <t>SUNNE</t>
        </is>
      </c>
      <c r="I5" t="n">
        <v>0.7</v>
      </c>
      <c r="J5" t="n">
        <v>0</v>
      </c>
      <c r="K5" t="n">
        <v>0</v>
      </c>
      <c r="L5" t="n">
        <v>2</v>
      </c>
      <c r="M5" t="n">
        <v>3</v>
      </c>
      <c r="N5" t="n">
        <v>2</v>
      </c>
      <c r="O5" t="n">
        <v>0</v>
      </c>
      <c r="P5" t="n">
        <v>0</v>
      </c>
      <c r="Q5" t="n">
        <v>7</v>
      </c>
      <c r="R5" t="n">
        <v>5</v>
      </c>
      <c r="S5" t="n">
        <v>7</v>
      </c>
      <c r="T5" t="n">
        <v>13</v>
      </c>
      <c r="U5" t="n">
        <v>0</v>
      </c>
      <c r="V5" s="2" t="inlineStr">
        <is>
          <t>Brödtaggsvamp
Sammetstaggsvamp
Gul taggsvamp
Kejsarskivling
Porslinsblå spindling
Blå slemspindling
Dofttaggsvamp</t>
        </is>
      </c>
      <c r="W5">
        <f>HYPERLINK("https://klasma.github.io/Logging_1766/artfynd/S 2551-2022 artfynd.xlsx", "S 2551-2022")</f>
        <v/>
      </c>
      <c r="X5">
        <f>HYPERLINK("https://klasma.github.io/Logging_1766/kartor/S 2551-2022 karta.png", "S 2551-2022")</f>
        <v/>
      </c>
      <c r="Y5">
        <f>HYPERLINK("https://klasma.github.io/Logging_1766/kartor_geotiff/S 2551-2022 georefererad karta.tif", "S 2551-2022")</f>
        <v/>
      </c>
      <c r="AA5">
        <f>HYPERLINK("https://klasma.github.io/Logging_1766/klagomål/S 2551-2022 FSC-klagomål.docx", "S 2551-2022")</f>
        <v/>
      </c>
      <c r="AB5">
        <f>HYPERLINK("https://klasma.github.io/Logging_1766/klagomålsmail/S 2551-2022 FSC-klagomål mail.docx", "S 2551-2022")</f>
        <v/>
      </c>
      <c r="AC5">
        <f>HYPERLINK("https://klasma.github.io/Logging_1766/tillsyn/S 2551-2022 tillsynsbegäran.docx", "S 2551-2022")</f>
        <v/>
      </c>
      <c r="AD5">
        <f>HYPERLINK("https://klasma.github.io/Logging_1766/tillsynsmail/S 2551-2022 tillsynsbegäran mail.docx", "S 2551-2022")</f>
        <v/>
      </c>
    </row>
    <row r="6" ht="15" customHeight="1">
      <c r="A6" t="inlineStr">
        <is>
          <t>A 21026-2026</t>
        </is>
      </c>
      <c r="B6" t="inlineStr">
        <is>
          <t>avverkningsanmälan</t>
        </is>
      </c>
      <c r="C6" t="inlineStr">
        <is>
          <t>Föryngringsavverkning</t>
        </is>
      </c>
      <c r="D6" s="1" t="n">
        <v>46145</v>
      </c>
      <c r="E6" s="1" t="n">
        <v>46313</v>
      </c>
      <c r="F6" t="inlineStr">
        <is>
          <t>VÄRMLANDS LÄN</t>
        </is>
      </c>
      <c r="G6" t="inlineStr">
        <is>
          <t>SUNNE</t>
        </is>
      </c>
      <c r="H6" t="inlineStr">
        <is>
          <t>Övriga Aktiebolag</t>
        </is>
      </c>
      <c r="I6" t="n">
        <v>11.1</v>
      </c>
      <c r="J6" t="n">
        <v>2</v>
      </c>
      <c r="K6" t="n">
        <v>1</v>
      </c>
      <c r="L6" t="n">
        <v>2</v>
      </c>
      <c r="M6" t="n">
        <v>1</v>
      </c>
      <c r="N6" t="n">
        <v>0</v>
      </c>
      <c r="O6" t="n">
        <v>0</v>
      </c>
      <c r="P6" t="n">
        <v>0</v>
      </c>
      <c r="Q6" t="n">
        <v>3</v>
      </c>
      <c r="R6" t="n">
        <v>1</v>
      </c>
      <c r="S6" t="n">
        <v>6</v>
      </c>
      <c r="T6" t="n">
        <v>10</v>
      </c>
      <c r="U6" t="n">
        <v>10</v>
      </c>
      <c r="V6" s="2" t="inlineStr">
        <is>
          <t>Garnlav
Kattfotslav
Vedskivlav
Vågbandad barkbock
Spillkråka
Vanlig groda</t>
        </is>
      </c>
      <c r="W6">
        <f>HYPERLINK("https://klasma.github.io/Logging_1766/artfynd/A 21026-2026 artfynd.xlsx", "A 21026-2026")</f>
        <v/>
      </c>
      <c r="X6">
        <f>HYPERLINK("https://klasma.github.io/Logging_1766/kartor/A 21026-2026 karta.png", "A 21026-2026")</f>
        <v/>
      </c>
      <c r="Y6">
        <f>HYPERLINK("https://klasma.github.io/Logging_1766/kartor_geotiff/A 21026-2026 georefererad karta.tif", "A 21026-2026")</f>
        <v/>
      </c>
      <c r="AA6">
        <f>HYPERLINK("https://klasma.github.io/Logging_1766/klagomål/A 21026-2026 FSC-klagomål.docx", "A 21026-2026")</f>
        <v/>
      </c>
      <c r="AB6">
        <f>HYPERLINK("https://klasma.github.io/Logging_1766/klagomålsmail/A 21026-2026 FSC-klagomål mail.docx", "A 21026-2026")</f>
        <v/>
      </c>
      <c r="AC6">
        <f>HYPERLINK("https://klasma.github.io/Logging_1766/tillsyn/A 21026-2026 tillsynsbegäran.docx", "A 21026-2026")</f>
        <v/>
      </c>
      <c r="AD6">
        <f>HYPERLINK("https://klasma.github.io/Logging_1766/tillsynsmail/A 21026-2026 tillsynsbegäran mail.docx", "A 21026-2026")</f>
        <v/>
      </c>
      <c r="AE6">
        <f>HYPERLINK("https://klasma.github.io/Logging_1766/fåglar/A 21026-2026 prioriterade fågelarter.docx", "A 21026-2026")</f>
        <v/>
      </c>
    </row>
    <row r="7" ht="15" customHeight="1">
      <c r="A7" t="inlineStr">
        <is>
          <t>A 19183-2024</t>
        </is>
      </c>
      <c r="B7" t="inlineStr">
        <is>
          <t>avverkningsanmälan</t>
        </is>
      </c>
      <c r="C7" t="inlineStr">
        <is>
          <t>Föryngringsavverkning</t>
        </is>
      </c>
      <c r="D7" s="1" t="n">
        <v>45428</v>
      </c>
      <c r="E7" s="1" t="n">
        <v>46313</v>
      </c>
      <c r="F7" t="inlineStr">
        <is>
          <t>VÄRMLANDS LÄN</t>
        </is>
      </c>
      <c r="G7" t="inlineStr">
        <is>
          <t>SUNNE</t>
        </is>
      </c>
      <c r="I7" t="n">
        <v>2.7</v>
      </c>
      <c r="J7" t="n">
        <v>3</v>
      </c>
      <c r="K7" t="n">
        <v>1</v>
      </c>
      <c r="L7" t="n">
        <v>1</v>
      </c>
      <c r="M7" t="n">
        <v>1</v>
      </c>
      <c r="N7" t="n">
        <v>0</v>
      </c>
      <c r="O7" t="n">
        <v>0</v>
      </c>
      <c r="P7" t="n">
        <v>0</v>
      </c>
      <c r="Q7" t="n">
        <v>2</v>
      </c>
      <c r="R7" t="n">
        <v>1</v>
      </c>
      <c r="S7" t="n">
        <v>5</v>
      </c>
      <c r="T7" t="n">
        <v>5</v>
      </c>
      <c r="U7" t="n">
        <v>0</v>
      </c>
      <c r="V7" s="2" t="inlineStr">
        <is>
          <t>Fältgentiana
Klasefibbla
Tvåblad
Brudsporre
Nattviol</t>
        </is>
      </c>
      <c r="W7">
        <f>HYPERLINK("https://klasma.github.io/Logging_1766/artfynd/A 19183-2024 artfynd.xlsx", "A 19183-2024")</f>
        <v/>
      </c>
      <c r="X7">
        <f>HYPERLINK("https://klasma.github.io/Logging_1766/kartor/A 19183-2024 karta.png", "A 19183-2024")</f>
        <v/>
      </c>
      <c r="Y7">
        <f>HYPERLINK("https://klasma.github.io/Logging_1766/kartor_geotiff/A 19183-2024 georefererad karta.tif", "A 19183-2024")</f>
        <v/>
      </c>
      <c r="AA7">
        <f>HYPERLINK("https://klasma.github.io/Logging_1766/klagomål/A 19183-2024 FSC-klagomål.docx", "A 19183-2024")</f>
        <v/>
      </c>
      <c r="AB7">
        <f>HYPERLINK("https://klasma.github.io/Logging_1766/klagomålsmail/A 19183-2024 FSC-klagomål mail.docx", "A 19183-2024")</f>
        <v/>
      </c>
      <c r="AC7">
        <f>HYPERLINK("https://klasma.github.io/Logging_1766/tillsyn/A 19183-2024 tillsynsbegäran.docx", "A 19183-2024")</f>
        <v/>
      </c>
      <c r="AD7">
        <f>HYPERLINK("https://klasma.github.io/Logging_1766/tillsynsmail/A 19183-2024 tillsynsbegäran mail.docx", "A 19183-2024")</f>
        <v/>
      </c>
    </row>
    <row r="8" ht="15" customHeight="1">
      <c r="A8" t="inlineStr">
        <is>
          <t>S 2084-2020</t>
        </is>
      </c>
      <c r="B8" t="inlineStr">
        <is>
          <t>samrådsanmälan</t>
        </is>
      </c>
      <c r="C8" t="inlineStr">
        <is>
          <t>Åtgärd i nyckelbiotop</t>
        </is>
      </c>
      <c r="D8" s="1" t="n">
        <v>44109</v>
      </c>
      <c r="E8" s="1" t="n">
        <v>46313</v>
      </c>
      <c r="F8" t="inlineStr">
        <is>
          <t>VÄRMLANDS LÄN</t>
        </is>
      </c>
      <c r="G8" t="inlineStr">
        <is>
          <t>SUNNE</t>
        </is>
      </c>
      <c r="I8" t="n">
        <v>0.3</v>
      </c>
      <c r="J8" t="n">
        <v>0</v>
      </c>
      <c r="K8" t="n">
        <v>1</v>
      </c>
      <c r="L8" t="n">
        <v>1</v>
      </c>
      <c r="M8" t="n">
        <v>2</v>
      </c>
      <c r="N8" t="n">
        <v>1</v>
      </c>
      <c r="O8" t="n">
        <v>0</v>
      </c>
      <c r="P8" t="n">
        <v>0</v>
      </c>
      <c r="Q8" t="n">
        <v>4</v>
      </c>
      <c r="R8" t="n">
        <v>3</v>
      </c>
      <c r="S8" t="n">
        <v>5</v>
      </c>
      <c r="T8" t="n">
        <v>7</v>
      </c>
      <c r="U8" t="n">
        <v>0</v>
      </c>
      <c r="V8" s="2" t="inlineStr">
        <is>
          <t>Brödtaggsvamp
Gul taggsvamp
Kejsarskivling
Dofttaggsvamp
Strimspindling</t>
        </is>
      </c>
      <c r="W8">
        <f>HYPERLINK("https://klasma.github.io/Logging_1766/artfynd/S 2084-2020 artfynd.xlsx", "S 2084-2020")</f>
        <v/>
      </c>
      <c r="X8">
        <f>HYPERLINK("https://klasma.github.io/Logging_1766/kartor/S 2084-2020 karta.png", "S 2084-2020")</f>
        <v/>
      </c>
      <c r="Y8">
        <f>HYPERLINK("https://klasma.github.io/Logging_1766/kartor_geotiff/S 2084-2020 georefererad karta.tif", "S 2084-2020")</f>
        <v/>
      </c>
      <c r="AA8">
        <f>HYPERLINK("https://klasma.github.io/Logging_1766/klagomål/S 2084-2020 FSC-klagomål.docx", "S 2084-2020")</f>
        <v/>
      </c>
      <c r="AB8">
        <f>HYPERLINK("https://klasma.github.io/Logging_1766/klagomålsmail/S 2084-2020 FSC-klagomål mail.docx", "S 2084-2020")</f>
        <v/>
      </c>
      <c r="AC8">
        <f>HYPERLINK("https://klasma.github.io/Logging_1766/tillsyn/S 2084-2020 tillsynsbegäran.docx", "S 2084-2020")</f>
        <v/>
      </c>
      <c r="AD8">
        <f>HYPERLINK("https://klasma.github.io/Logging_1766/tillsynsmail/S 2084-2020 tillsynsbegäran mail.docx", "S 2084-2020")</f>
        <v/>
      </c>
    </row>
    <row r="9" ht="15" customHeight="1">
      <c r="A9" t="inlineStr">
        <is>
          <t>S 1514-2020</t>
        </is>
      </c>
      <c r="B9" t="inlineStr">
        <is>
          <t>samrådsanmälan</t>
        </is>
      </c>
      <c r="C9" t="inlineStr">
        <is>
          <t>Åtgärd i nyckelbiotop</t>
        </is>
      </c>
      <c r="D9" s="1" t="n">
        <v>44005</v>
      </c>
      <c r="E9" s="1" t="n">
        <v>46313</v>
      </c>
      <c r="F9" t="inlineStr">
        <is>
          <t>VÄRMLANDS LÄN</t>
        </is>
      </c>
      <c r="G9" t="inlineStr">
        <is>
          <t>SUNNE</t>
        </is>
      </c>
      <c r="I9" t="n">
        <v>1.5</v>
      </c>
      <c r="J9" t="n">
        <v>2</v>
      </c>
      <c r="K9" t="n">
        <v>0</v>
      </c>
      <c r="L9" t="n">
        <v>1</v>
      </c>
      <c r="M9" t="n">
        <v>3</v>
      </c>
      <c r="N9" t="n">
        <v>0</v>
      </c>
      <c r="O9" t="n">
        <v>0</v>
      </c>
      <c r="P9" t="n">
        <v>0</v>
      </c>
      <c r="Q9" t="n">
        <v>4</v>
      </c>
      <c r="R9" t="n">
        <v>3</v>
      </c>
      <c r="S9" t="n">
        <v>5</v>
      </c>
      <c r="T9" t="n">
        <v>8</v>
      </c>
      <c r="U9" t="n">
        <v>8</v>
      </c>
      <c r="V9" s="2" t="inlineStr">
        <is>
          <t>Bredgentiana
Fältgentiana
Slåttergubbe
Scharlakansvaxing
Nattviol</t>
        </is>
      </c>
      <c r="W9">
        <f>HYPERLINK("https://klasma.github.io/Logging_1766/artfynd/S 1514-2020 artfynd.xlsx", "S 1514-2020")</f>
        <v/>
      </c>
      <c r="X9">
        <f>HYPERLINK("https://klasma.github.io/Logging_1766/kartor/S 1514-2020 karta.png", "S 1514-2020")</f>
        <v/>
      </c>
      <c r="Y9">
        <f>HYPERLINK("https://klasma.github.io/Logging_1766/kartor_geotiff/S 1514-2020 georefererad karta.tif", "S 1514-2020")</f>
        <v/>
      </c>
      <c r="AA9">
        <f>HYPERLINK("https://klasma.github.io/Logging_1766/klagomål/S 1514-2020 FSC-klagomål.docx", "S 1514-2020")</f>
        <v/>
      </c>
      <c r="AB9">
        <f>HYPERLINK("https://klasma.github.io/Logging_1766/klagomålsmail/S 1514-2020 FSC-klagomål mail.docx", "S 1514-2020")</f>
        <v/>
      </c>
      <c r="AC9">
        <f>HYPERLINK("https://klasma.github.io/Logging_1766/tillsyn/S 1514-2020 tillsynsbegäran.docx", "S 1514-2020")</f>
        <v/>
      </c>
      <c r="AD9">
        <f>HYPERLINK("https://klasma.github.io/Logging_1766/tillsynsmail/S 1514-2020 tillsynsbegäran mail.docx", "S 1514-2020")</f>
        <v/>
      </c>
    </row>
    <row r="10" ht="15" customHeight="1">
      <c r="A10" t="inlineStr">
        <is>
          <t>A 63807-2021</t>
        </is>
      </c>
      <c r="B10" t="inlineStr">
        <is>
          <t>avverkningsanmälan</t>
        </is>
      </c>
      <c r="C10" t="inlineStr">
        <is>
          <t>Föryngringsavverkning</t>
        </is>
      </c>
      <c r="D10" s="1" t="n">
        <v>44509</v>
      </c>
      <c r="E10" s="1" t="n">
        <v>46313</v>
      </c>
      <c r="F10" t="inlineStr">
        <is>
          <t>VÄRMLANDS LÄN</t>
        </is>
      </c>
      <c r="G10" t="inlineStr">
        <is>
          <t>SUNNE</t>
        </is>
      </c>
      <c r="H10" t="inlineStr">
        <is>
          <t>Kommuner</t>
        </is>
      </c>
      <c r="I10" t="n">
        <v>5.5</v>
      </c>
      <c r="J10" t="n">
        <v>0</v>
      </c>
      <c r="K10" t="n">
        <v>4</v>
      </c>
      <c r="L10" t="n">
        <v>0</v>
      </c>
      <c r="M10" t="n">
        <v>0</v>
      </c>
      <c r="N10" t="n">
        <v>0</v>
      </c>
      <c r="O10" t="n">
        <v>0</v>
      </c>
      <c r="P10" t="n">
        <v>0</v>
      </c>
      <c r="Q10" t="n">
        <v>0</v>
      </c>
      <c r="R10" t="n">
        <v>0</v>
      </c>
      <c r="S10" t="n">
        <v>4</v>
      </c>
      <c r="T10" t="n">
        <v>5</v>
      </c>
      <c r="U10" t="n">
        <v>0</v>
      </c>
      <c r="V10" s="2" t="inlineStr">
        <is>
          <t>Bågpraktmossa
Dvärghäxört
Skinnlav
Svart trolldruva</t>
        </is>
      </c>
      <c r="W10">
        <f>HYPERLINK("https://klasma.github.io/Logging_1766/artfynd/A 63807-2021 artfynd.xlsx", "A 63807-2021")</f>
        <v/>
      </c>
      <c r="X10">
        <f>HYPERLINK("https://klasma.github.io/Logging_1766/kartor/A 63807-2021 karta.png", "A 63807-2021")</f>
        <v/>
      </c>
      <c r="Y10">
        <f>HYPERLINK("https://klasma.github.io/Logging_1766/kartor_geotiff/A 63807-2021 georefererad karta.tif", "A 63807-2021")</f>
        <v/>
      </c>
      <c r="AA10">
        <f>HYPERLINK("https://klasma.github.io/Logging_1766/klagomål/A 63807-2021 FSC-klagomål.docx", "A 63807-2021")</f>
        <v/>
      </c>
      <c r="AB10">
        <f>HYPERLINK("https://klasma.github.io/Logging_1766/klagomålsmail/A 63807-2021 FSC-klagomål mail.docx", "A 63807-2021")</f>
        <v/>
      </c>
      <c r="AC10">
        <f>HYPERLINK("https://klasma.github.io/Logging_1766/tillsyn/A 63807-2021 tillsynsbegäran.docx", "A 63807-2021")</f>
        <v/>
      </c>
      <c r="AD10">
        <f>HYPERLINK("https://klasma.github.io/Logging_1766/tillsynsmail/A 63807-2021 tillsynsbegäran mail.docx", "A 63807-2021")</f>
        <v/>
      </c>
    </row>
    <row r="11" ht="15" customHeight="1">
      <c r="A11" t="inlineStr">
        <is>
          <t>A 63807-2021</t>
        </is>
      </c>
      <c r="B11" t="inlineStr">
        <is>
          <t>avverkningsanmälan</t>
        </is>
      </c>
      <c r="C11" t="inlineStr">
        <is>
          <t>Föryngringsavverkning</t>
        </is>
      </c>
      <c r="D11" s="1" t="n">
        <v>44509</v>
      </c>
      <c r="E11" s="1" t="n">
        <v>46313</v>
      </c>
      <c r="F11" t="inlineStr">
        <is>
          <t>VÄRMLANDS LÄN</t>
        </is>
      </c>
      <c r="G11" t="inlineStr">
        <is>
          <t>SUNNE</t>
        </is>
      </c>
      <c r="H11" t="inlineStr">
        <is>
          <t>Kommuner</t>
        </is>
      </c>
      <c r="I11" t="n">
        <v>5.5</v>
      </c>
      <c r="J11" t="n">
        <v>0</v>
      </c>
      <c r="K11" t="n">
        <v>4</v>
      </c>
      <c r="L11" t="n">
        <v>0</v>
      </c>
      <c r="M11" t="n">
        <v>0</v>
      </c>
      <c r="N11" t="n">
        <v>0</v>
      </c>
      <c r="O11" t="n">
        <v>0</v>
      </c>
      <c r="P11" t="n">
        <v>0</v>
      </c>
      <c r="Q11" t="n">
        <v>0</v>
      </c>
      <c r="R11" t="n">
        <v>0</v>
      </c>
      <c r="S11" t="n">
        <v>4</v>
      </c>
      <c r="T11" t="n">
        <v>5</v>
      </c>
      <c r="U11" t="n">
        <v>0</v>
      </c>
      <c r="V11" s="2" t="inlineStr">
        <is>
          <t>Bågpraktmossa
Dvärghäxört
Skinnlav
Svart trolldruva</t>
        </is>
      </c>
      <c r="W11">
        <f>HYPERLINK("https://klasma.github.io/Logging_1766/artfynd/A 63807-2021 artfynd.xlsx", "A 63807-2021")</f>
        <v/>
      </c>
      <c r="X11">
        <f>HYPERLINK("https://klasma.github.io/Logging_1766/kartor/A 63807-2021 karta.png", "A 63807-2021")</f>
        <v/>
      </c>
      <c r="Y11">
        <f>HYPERLINK("https://klasma.github.io/Logging_1766/kartor_geotiff/A 63807-2021 georefererad karta.tif", "A 63807-2021")</f>
        <v/>
      </c>
      <c r="AA11">
        <f>HYPERLINK("https://klasma.github.io/Logging_1766/klagomål/A 63807-2021 FSC-klagomål.docx", "A 63807-2021")</f>
        <v/>
      </c>
      <c r="AB11">
        <f>HYPERLINK("https://klasma.github.io/Logging_1766/klagomålsmail/A 63807-2021 FSC-klagomål mail.docx", "A 63807-2021")</f>
        <v/>
      </c>
      <c r="AC11">
        <f>HYPERLINK("https://klasma.github.io/Logging_1766/tillsyn/A 63807-2021 tillsynsbegäran.docx", "A 63807-2021")</f>
        <v/>
      </c>
      <c r="AD11">
        <f>HYPERLINK("https://klasma.github.io/Logging_1766/tillsynsmail/A 63807-2021 tillsynsbegäran mail.docx", "A 63807-2021")</f>
        <v/>
      </c>
    </row>
    <row r="12" ht="15" customHeight="1">
      <c r="A12" t="inlineStr">
        <is>
          <t>A 23051-2026</t>
        </is>
      </c>
      <c r="B12" t="inlineStr">
        <is>
          <t>avverkningsanmälan</t>
        </is>
      </c>
      <c r="C12" t="inlineStr">
        <is>
          <t>Föryngringsavverkning</t>
        </is>
      </c>
      <c r="D12" s="1" t="n">
        <v>46161</v>
      </c>
      <c r="E12" s="1" t="n">
        <v>46313</v>
      </c>
      <c r="F12" t="inlineStr">
        <is>
          <t>VÄRMLANDS LÄN</t>
        </is>
      </c>
      <c r="G12" t="inlineStr">
        <is>
          <t>SUNNE</t>
        </is>
      </c>
      <c r="I12" t="n">
        <v>4.3</v>
      </c>
      <c r="J12" t="n">
        <v>4</v>
      </c>
      <c r="K12" t="n">
        <v>0</v>
      </c>
      <c r="L12" t="n">
        <v>2</v>
      </c>
      <c r="M12" t="n">
        <v>0</v>
      </c>
      <c r="N12" t="n">
        <v>0</v>
      </c>
      <c r="O12" t="n">
        <v>0</v>
      </c>
      <c r="P12" t="n">
        <v>0</v>
      </c>
      <c r="Q12" t="n">
        <v>2</v>
      </c>
      <c r="R12" t="n">
        <v>0</v>
      </c>
      <c r="S12" t="n">
        <v>4</v>
      </c>
      <c r="T12" t="n">
        <v>4</v>
      </c>
      <c r="U12" t="n">
        <v>1</v>
      </c>
      <c r="V12" s="2" t="inlineStr">
        <is>
          <t>Brunlångöra
Nordfladdermus
Mattlummer
Vattenfladdermus</t>
        </is>
      </c>
      <c r="W12">
        <f>HYPERLINK("https://klasma.github.io/Logging_1766/artfynd/A 23051-2026 artfynd.xlsx", "A 23051-2026")</f>
        <v/>
      </c>
      <c r="X12">
        <f>HYPERLINK("https://klasma.github.io/Logging_1766/kartor/A 23051-2026 karta.png", "A 23051-2026")</f>
        <v/>
      </c>
      <c r="Y12">
        <f>HYPERLINK("https://klasma.github.io/Logging_1766/kartor_geotiff/A 23051-2026 georefererad karta.tif", "A 23051-2026")</f>
        <v/>
      </c>
      <c r="AA12">
        <f>HYPERLINK("https://klasma.github.io/Logging_1766/klagomål/A 23051-2026 FSC-klagomål.docx", "A 23051-2026")</f>
        <v/>
      </c>
      <c r="AB12">
        <f>HYPERLINK("https://klasma.github.io/Logging_1766/klagomålsmail/A 23051-2026 FSC-klagomål mail.docx", "A 23051-2026")</f>
        <v/>
      </c>
      <c r="AC12">
        <f>HYPERLINK("https://klasma.github.io/Logging_1766/tillsyn/A 23051-2026 tillsynsbegäran.docx", "A 23051-2026")</f>
        <v/>
      </c>
      <c r="AD12">
        <f>HYPERLINK("https://klasma.github.io/Logging_1766/tillsynsmail/A 23051-2026 tillsynsbegäran mail.docx", "A 23051-2026")</f>
        <v/>
      </c>
    </row>
    <row r="13" ht="15" customHeight="1">
      <c r="A13" t="inlineStr">
        <is>
          <t>A 7097-2025</t>
        </is>
      </c>
      <c r="B13" t="inlineStr">
        <is>
          <t>avverkningsanmälan</t>
        </is>
      </c>
      <c r="C13" t="inlineStr">
        <is>
          <t>Föryngringsavverkning</t>
        </is>
      </c>
      <c r="D13" s="1" t="n">
        <v>45701</v>
      </c>
      <c r="E13" s="1" t="n">
        <v>46313</v>
      </c>
      <c r="F13" t="inlineStr">
        <is>
          <t>VÄRMLANDS LÄN</t>
        </is>
      </c>
      <c r="G13" t="inlineStr">
        <is>
          <t>SUNNE</t>
        </is>
      </c>
      <c r="I13" t="n">
        <v>3.9</v>
      </c>
      <c r="J13" t="n">
        <v>2</v>
      </c>
      <c r="K13" t="n">
        <v>1</v>
      </c>
      <c r="L13" t="n">
        <v>1</v>
      </c>
      <c r="M13" t="n">
        <v>0</v>
      </c>
      <c r="N13" t="n">
        <v>0</v>
      </c>
      <c r="O13" t="n">
        <v>0</v>
      </c>
      <c r="P13" t="n">
        <v>0</v>
      </c>
      <c r="Q13" t="n">
        <v>1</v>
      </c>
      <c r="R13" t="n">
        <v>0</v>
      </c>
      <c r="S13" t="n">
        <v>4</v>
      </c>
      <c r="T13" t="n">
        <v>8</v>
      </c>
      <c r="U13" t="n">
        <v>0</v>
      </c>
      <c r="V13" s="2" t="inlineStr">
        <is>
          <t>Tallticka
Flagellkvastmossa
Tjäder
Orre</t>
        </is>
      </c>
      <c r="W13">
        <f>HYPERLINK("https://klasma.github.io/Logging_1766/artfynd/A 7097-2025 artfynd.xlsx", "A 7097-2025")</f>
        <v/>
      </c>
      <c r="X13">
        <f>HYPERLINK("https://klasma.github.io/Logging_1766/kartor/A 7097-2025 karta.png", "A 7097-2025")</f>
        <v/>
      </c>
      <c r="Y13">
        <f>HYPERLINK("https://klasma.github.io/Logging_1766/kartor_geotiff/A 7097-2025 georefererad karta.tif", "A 7097-2025")</f>
        <v/>
      </c>
      <c r="AA13">
        <f>HYPERLINK("https://klasma.github.io/Logging_1766/klagomål/A 7097-2025 FSC-klagomål.docx", "A 7097-2025")</f>
        <v/>
      </c>
      <c r="AB13">
        <f>HYPERLINK("https://klasma.github.io/Logging_1766/klagomålsmail/A 7097-2025 FSC-klagomål mail.docx", "A 7097-2025")</f>
        <v/>
      </c>
      <c r="AC13">
        <f>HYPERLINK("https://klasma.github.io/Logging_1766/tillsyn/A 7097-2025 tillsynsbegäran.docx", "A 7097-2025")</f>
        <v/>
      </c>
      <c r="AD13">
        <f>HYPERLINK("https://klasma.github.io/Logging_1766/tillsynsmail/A 7097-2025 tillsynsbegäran mail.docx", "A 7097-2025")</f>
        <v/>
      </c>
      <c r="AE13">
        <f>HYPERLINK("https://klasma.github.io/Logging_1766/fåglar/A 7097-2025 prioriterade fågelarter.docx", "A 7097-2025")</f>
        <v/>
      </c>
    </row>
    <row r="14" ht="15" customHeight="1">
      <c r="A14" t="inlineStr">
        <is>
          <t>A 7098-2025</t>
        </is>
      </c>
      <c r="B14" t="inlineStr">
        <is>
          <t>avverkningsanmälan</t>
        </is>
      </c>
      <c r="C14" t="inlineStr">
        <is>
          <t>Föryngringsavverkning</t>
        </is>
      </c>
      <c r="D14" s="1" t="n">
        <v>45701</v>
      </c>
      <c r="E14" s="1" t="n">
        <v>46313</v>
      </c>
      <c r="F14" t="inlineStr">
        <is>
          <t>VÄRMLANDS LÄN</t>
        </is>
      </c>
      <c r="G14" t="inlineStr">
        <is>
          <t>SUNNE</t>
        </is>
      </c>
      <c r="I14" t="n">
        <v>7.8</v>
      </c>
      <c r="J14" t="n">
        <v>1</v>
      </c>
      <c r="K14" t="n">
        <v>0</v>
      </c>
      <c r="L14" t="n">
        <v>3</v>
      </c>
      <c r="M14" t="n">
        <v>0</v>
      </c>
      <c r="N14" t="n">
        <v>0</v>
      </c>
      <c r="O14" t="n">
        <v>0</v>
      </c>
      <c r="P14" t="n">
        <v>0</v>
      </c>
      <c r="Q14" t="n">
        <v>3</v>
      </c>
      <c r="R14" t="n">
        <v>0</v>
      </c>
      <c r="S14" t="n">
        <v>4</v>
      </c>
      <c r="T14" t="n">
        <v>4</v>
      </c>
      <c r="U14" t="n">
        <v>0</v>
      </c>
      <c r="V14" s="2" t="inlineStr">
        <is>
          <t>Motaggsvamp
Mörk kolflarnlav
Violettgrå tagellav
Tjäder</t>
        </is>
      </c>
      <c r="W14">
        <f>HYPERLINK("https://klasma.github.io/Logging_1766/artfynd/A 7098-2025 artfynd.xlsx", "A 7098-2025")</f>
        <v/>
      </c>
      <c r="X14">
        <f>HYPERLINK("https://klasma.github.io/Logging_1766/kartor/A 7098-2025 karta.png", "A 7098-2025")</f>
        <v/>
      </c>
      <c r="Y14">
        <f>HYPERLINK("https://klasma.github.io/Logging_1766/kartor_geotiff/A 7098-2025 georefererad karta.tif", "A 7098-2025")</f>
        <v/>
      </c>
      <c r="AA14">
        <f>HYPERLINK("https://klasma.github.io/Logging_1766/klagomål/A 7098-2025 FSC-klagomål.docx", "A 7098-2025")</f>
        <v/>
      </c>
      <c r="AB14">
        <f>HYPERLINK("https://klasma.github.io/Logging_1766/klagomålsmail/A 7098-2025 FSC-klagomål mail.docx", "A 7098-2025")</f>
        <v/>
      </c>
      <c r="AC14">
        <f>HYPERLINK("https://klasma.github.io/Logging_1766/tillsyn/A 7098-2025 tillsynsbegäran.docx", "A 7098-2025")</f>
        <v/>
      </c>
      <c r="AD14">
        <f>HYPERLINK("https://klasma.github.io/Logging_1766/tillsynsmail/A 7098-2025 tillsynsbegäran mail.docx", "A 7098-2025")</f>
        <v/>
      </c>
      <c r="AE14">
        <f>HYPERLINK("https://klasma.github.io/Logging_1766/fåglar/A 7098-2025 prioriterade fågelarter.docx", "A 7098-2025")</f>
        <v/>
      </c>
    </row>
    <row r="15" ht="15" customHeight="1">
      <c r="A15" t="inlineStr">
        <is>
          <t>A 25485-2025</t>
        </is>
      </c>
      <c r="B15" t="inlineStr">
        <is>
          <t>avverkningsanmälan</t>
        </is>
      </c>
      <c r="C15" t="inlineStr">
        <is>
          <t>Föryngringsavverkning</t>
        </is>
      </c>
      <c r="D15" s="1" t="n">
        <v>45803</v>
      </c>
      <c r="E15" s="1" t="n">
        <v>46313</v>
      </c>
      <c r="F15" t="inlineStr">
        <is>
          <t>VÄRMLANDS LÄN</t>
        </is>
      </c>
      <c r="G15" t="inlineStr">
        <is>
          <t>SUNNE</t>
        </is>
      </c>
      <c r="I15" t="n">
        <v>14.3</v>
      </c>
      <c r="J15" t="n">
        <v>0</v>
      </c>
      <c r="K15" t="n">
        <v>2</v>
      </c>
      <c r="L15" t="n">
        <v>1</v>
      </c>
      <c r="M15" t="n">
        <v>1</v>
      </c>
      <c r="N15" t="n">
        <v>0</v>
      </c>
      <c r="O15" t="n">
        <v>0</v>
      </c>
      <c r="P15" t="n">
        <v>0</v>
      </c>
      <c r="Q15" t="n">
        <v>2</v>
      </c>
      <c r="R15" t="n">
        <v>1</v>
      </c>
      <c r="S15" t="n">
        <v>4</v>
      </c>
      <c r="T15" t="n">
        <v>8</v>
      </c>
      <c r="U15" t="n">
        <v>2</v>
      </c>
      <c r="V15" s="2" t="inlineStr">
        <is>
          <t>Garnlav
Skrovellav
Björksplintborre
Stuplav</t>
        </is>
      </c>
      <c r="W15">
        <f>HYPERLINK("https://klasma.github.io/Logging_1766/artfynd/A 25485-2025 artfynd.xlsx", "A 25485-2025")</f>
        <v/>
      </c>
      <c r="X15">
        <f>HYPERLINK("https://klasma.github.io/Logging_1766/kartor/A 25485-2025 karta.png", "A 25485-2025")</f>
        <v/>
      </c>
      <c r="Y15">
        <f>HYPERLINK("https://klasma.github.io/Logging_1766/kartor_geotiff/A 25485-2025 georefererad karta.tif", "A 25485-2025")</f>
        <v/>
      </c>
      <c r="AA15">
        <f>HYPERLINK("https://klasma.github.io/Logging_1766/klagomål/A 25485-2025 FSC-klagomål.docx", "A 25485-2025")</f>
        <v/>
      </c>
      <c r="AB15">
        <f>HYPERLINK("https://klasma.github.io/Logging_1766/klagomålsmail/A 25485-2025 FSC-klagomål mail.docx", "A 25485-2025")</f>
        <v/>
      </c>
      <c r="AC15">
        <f>HYPERLINK("https://klasma.github.io/Logging_1766/tillsyn/A 25485-2025 tillsynsbegäran.docx", "A 25485-2025")</f>
        <v/>
      </c>
      <c r="AD15">
        <f>HYPERLINK("https://klasma.github.io/Logging_1766/tillsynsmail/A 25485-2025 tillsynsbegäran mail.docx", "A 25485-2025")</f>
        <v/>
      </c>
    </row>
    <row r="16" ht="15" customHeight="1">
      <c r="A16" t="inlineStr">
        <is>
          <t>A 2525-2023</t>
        </is>
      </c>
      <c r="B16" t="inlineStr">
        <is>
          <t>avverkningsanmälan</t>
        </is>
      </c>
      <c r="C16" t="inlineStr">
        <is>
          <t>Föryngringsavverkning</t>
        </is>
      </c>
      <c r="D16" s="1" t="n">
        <v>44943</v>
      </c>
      <c r="E16" s="1" t="n">
        <v>46313</v>
      </c>
      <c r="F16" t="inlineStr">
        <is>
          <t>VÄRMLANDS LÄN</t>
        </is>
      </c>
      <c r="G16" t="inlineStr">
        <is>
          <t>SUNNE</t>
        </is>
      </c>
      <c r="I16" t="n">
        <v>15.2</v>
      </c>
      <c r="J16" t="n">
        <v>0</v>
      </c>
      <c r="K16" t="n">
        <v>0</v>
      </c>
      <c r="L16" t="n">
        <v>2</v>
      </c>
      <c r="M16" t="n">
        <v>1</v>
      </c>
      <c r="N16" t="n">
        <v>0</v>
      </c>
      <c r="O16" t="n">
        <v>0</v>
      </c>
      <c r="P16" t="n">
        <v>0</v>
      </c>
      <c r="Q16" t="n">
        <v>3</v>
      </c>
      <c r="R16" t="n">
        <v>1</v>
      </c>
      <c r="S16" t="n">
        <v>3</v>
      </c>
      <c r="T16" t="n">
        <v>3</v>
      </c>
      <c r="U16" t="n">
        <v>0</v>
      </c>
      <c r="V16" s="2" t="inlineStr">
        <is>
          <t>Garnlav
Lunglav
Ullticka</t>
        </is>
      </c>
      <c r="W16">
        <f>HYPERLINK("https://klasma.github.io/Logging_1766/artfynd/A 2525-2023 artfynd.xlsx", "A 2525-2023")</f>
        <v/>
      </c>
      <c r="X16">
        <f>HYPERLINK("https://klasma.github.io/Logging_1766/kartor/A 2525-2023 karta.png", "A 2525-2023")</f>
        <v/>
      </c>
      <c r="Y16">
        <f>HYPERLINK("https://klasma.github.io/Logging_1766/kartor_geotiff/A 2525-2023 georefererad karta.tif", "A 2525-2023")</f>
        <v/>
      </c>
      <c r="AA16">
        <f>HYPERLINK("https://klasma.github.io/Logging_1766/klagomål/A 2525-2023 FSC-klagomål.docx", "A 2525-2023")</f>
        <v/>
      </c>
      <c r="AB16">
        <f>HYPERLINK("https://klasma.github.io/Logging_1766/klagomålsmail/A 2525-2023 FSC-klagomål mail.docx", "A 2525-2023")</f>
        <v/>
      </c>
      <c r="AC16">
        <f>HYPERLINK("https://klasma.github.io/Logging_1766/tillsyn/A 2525-2023 tillsynsbegäran.docx", "A 2525-2023")</f>
        <v/>
      </c>
      <c r="AD16">
        <f>HYPERLINK("https://klasma.github.io/Logging_1766/tillsynsmail/A 2525-2023 tillsynsbegäran mail.docx", "A 2525-2023")</f>
        <v/>
      </c>
    </row>
    <row r="17" ht="15" customHeight="1">
      <c r="A17" t="inlineStr">
        <is>
          <t>A 5978-2024</t>
        </is>
      </c>
      <c r="B17" t="inlineStr">
        <is>
          <t>avverkningsanmälan</t>
        </is>
      </c>
      <c r="C17" t="inlineStr">
        <is>
          <t>Föryngringsavverkning</t>
        </is>
      </c>
      <c r="D17" s="1" t="n">
        <v>45336</v>
      </c>
      <c r="E17" s="1" t="n">
        <v>46313</v>
      </c>
      <c r="F17" t="inlineStr">
        <is>
          <t>VÄRMLANDS LÄN</t>
        </is>
      </c>
      <c r="G17" t="inlineStr">
        <is>
          <t>SUNNE</t>
        </is>
      </c>
      <c r="I17" t="n">
        <v>1.2</v>
      </c>
      <c r="J17" t="n">
        <v>0</v>
      </c>
      <c r="K17" t="n">
        <v>0</v>
      </c>
      <c r="L17" t="n">
        <v>2</v>
      </c>
      <c r="M17" t="n">
        <v>1</v>
      </c>
      <c r="N17" t="n">
        <v>0</v>
      </c>
      <c r="O17" t="n">
        <v>0</v>
      </c>
      <c r="P17" t="n">
        <v>0</v>
      </c>
      <c r="Q17" t="n">
        <v>3</v>
      </c>
      <c r="R17" t="n">
        <v>1</v>
      </c>
      <c r="S17" t="n">
        <v>3</v>
      </c>
      <c r="T17" t="n">
        <v>5</v>
      </c>
      <c r="U17" t="n">
        <v>0</v>
      </c>
      <c r="V17" s="2" t="inlineStr">
        <is>
          <t>Garnlav
Skuggblåslav
Violettgrå tagellav</t>
        </is>
      </c>
      <c r="W17">
        <f>HYPERLINK("https://klasma.github.io/Logging_1766/artfynd/A 5978-2024 artfynd.xlsx", "A 5978-2024")</f>
        <v/>
      </c>
      <c r="X17">
        <f>HYPERLINK("https://klasma.github.io/Logging_1766/kartor/A 5978-2024 karta.png", "A 5978-2024")</f>
        <v/>
      </c>
      <c r="Y17">
        <f>HYPERLINK("https://klasma.github.io/Logging_1766/kartor_geotiff/A 5978-2024 georefererad karta.tif", "A 5978-2024")</f>
        <v/>
      </c>
      <c r="AA17">
        <f>HYPERLINK("https://klasma.github.io/Logging_1766/klagomål/A 5978-2024 FSC-klagomål.docx", "A 5978-2024")</f>
        <v/>
      </c>
      <c r="AB17">
        <f>HYPERLINK("https://klasma.github.io/Logging_1766/klagomålsmail/A 5978-2024 FSC-klagomål mail.docx", "A 5978-2024")</f>
        <v/>
      </c>
      <c r="AC17">
        <f>HYPERLINK("https://klasma.github.io/Logging_1766/tillsyn/A 5978-2024 tillsynsbegäran.docx", "A 5978-2024")</f>
        <v/>
      </c>
      <c r="AD17">
        <f>HYPERLINK("https://klasma.github.io/Logging_1766/tillsynsmail/A 5978-2024 tillsynsbegäran mail.docx", "A 5978-2024")</f>
        <v/>
      </c>
    </row>
    <row r="18" ht="15" customHeight="1">
      <c r="A18" t="inlineStr">
        <is>
          <t>A 59632-2025</t>
        </is>
      </c>
      <c r="B18" t="inlineStr">
        <is>
          <t>avverkningsanmälan</t>
        </is>
      </c>
      <c r="C18" t="inlineStr">
        <is>
          <t>Föryngringsavverkning</t>
        </is>
      </c>
      <c r="D18" s="1" t="n">
        <v>45992</v>
      </c>
      <c r="E18" s="1" t="n">
        <v>46313</v>
      </c>
      <c r="F18" t="inlineStr">
        <is>
          <t>VÄRMLANDS LÄN</t>
        </is>
      </c>
      <c r="G18" t="inlineStr">
        <is>
          <t>SUNNE</t>
        </is>
      </c>
      <c r="I18" t="n">
        <v>8.199999999999999</v>
      </c>
      <c r="J18" t="n">
        <v>0</v>
      </c>
      <c r="K18" t="n">
        <v>3</v>
      </c>
      <c r="L18" t="n">
        <v>0</v>
      </c>
      <c r="M18" t="n">
        <v>0</v>
      </c>
      <c r="N18" t="n">
        <v>0</v>
      </c>
      <c r="O18" t="n">
        <v>0</v>
      </c>
      <c r="P18" t="n">
        <v>0</v>
      </c>
      <c r="Q18" t="n">
        <v>0</v>
      </c>
      <c r="R18" t="n">
        <v>0</v>
      </c>
      <c r="S18" t="n">
        <v>3</v>
      </c>
      <c r="T18" t="n">
        <v>3</v>
      </c>
      <c r="U18" t="n">
        <v>0</v>
      </c>
      <c r="V18" s="2" t="inlineStr">
        <is>
          <t>Bårdlav
Skinnlav
Stuplav</t>
        </is>
      </c>
      <c r="W18">
        <f>HYPERLINK("https://klasma.github.io/Logging_1766/artfynd/A 59632-2025 artfynd.xlsx", "A 59632-2025")</f>
        <v/>
      </c>
      <c r="X18">
        <f>HYPERLINK("https://klasma.github.io/Logging_1766/kartor/A 59632-2025 karta.png", "A 59632-2025")</f>
        <v/>
      </c>
      <c r="Y18">
        <f>HYPERLINK("https://klasma.github.io/Logging_1766/kartor_geotiff/A 59632-2025 georefererad karta.tif", "A 59632-2025")</f>
        <v/>
      </c>
      <c r="AA18">
        <f>HYPERLINK("https://klasma.github.io/Logging_1766/klagomål/A 59632-2025 FSC-klagomål.docx", "A 59632-2025")</f>
        <v/>
      </c>
      <c r="AB18">
        <f>HYPERLINK("https://klasma.github.io/Logging_1766/klagomålsmail/A 59632-2025 FSC-klagomål mail.docx", "A 59632-2025")</f>
        <v/>
      </c>
      <c r="AC18">
        <f>HYPERLINK("https://klasma.github.io/Logging_1766/tillsyn/A 59632-2025 tillsynsbegäran.docx", "A 59632-2025")</f>
        <v/>
      </c>
      <c r="AD18">
        <f>HYPERLINK("https://klasma.github.io/Logging_1766/tillsynsmail/A 59632-2025 tillsynsbegäran mail.docx", "A 59632-2025")</f>
        <v/>
      </c>
    </row>
    <row r="19" ht="15" customHeight="1">
      <c r="A19" t="inlineStr">
        <is>
          <t>A 3082-2024</t>
        </is>
      </c>
      <c r="B19" t="inlineStr">
        <is>
          <t>avverkningsanmälan</t>
        </is>
      </c>
      <c r="C19" t="inlineStr">
        <is>
          <t>Föryngringsavverkning</t>
        </is>
      </c>
      <c r="D19" s="1" t="n">
        <v>45316</v>
      </c>
      <c r="E19" s="1" t="n">
        <v>46313</v>
      </c>
      <c r="F19" t="inlineStr">
        <is>
          <t>VÄRMLANDS LÄN</t>
        </is>
      </c>
      <c r="G19" t="inlineStr">
        <is>
          <t>SUNNE</t>
        </is>
      </c>
      <c r="H19" t="inlineStr">
        <is>
          <t>Kommuner</t>
        </is>
      </c>
      <c r="I19" t="n">
        <v>1.9</v>
      </c>
      <c r="J19" t="n">
        <v>2</v>
      </c>
      <c r="K19" t="n">
        <v>0</v>
      </c>
      <c r="L19" t="n">
        <v>0</v>
      </c>
      <c r="M19" t="n">
        <v>0</v>
      </c>
      <c r="N19" t="n">
        <v>0</v>
      </c>
      <c r="O19" t="n">
        <v>0</v>
      </c>
      <c r="P19" t="n">
        <v>0</v>
      </c>
      <c r="Q19" t="n">
        <v>0</v>
      </c>
      <c r="R19" t="n">
        <v>0</v>
      </c>
      <c r="S19" t="n">
        <v>3</v>
      </c>
      <c r="T19" t="n">
        <v>3</v>
      </c>
      <c r="U19" t="n">
        <v>3</v>
      </c>
      <c r="V19" s="2" t="inlineStr">
        <is>
          <t>Kärrviol
Skogsödla
Fläcknycklar</t>
        </is>
      </c>
      <c r="W19">
        <f>HYPERLINK("https://klasma.github.io/Logging_1766/artfynd/A 3082-2024 artfynd.xlsx", "A 3082-2024")</f>
        <v/>
      </c>
      <c r="X19">
        <f>HYPERLINK("https://klasma.github.io/Logging_1766/kartor/A 3082-2024 karta.png", "A 3082-2024")</f>
        <v/>
      </c>
      <c r="Y19">
        <f>HYPERLINK("https://klasma.github.io/Logging_1766/kartor_geotiff/A 3082-2024 georefererad karta.tif", "A 3082-2024")</f>
        <v/>
      </c>
      <c r="AA19">
        <f>HYPERLINK("https://klasma.github.io/Logging_1766/klagomål/A 3082-2024 FSC-klagomål.docx", "A 3082-2024")</f>
        <v/>
      </c>
      <c r="AB19">
        <f>HYPERLINK("https://klasma.github.io/Logging_1766/klagomålsmail/A 3082-2024 FSC-klagomål mail.docx", "A 3082-2024")</f>
        <v/>
      </c>
      <c r="AC19">
        <f>HYPERLINK("https://klasma.github.io/Logging_1766/tillsyn/A 3082-2024 tillsynsbegäran.docx", "A 3082-2024")</f>
        <v/>
      </c>
      <c r="AD19">
        <f>HYPERLINK("https://klasma.github.io/Logging_1766/tillsynsmail/A 3082-2024 tillsynsbegäran mail.docx", "A 3082-2024")</f>
        <v/>
      </c>
    </row>
    <row r="20" ht="15" customHeight="1">
      <c r="A20" t="inlineStr">
        <is>
          <t>A 5518-2026</t>
        </is>
      </c>
      <c r="B20" t="inlineStr">
        <is>
          <t>avverkningsanmälan</t>
        </is>
      </c>
      <c r="C20" t="inlineStr">
        <is>
          <t>Föryngringsavverkning</t>
        </is>
      </c>
      <c r="D20" s="1" t="n">
        <v>46050</v>
      </c>
      <c r="E20" s="1" t="n">
        <v>46313</v>
      </c>
      <c r="F20" t="inlineStr">
        <is>
          <t>VÄRMLANDS LÄN</t>
        </is>
      </c>
      <c r="G20" t="inlineStr">
        <is>
          <t>SUNNE</t>
        </is>
      </c>
      <c r="I20" t="n">
        <v>12.9</v>
      </c>
      <c r="J20" t="n">
        <v>2</v>
      </c>
      <c r="K20" t="n">
        <v>0</v>
      </c>
      <c r="L20" t="n">
        <v>2</v>
      </c>
      <c r="M20" t="n">
        <v>0</v>
      </c>
      <c r="N20" t="n">
        <v>0</v>
      </c>
      <c r="O20" t="n">
        <v>0</v>
      </c>
      <c r="P20" t="n">
        <v>0</v>
      </c>
      <c r="Q20" t="n">
        <v>2</v>
      </c>
      <c r="R20" t="n">
        <v>0</v>
      </c>
      <c r="S20" t="n">
        <v>3</v>
      </c>
      <c r="T20" t="n">
        <v>4</v>
      </c>
      <c r="U20" t="n">
        <v>4</v>
      </c>
      <c r="V20" s="2" t="inlineStr">
        <is>
          <t>Tallticka
Talltita
Tjäder</t>
        </is>
      </c>
      <c r="W20">
        <f>HYPERLINK("https://klasma.github.io/Logging_1766/artfynd/A 5518-2026 artfynd.xlsx", "A 5518-2026")</f>
        <v/>
      </c>
      <c r="X20">
        <f>HYPERLINK("https://klasma.github.io/Logging_1766/kartor/A 5518-2026 karta.png", "A 5518-2026")</f>
        <v/>
      </c>
      <c r="Y20">
        <f>HYPERLINK("https://klasma.github.io/Logging_1766/kartor_geotiff/A 5518-2026 georefererad karta.tif", "A 5518-2026")</f>
        <v/>
      </c>
      <c r="AA20">
        <f>HYPERLINK("https://klasma.github.io/Logging_1766/klagomål/A 5518-2026 FSC-klagomål.docx", "A 5518-2026")</f>
        <v/>
      </c>
      <c r="AB20">
        <f>HYPERLINK("https://klasma.github.io/Logging_1766/klagomålsmail/A 5518-2026 FSC-klagomål mail.docx", "A 5518-2026")</f>
        <v/>
      </c>
      <c r="AC20">
        <f>HYPERLINK("https://klasma.github.io/Logging_1766/tillsyn/A 5518-2026 tillsynsbegäran.docx", "A 5518-2026")</f>
        <v/>
      </c>
      <c r="AD20">
        <f>HYPERLINK("https://klasma.github.io/Logging_1766/tillsynsmail/A 5518-2026 tillsynsbegäran mail.docx", "A 5518-2026")</f>
        <v/>
      </c>
      <c r="AE20">
        <f>HYPERLINK("https://klasma.github.io/Logging_1766/fåglar/A 5518-2026 prioriterade fågelarter.docx", "A 5518-2026")</f>
        <v/>
      </c>
    </row>
    <row r="21" ht="15" customHeight="1">
      <c r="A21" t="inlineStr">
        <is>
          <t>A 39135-2026</t>
        </is>
      </c>
      <c r="B21" t="inlineStr">
        <is>
          <t>avverkningsanmälan</t>
        </is>
      </c>
      <c r="C21" t="inlineStr">
        <is>
          <t>Föryngringsavverkning</t>
        </is>
      </c>
      <c r="D21" s="1" t="n">
        <v>46287</v>
      </c>
      <c r="E21" s="1" t="n">
        <v>46313</v>
      </c>
      <c r="F21" t="inlineStr">
        <is>
          <t>VÄRMLANDS LÄN</t>
        </is>
      </c>
      <c r="G21" t="inlineStr">
        <is>
          <t>SUNNE</t>
        </is>
      </c>
      <c r="H21" t="inlineStr">
        <is>
          <t>Bergvik skog väst AB</t>
        </is>
      </c>
      <c r="I21" t="n">
        <v>1.7</v>
      </c>
      <c r="J21" t="n">
        <v>3</v>
      </c>
      <c r="K21" t="n">
        <v>0</v>
      </c>
      <c r="L21" t="n">
        <v>2</v>
      </c>
      <c r="M21" t="n">
        <v>0</v>
      </c>
      <c r="N21" t="n">
        <v>0</v>
      </c>
      <c r="O21" t="n">
        <v>0</v>
      </c>
      <c r="P21" t="n">
        <v>0</v>
      </c>
      <c r="Q21" t="n">
        <v>2</v>
      </c>
      <c r="R21" t="n">
        <v>0</v>
      </c>
      <c r="S21" t="n">
        <v>3</v>
      </c>
      <c r="T21" t="n">
        <v>3</v>
      </c>
      <c r="U21" t="n">
        <v>0</v>
      </c>
      <c r="V21" s="2" t="inlineStr">
        <is>
          <t>Brunlångöra
Nordfladdermus
Vattenfladdermus</t>
        </is>
      </c>
      <c r="W21">
        <f>HYPERLINK("https://klasma.github.io/Logging_1766/artfynd/A 39135-2026 artfynd.xlsx", "A 39135-2026")</f>
        <v/>
      </c>
      <c r="X21">
        <f>HYPERLINK("https://klasma.github.io/Logging_1766/kartor/A 39135-2026 karta.png", "A 39135-2026")</f>
        <v/>
      </c>
      <c r="Y21">
        <f>HYPERLINK("https://klasma.github.io/Logging_1766/kartor_geotiff/A 39135-2026 georefererad karta.tif", "A 39135-2026")</f>
        <v/>
      </c>
      <c r="AA21">
        <f>HYPERLINK("https://klasma.github.io/Logging_1766/klagomål/A 39135-2026 FSC-klagomål.docx", "A 39135-2026")</f>
        <v/>
      </c>
      <c r="AB21">
        <f>HYPERLINK("https://klasma.github.io/Logging_1766/klagomålsmail/A 39135-2026 FSC-klagomål mail.docx", "A 39135-2026")</f>
        <v/>
      </c>
      <c r="AC21">
        <f>HYPERLINK("https://klasma.github.io/Logging_1766/tillsyn/A 39135-2026 tillsynsbegäran.docx", "A 39135-2026")</f>
        <v/>
      </c>
      <c r="AD21">
        <f>HYPERLINK("https://klasma.github.io/Logging_1766/tillsynsmail/A 39135-2026 tillsynsbegäran mail.docx", "A 39135-2026")</f>
        <v/>
      </c>
    </row>
    <row r="22" ht="15" customHeight="1">
      <c r="A22" t="inlineStr">
        <is>
          <t>A 27272-2024</t>
        </is>
      </c>
      <c r="B22" t="inlineStr">
        <is>
          <t>avverkningsanmälan</t>
        </is>
      </c>
      <c r="C22" t="inlineStr">
        <is>
          <t>Föryngringsavverkning</t>
        </is>
      </c>
      <c r="D22" s="1" t="n">
        <v>45471</v>
      </c>
      <c r="E22" s="1" t="n">
        <v>46313</v>
      </c>
      <c r="F22" t="inlineStr">
        <is>
          <t>VÄRMLANDS LÄN</t>
        </is>
      </c>
      <c r="G22" t="inlineStr">
        <is>
          <t>SUNNE</t>
        </is>
      </c>
      <c r="I22" t="n">
        <v>2.4</v>
      </c>
      <c r="J22" t="n">
        <v>0</v>
      </c>
      <c r="K22" t="n">
        <v>2</v>
      </c>
      <c r="L22" t="n">
        <v>1</v>
      </c>
      <c r="M22" t="n">
        <v>0</v>
      </c>
      <c r="N22" t="n">
        <v>0</v>
      </c>
      <c r="O22" t="n">
        <v>0</v>
      </c>
      <c r="P22" t="n">
        <v>0</v>
      </c>
      <c r="Q22" t="n">
        <v>1</v>
      </c>
      <c r="R22" t="n">
        <v>0</v>
      </c>
      <c r="S22" t="n">
        <v>3</v>
      </c>
      <c r="T22" t="n">
        <v>3</v>
      </c>
      <c r="U22" t="n">
        <v>1</v>
      </c>
      <c r="V22" s="2" t="inlineStr">
        <is>
          <t>Skogshare
Bronshjon
Vågbandad barkbock</t>
        </is>
      </c>
      <c r="W22">
        <f>HYPERLINK("https://klasma.github.io/Logging_1766/artfynd/A 27272-2024 artfynd.xlsx", "A 27272-2024")</f>
        <v/>
      </c>
      <c r="X22">
        <f>HYPERLINK("https://klasma.github.io/Logging_1766/kartor/A 27272-2024 karta.png", "A 27272-2024")</f>
        <v/>
      </c>
      <c r="Y22">
        <f>HYPERLINK("https://klasma.github.io/Logging_1766/kartor_geotiff/A 27272-2024 georefererad karta.tif", "A 27272-2024")</f>
        <v/>
      </c>
      <c r="AA22">
        <f>HYPERLINK("https://klasma.github.io/Logging_1766/klagomål/A 27272-2024 FSC-klagomål.docx", "A 27272-2024")</f>
        <v/>
      </c>
      <c r="AB22">
        <f>HYPERLINK("https://klasma.github.io/Logging_1766/klagomålsmail/A 27272-2024 FSC-klagomål mail.docx", "A 27272-2024")</f>
        <v/>
      </c>
      <c r="AC22">
        <f>HYPERLINK("https://klasma.github.io/Logging_1766/tillsyn/A 27272-2024 tillsynsbegäran.docx", "A 27272-2024")</f>
        <v/>
      </c>
      <c r="AD22">
        <f>HYPERLINK("https://klasma.github.io/Logging_1766/tillsynsmail/A 27272-2024 tillsynsbegäran mail.docx", "A 27272-2024")</f>
        <v/>
      </c>
    </row>
    <row r="23" ht="15" customHeight="1">
      <c r="A23" t="inlineStr">
        <is>
          <t>A 26757-2025</t>
        </is>
      </c>
      <c r="B23" t="inlineStr">
        <is>
          <t>avverkningsanmälan</t>
        </is>
      </c>
      <c r="C23" t="inlineStr">
        <is>
          <t>Föryngringsavverkning</t>
        </is>
      </c>
      <c r="D23" s="1" t="n">
        <v>45810</v>
      </c>
      <c r="E23" s="1" t="n">
        <v>46313</v>
      </c>
      <c r="F23" t="inlineStr">
        <is>
          <t>VÄRMLANDS LÄN</t>
        </is>
      </c>
      <c r="G23" t="inlineStr">
        <is>
          <t>SUNNE</t>
        </is>
      </c>
      <c r="I23" t="n">
        <v>2</v>
      </c>
      <c r="J23" t="n">
        <v>0</v>
      </c>
      <c r="K23" t="n">
        <v>3</v>
      </c>
      <c r="L23" t="n">
        <v>0</v>
      </c>
      <c r="M23" t="n">
        <v>0</v>
      </c>
      <c r="N23" t="n">
        <v>0</v>
      </c>
      <c r="O23" t="n">
        <v>0</v>
      </c>
      <c r="P23" t="n">
        <v>0</v>
      </c>
      <c r="Q23" t="n">
        <v>0</v>
      </c>
      <c r="R23" t="n">
        <v>0</v>
      </c>
      <c r="S23" t="n">
        <v>3</v>
      </c>
      <c r="T23" t="n">
        <v>4</v>
      </c>
      <c r="U23" t="n">
        <v>3</v>
      </c>
      <c r="V23" s="2" t="inlineStr">
        <is>
          <t>Barkticka
Brandticka
Rävticka</t>
        </is>
      </c>
      <c r="W23">
        <f>HYPERLINK("https://klasma.github.io/Logging_1766/artfynd/A 26757-2025 artfynd.xlsx", "A 26757-2025")</f>
        <v/>
      </c>
      <c r="X23">
        <f>HYPERLINK("https://klasma.github.io/Logging_1766/kartor/A 26757-2025 karta.png", "A 26757-2025")</f>
        <v/>
      </c>
      <c r="Y23">
        <f>HYPERLINK("https://klasma.github.io/Logging_1766/kartor_geotiff/A 26757-2025 georefererad karta.tif", "A 26757-2025")</f>
        <v/>
      </c>
      <c r="Z23">
        <f>HYPERLINK("https://klasma.github.io/Logging_1766/knärot/A 26757-2025 karta knärot.png", "A 26757-2025")</f>
        <v/>
      </c>
      <c r="AA23">
        <f>HYPERLINK("https://klasma.github.io/Logging_1766/klagomål/A 26757-2025 FSC-klagomål.docx", "A 26757-2025")</f>
        <v/>
      </c>
      <c r="AB23">
        <f>HYPERLINK("https://klasma.github.io/Logging_1766/klagomålsmail/A 26757-2025 FSC-klagomål mail.docx", "A 26757-2025")</f>
        <v/>
      </c>
      <c r="AC23">
        <f>HYPERLINK("https://klasma.github.io/Logging_1766/tillsyn/A 26757-2025 tillsynsbegäran.docx", "A 26757-2025")</f>
        <v/>
      </c>
      <c r="AD23">
        <f>HYPERLINK("https://klasma.github.io/Logging_1766/tillsynsmail/A 26757-2025 tillsynsbegäran mail.docx", "A 26757-2025")</f>
        <v/>
      </c>
    </row>
    <row r="24" ht="15" customHeight="1">
      <c r="A24" t="inlineStr">
        <is>
          <t>A 36215-2026</t>
        </is>
      </c>
      <c r="B24" t="inlineStr">
        <is>
          <t>avverkningsanmälan</t>
        </is>
      </c>
      <c r="C24" t="inlineStr">
        <is>
          <t>Föryngringsavverkning</t>
        </is>
      </c>
      <c r="D24" s="1" t="n">
        <v>46267</v>
      </c>
      <c r="E24" s="1" t="n">
        <v>46313</v>
      </c>
      <c r="F24" t="inlineStr">
        <is>
          <t>VÄRMLANDS LÄN</t>
        </is>
      </c>
      <c r="G24" t="inlineStr">
        <is>
          <t>SUNNE</t>
        </is>
      </c>
      <c r="H24" t="inlineStr">
        <is>
          <t>Bergvik skog väst AB</t>
        </is>
      </c>
      <c r="I24" t="n">
        <v>11.7</v>
      </c>
      <c r="J24" t="n">
        <v>3</v>
      </c>
      <c r="K24" t="n">
        <v>0</v>
      </c>
      <c r="L24" t="n">
        <v>1</v>
      </c>
      <c r="M24" t="n">
        <v>0</v>
      </c>
      <c r="N24" t="n">
        <v>0</v>
      </c>
      <c r="O24" t="n">
        <v>0</v>
      </c>
      <c r="P24" t="n">
        <v>0</v>
      </c>
      <c r="Q24" t="n">
        <v>1</v>
      </c>
      <c r="R24" t="n">
        <v>0</v>
      </c>
      <c r="S24" t="n">
        <v>3</v>
      </c>
      <c r="T24" t="n">
        <v>3</v>
      </c>
      <c r="U24" t="n">
        <v>3</v>
      </c>
      <c r="V24" s="2" t="inlineStr">
        <is>
          <t>Sparvuggla
Tofsmes
Orre</t>
        </is>
      </c>
      <c r="W24">
        <f>HYPERLINK("https://klasma.github.io/Logging_1766/artfynd/A 36215-2026 artfynd.xlsx", "A 36215-2026")</f>
        <v/>
      </c>
      <c r="X24">
        <f>HYPERLINK("https://klasma.github.io/Logging_1766/kartor/A 36215-2026 karta.png", "A 36215-2026")</f>
        <v/>
      </c>
      <c r="Y24">
        <f>HYPERLINK("https://klasma.github.io/Logging_1766/kartor_geotiff/A 36215-2026 georefererad karta.tif", "A 36215-2026")</f>
        <v/>
      </c>
      <c r="AA24">
        <f>HYPERLINK("https://klasma.github.io/Logging_1766/klagomål/A 36215-2026 FSC-klagomål.docx", "A 36215-2026")</f>
        <v/>
      </c>
      <c r="AB24">
        <f>HYPERLINK("https://klasma.github.io/Logging_1766/klagomålsmail/A 36215-2026 FSC-klagomål mail.docx", "A 36215-2026")</f>
        <v/>
      </c>
      <c r="AC24">
        <f>HYPERLINK("https://klasma.github.io/Logging_1766/tillsyn/A 36215-2026 tillsynsbegäran.docx", "A 36215-2026")</f>
        <v/>
      </c>
      <c r="AD24">
        <f>HYPERLINK("https://klasma.github.io/Logging_1766/tillsynsmail/A 36215-2026 tillsynsbegäran mail.docx", "A 36215-2026")</f>
        <v/>
      </c>
      <c r="AE24">
        <f>HYPERLINK("https://klasma.github.io/Logging_1766/fåglar/A 36215-2026 prioriterade fågelarter.docx", "A 36215-2026")</f>
        <v/>
      </c>
    </row>
    <row r="25" ht="15" customHeight="1">
      <c r="A25" t="inlineStr">
        <is>
          <t>A 36211-2026</t>
        </is>
      </c>
      <c r="B25" t="inlineStr">
        <is>
          <t>avverkningsanmälan</t>
        </is>
      </c>
      <c r="C25" t="inlineStr">
        <is>
          <t>Föryngringsavverkning</t>
        </is>
      </c>
      <c r="D25" s="1" t="n">
        <v>46267</v>
      </c>
      <c r="E25" s="1" t="n">
        <v>46313</v>
      </c>
      <c r="F25" t="inlineStr">
        <is>
          <t>VÄRMLANDS LÄN</t>
        </is>
      </c>
      <c r="G25" t="inlineStr">
        <is>
          <t>SUNNE</t>
        </is>
      </c>
      <c r="H25" t="inlineStr">
        <is>
          <t>Bergvik skog väst AB</t>
        </is>
      </c>
      <c r="I25" t="n">
        <v>11.7</v>
      </c>
      <c r="J25" t="n">
        <v>3</v>
      </c>
      <c r="K25" t="n">
        <v>0</v>
      </c>
      <c r="L25" t="n">
        <v>1</v>
      </c>
      <c r="M25" t="n">
        <v>0</v>
      </c>
      <c r="N25" t="n">
        <v>0</v>
      </c>
      <c r="O25" t="n">
        <v>0</v>
      </c>
      <c r="P25" t="n">
        <v>0</v>
      </c>
      <c r="Q25" t="n">
        <v>1</v>
      </c>
      <c r="R25" t="n">
        <v>0</v>
      </c>
      <c r="S25" t="n">
        <v>3</v>
      </c>
      <c r="T25" t="n">
        <v>3</v>
      </c>
      <c r="U25" t="n">
        <v>3</v>
      </c>
      <c r="V25" s="2" t="inlineStr">
        <is>
          <t>Sparvuggla
Tofsmes
Orre</t>
        </is>
      </c>
      <c r="W25">
        <f>HYPERLINK("https://klasma.github.io/Logging_1766/artfynd/A 36211-2026 artfynd.xlsx", "A 36211-2026")</f>
        <v/>
      </c>
      <c r="X25">
        <f>HYPERLINK("https://klasma.github.io/Logging_1766/kartor/A 36211-2026 karta.png", "A 36211-2026")</f>
        <v/>
      </c>
      <c r="Y25">
        <f>HYPERLINK("https://klasma.github.io/Logging_1766/kartor_geotiff/A 36211-2026 georefererad karta.tif", "A 36211-2026")</f>
        <v/>
      </c>
      <c r="AA25">
        <f>HYPERLINK("https://klasma.github.io/Logging_1766/klagomål/A 36211-2026 FSC-klagomål.docx", "A 36211-2026")</f>
        <v/>
      </c>
      <c r="AB25">
        <f>HYPERLINK("https://klasma.github.io/Logging_1766/klagomålsmail/A 36211-2026 FSC-klagomål mail.docx", "A 36211-2026")</f>
        <v/>
      </c>
      <c r="AC25">
        <f>HYPERLINK("https://klasma.github.io/Logging_1766/tillsyn/A 36211-2026 tillsynsbegäran.docx", "A 36211-2026")</f>
        <v/>
      </c>
      <c r="AD25">
        <f>HYPERLINK("https://klasma.github.io/Logging_1766/tillsynsmail/A 36211-2026 tillsynsbegäran mail.docx", "A 36211-2026")</f>
        <v/>
      </c>
      <c r="AE25">
        <f>HYPERLINK("https://klasma.github.io/Logging_1766/fåglar/A 36211-2026 prioriterade fågelarter.docx", "A 36211-2026")</f>
        <v/>
      </c>
    </row>
    <row r="26" ht="15" customHeight="1">
      <c r="A26" t="inlineStr">
        <is>
          <t>S 115-2026</t>
        </is>
      </c>
      <c r="B26" t="inlineStr">
        <is>
          <t>samrådsanmälan</t>
        </is>
      </c>
      <c r="C26" t="inlineStr">
        <is>
          <t>Skogsgödsling</t>
        </is>
      </c>
      <c r="D26" s="1" t="n">
        <v>46037</v>
      </c>
      <c r="E26" s="1" t="n">
        <v>46313</v>
      </c>
      <c r="F26" t="inlineStr">
        <is>
          <t>VÄRMLANDS LÄN</t>
        </is>
      </c>
      <c r="G26" t="inlineStr">
        <is>
          <t>SUNNE</t>
        </is>
      </c>
      <c r="H26" t="inlineStr">
        <is>
          <t>Bergvik skog väst AB</t>
        </is>
      </c>
      <c r="I26" t="n">
        <v>86</v>
      </c>
      <c r="J26" t="n">
        <v>3</v>
      </c>
      <c r="K26" t="n">
        <v>0</v>
      </c>
      <c r="L26" t="n">
        <v>1</v>
      </c>
      <c r="M26" t="n">
        <v>0</v>
      </c>
      <c r="N26" t="n">
        <v>0</v>
      </c>
      <c r="O26" t="n">
        <v>0</v>
      </c>
      <c r="P26" t="n">
        <v>0</v>
      </c>
      <c r="Q26" t="n">
        <v>1</v>
      </c>
      <c r="R26" t="n">
        <v>0</v>
      </c>
      <c r="S26" t="n">
        <v>3</v>
      </c>
      <c r="T26" t="n">
        <v>4</v>
      </c>
      <c r="U26" t="n">
        <v>0</v>
      </c>
      <c r="V26" s="2" t="inlineStr">
        <is>
          <t>Talltita
Tjäder
Orre</t>
        </is>
      </c>
      <c r="W26">
        <f>HYPERLINK("https://klasma.github.io/Logging_1766/artfynd/S 115-2026 artfynd.xlsx", "S 115-2026")</f>
        <v/>
      </c>
      <c r="X26">
        <f>HYPERLINK("https://klasma.github.io/Logging_1766/kartor/S 115-2026 karta.png", "S 115-2026")</f>
        <v/>
      </c>
      <c r="Y26">
        <f>HYPERLINK("https://klasma.github.io/Logging_1766/kartor_geotiff/S 115-2026 georefererad karta.tif", "S 115-2026")</f>
        <v/>
      </c>
      <c r="AA26">
        <f>HYPERLINK("https://klasma.github.io/Logging_1766/klagomål/S 115-2026 FSC-klagomål.docx", "S 115-2026")</f>
        <v/>
      </c>
      <c r="AB26">
        <f>HYPERLINK("https://klasma.github.io/Logging_1766/klagomålsmail/S 115-2026 FSC-klagomål mail.docx", "S 115-2026")</f>
        <v/>
      </c>
      <c r="AC26">
        <f>HYPERLINK("https://klasma.github.io/Logging_1766/tillsyn/S 115-2026 tillsynsbegäran.docx", "S 115-2026")</f>
        <v/>
      </c>
      <c r="AD26">
        <f>HYPERLINK("https://klasma.github.io/Logging_1766/tillsynsmail/S 115-2026 tillsynsbegäran mail.docx", "S 115-2026")</f>
        <v/>
      </c>
      <c r="AE26">
        <f>HYPERLINK("https://klasma.github.io/Logging_1766/fåglar/S 115-2026 prioriterade fågelarter.docx", "S 115-2026")</f>
        <v/>
      </c>
    </row>
    <row r="27" ht="15" customHeight="1">
      <c r="A27" t="inlineStr">
        <is>
          <t>A 573-2022</t>
        </is>
      </c>
      <c r="B27" t="inlineStr">
        <is>
          <t>avverkningsanmälan</t>
        </is>
      </c>
      <c r="C27" t="inlineStr">
        <is>
          <t>Föryngringsavverkning</t>
        </is>
      </c>
      <c r="D27" s="1" t="n">
        <v>44566</v>
      </c>
      <c r="E27" s="1" t="n">
        <v>46313</v>
      </c>
      <c r="F27" t="inlineStr">
        <is>
          <t>VÄRMLANDS LÄN</t>
        </is>
      </c>
      <c r="G27" t="inlineStr">
        <is>
          <t>SUNNE</t>
        </is>
      </c>
      <c r="I27" t="n">
        <v>7.1</v>
      </c>
      <c r="J27" t="n">
        <v>1</v>
      </c>
      <c r="K27" t="n">
        <v>2</v>
      </c>
      <c r="L27" t="n">
        <v>0</v>
      </c>
      <c r="M27" t="n">
        <v>0</v>
      </c>
      <c r="N27" t="n">
        <v>0</v>
      </c>
      <c r="O27" t="n">
        <v>0</v>
      </c>
      <c r="P27" t="n">
        <v>0</v>
      </c>
      <c r="Q27" t="n">
        <v>0</v>
      </c>
      <c r="R27" t="n">
        <v>0</v>
      </c>
      <c r="S27" t="n">
        <v>2</v>
      </c>
      <c r="T27" t="n">
        <v>2</v>
      </c>
      <c r="U27" t="n">
        <v>0</v>
      </c>
      <c r="V27" s="2" t="inlineStr">
        <is>
          <t>Grön sköldmossa
Stubbspretmossa</t>
        </is>
      </c>
      <c r="W27">
        <f>HYPERLINK("https://klasma.github.io/Logging_1766/artfynd/A 573-2022 artfynd.xlsx", "A 573-2022")</f>
        <v/>
      </c>
      <c r="X27">
        <f>HYPERLINK("https://klasma.github.io/Logging_1766/kartor/A 573-2022 karta.png", "A 573-2022")</f>
        <v/>
      </c>
      <c r="Y27">
        <f>HYPERLINK("https://klasma.github.io/Logging_1766/kartor_geotiff/A 573-2022 georefererad karta.tif", "A 573-2022")</f>
        <v/>
      </c>
      <c r="AA27">
        <f>HYPERLINK("https://klasma.github.io/Logging_1766/klagomål/A 573-2022 FSC-klagomål.docx", "A 573-2022")</f>
        <v/>
      </c>
      <c r="AB27">
        <f>HYPERLINK("https://klasma.github.io/Logging_1766/klagomålsmail/A 573-2022 FSC-klagomål mail.docx", "A 573-2022")</f>
        <v/>
      </c>
      <c r="AC27">
        <f>HYPERLINK("https://klasma.github.io/Logging_1766/tillsyn/A 573-2022 tillsynsbegäran.docx", "A 573-2022")</f>
        <v/>
      </c>
      <c r="AD27">
        <f>HYPERLINK("https://klasma.github.io/Logging_1766/tillsynsmail/A 573-2022 tillsynsbegäran mail.docx", "A 573-2022")</f>
        <v/>
      </c>
    </row>
    <row r="28" ht="15" customHeight="1">
      <c r="A28" t="inlineStr">
        <is>
          <t>A 3087-2024</t>
        </is>
      </c>
      <c r="B28" t="inlineStr">
        <is>
          <t>avverkningsanmälan</t>
        </is>
      </c>
      <c r="C28" t="inlineStr">
        <is>
          <t>Föryngringsavverkning</t>
        </is>
      </c>
      <c r="D28" s="1" t="n">
        <v>45316</v>
      </c>
      <c r="E28" s="1" t="n">
        <v>46313</v>
      </c>
      <c r="F28" t="inlineStr">
        <is>
          <t>VÄRMLANDS LÄN</t>
        </is>
      </c>
      <c r="G28" t="inlineStr">
        <is>
          <t>SUNNE</t>
        </is>
      </c>
      <c r="H28" t="inlineStr">
        <is>
          <t>Kommuner</t>
        </is>
      </c>
      <c r="I28" t="n">
        <v>2.9</v>
      </c>
      <c r="J28" t="n">
        <v>1</v>
      </c>
      <c r="K28" t="n">
        <v>0</v>
      </c>
      <c r="L28" t="n">
        <v>0</v>
      </c>
      <c r="M28" t="n">
        <v>0</v>
      </c>
      <c r="N28" t="n">
        <v>0</v>
      </c>
      <c r="O28" t="n">
        <v>0</v>
      </c>
      <c r="P28" t="n">
        <v>0</v>
      </c>
      <c r="Q28" t="n">
        <v>0</v>
      </c>
      <c r="R28" t="n">
        <v>0</v>
      </c>
      <c r="S28" t="n">
        <v>2</v>
      </c>
      <c r="T28" t="n">
        <v>2</v>
      </c>
      <c r="U28" t="n">
        <v>2</v>
      </c>
      <c r="V28" s="2" t="inlineStr">
        <is>
          <t>Linnea
Spillkråka</t>
        </is>
      </c>
      <c r="W28">
        <f>HYPERLINK("https://klasma.github.io/Logging_1766/artfynd/A 3087-2024 artfynd.xlsx", "A 3087-2024")</f>
        <v/>
      </c>
      <c r="X28">
        <f>HYPERLINK("https://klasma.github.io/Logging_1766/kartor/A 3087-2024 karta.png", "A 3087-2024")</f>
        <v/>
      </c>
      <c r="Y28">
        <f>HYPERLINK("https://klasma.github.io/Logging_1766/kartor_geotiff/A 3087-2024 georefererad karta.tif", "A 3087-2024")</f>
        <v/>
      </c>
      <c r="AA28">
        <f>HYPERLINK("https://klasma.github.io/Logging_1766/klagomål/A 3087-2024 FSC-klagomål.docx", "A 3087-2024")</f>
        <v/>
      </c>
      <c r="AB28">
        <f>HYPERLINK("https://klasma.github.io/Logging_1766/klagomålsmail/A 3087-2024 FSC-klagomål mail.docx", "A 3087-2024")</f>
        <v/>
      </c>
      <c r="AC28">
        <f>HYPERLINK("https://klasma.github.io/Logging_1766/tillsyn/A 3087-2024 tillsynsbegäran.docx", "A 3087-2024")</f>
        <v/>
      </c>
      <c r="AD28">
        <f>HYPERLINK("https://klasma.github.io/Logging_1766/tillsynsmail/A 3087-2024 tillsynsbegäran mail.docx", "A 3087-2024")</f>
        <v/>
      </c>
      <c r="AE28">
        <f>HYPERLINK("https://klasma.github.io/Logging_1766/fåglar/A 3087-2024 prioriterade fågelarter.docx", "A 3087-2024")</f>
        <v/>
      </c>
    </row>
    <row r="29" ht="15" customHeight="1">
      <c r="A29" t="inlineStr">
        <is>
          <t>A 47097-2024</t>
        </is>
      </c>
      <c r="B29" t="inlineStr">
        <is>
          <t>avverkningsanmälan</t>
        </is>
      </c>
      <c r="C29" t="inlineStr">
        <is>
          <t>Föryngringsavverkning</t>
        </is>
      </c>
      <c r="D29" s="1" t="n">
        <v>45586</v>
      </c>
      <c r="E29" s="1" t="n">
        <v>46313</v>
      </c>
      <c r="F29" t="inlineStr">
        <is>
          <t>VÄRMLANDS LÄN</t>
        </is>
      </c>
      <c r="G29" t="inlineStr">
        <is>
          <t>SUNNE</t>
        </is>
      </c>
      <c r="H29" t="inlineStr">
        <is>
          <t>Kommuner</t>
        </is>
      </c>
      <c r="I29" t="n">
        <v>0.4</v>
      </c>
      <c r="J29" t="n">
        <v>1</v>
      </c>
      <c r="K29" t="n">
        <v>0</v>
      </c>
      <c r="L29" t="n">
        <v>1</v>
      </c>
      <c r="M29" t="n">
        <v>0</v>
      </c>
      <c r="N29" t="n">
        <v>0</v>
      </c>
      <c r="O29" t="n">
        <v>0</v>
      </c>
      <c r="P29" t="n">
        <v>0</v>
      </c>
      <c r="Q29" t="n">
        <v>1</v>
      </c>
      <c r="R29" t="n">
        <v>0</v>
      </c>
      <c r="S29" t="n">
        <v>2</v>
      </c>
      <c r="T29" t="n">
        <v>2</v>
      </c>
      <c r="U29" t="n">
        <v>2</v>
      </c>
      <c r="V29" s="2" t="inlineStr">
        <is>
          <t>Gullklöver
Vanlig groda</t>
        </is>
      </c>
      <c r="W29">
        <f>HYPERLINK("https://klasma.github.io/Logging_1766/artfynd/A 47097-2024 artfynd.xlsx", "A 47097-2024")</f>
        <v/>
      </c>
      <c r="X29">
        <f>HYPERLINK("https://klasma.github.io/Logging_1766/kartor/A 47097-2024 karta.png", "A 47097-2024")</f>
        <v/>
      </c>
      <c r="Y29">
        <f>HYPERLINK("https://klasma.github.io/Logging_1766/kartor_geotiff/A 47097-2024 georefererad karta.tif", "A 47097-2024")</f>
        <v/>
      </c>
      <c r="AA29">
        <f>HYPERLINK("https://klasma.github.io/Logging_1766/klagomål/A 47097-2024 FSC-klagomål.docx", "A 47097-2024")</f>
        <v/>
      </c>
      <c r="AB29">
        <f>HYPERLINK("https://klasma.github.io/Logging_1766/klagomålsmail/A 47097-2024 FSC-klagomål mail.docx", "A 47097-2024")</f>
        <v/>
      </c>
      <c r="AC29">
        <f>HYPERLINK("https://klasma.github.io/Logging_1766/tillsyn/A 47097-2024 tillsynsbegäran.docx", "A 47097-2024")</f>
        <v/>
      </c>
      <c r="AD29">
        <f>HYPERLINK("https://klasma.github.io/Logging_1766/tillsynsmail/A 47097-2024 tillsynsbegäran mail.docx", "A 47097-2024")</f>
        <v/>
      </c>
    </row>
    <row r="30" ht="15" customHeight="1">
      <c r="A30" t="inlineStr">
        <is>
          <t>A 10279-2023</t>
        </is>
      </c>
      <c r="B30" t="inlineStr">
        <is>
          <t>avverkningsanmälan</t>
        </is>
      </c>
      <c r="C30" t="inlineStr">
        <is>
          <t>Föryngringsavverkning</t>
        </is>
      </c>
      <c r="D30" s="1" t="n">
        <v>44986</v>
      </c>
      <c r="E30" s="1" t="n">
        <v>46313</v>
      </c>
      <c r="F30" t="inlineStr">
        <is>
          <t>VÄRMLANDS LÄN</t>
        </is>
      </c>
      <c r="G30" t="inlineStr">
        <is>
          <t>SUNNE</t>
        </is>
      </c>
      <c r="I30" t="n">
        <v>7.1</v>
      </c>
      <c r="J30" t="n">
        <v>0</v>
      </c>
      <c r="K30" t="n">
        <v>2</v>
      </c>
      <c r="L30" t="n">
        <v>0</v>
      </c>
      <c r="M30" t="n">
        <v>0</v>
      </c>
      <c r="N30" t="n">
        <v>0</v>
      </c>
      <c r="O30" t="n">
        <v>0</v>
      </c>
      <c r="P30" t="n">
        <v>0</v>
      </c>
      <c r="Q30" t="n">
        <v>0</v>
      </c>
      <c r="R30" t="n">
        <v>0</v>
      </c>
      <c r="S30" t="n">
        <v>2</v>
      </c>
      <c r="T30" t="n">
        <v>3</v>
      </c>
      <c r="U30" t="n">
        <v>1</v>
      </c>
      <c r="V30" s="2" t="inlineStr">
        <is>
          <t>Bronshjon
Korallblylav</t>
        </is>
      </c>
      <c r="W30">
        <f>HYPERLINK("https://klasma.github.io/Logging_1766/artfynd/A 10279-2023 artfynd.xlsx", "A 10279-2023")</f>
        <v/>
      </c>
      <c r="X30">
        <f>HYPERLINK("https://klasma.github.io/Logging_1766/kartor/A 10279-2023 karta.png", "A 10279-2023")</f>
        <v/>
      </c>
      <c r="Y30">
        <f>HYPERLINK("https://klasma.github.io/Logging_1766/kartor_geotiff/A 10279-2023 georefererad karta.tif", "A 10279-2023")</f>
        <v/>
      </c>
      <c r="AA30">
        <f>HYPERLINK("https://klasma.github.io/Logging_1766/klagomål/A 10279-2023 FSC-klagomål.docx", "A 10279-2023")</f>
        <v/>
      </c>
      <c r="AB30">
        <f>HYPERLINK("https://klasma.github.io/Logging_1766/klagomålsmail/A 10279-2023 FSC-klagomål mail.docx", "A 10279-2023")</f>
        <v/>
      </c>
      <c r="AC30">
        <f>HYPERLINK("https://klasma.github.io/Logging_1766/tillsyn/A 10279-2023 tillsynsbegäran.docx", "A 10279-2023")</f>
        <v/>
      </c>
      <c r="AD30">
        <f>HYPERLINK("https://klasma.github.io/Logging_1766/tillsynsmail/A 10279-2023 tillsynsbegäran mail.docx", "A 10279-2023")</f>
        <v/>
      </c>
    </row>
    <row r="31" ht="15" customHeight="1">
      <c r="A31" t="inlineStr">
        <is>
          <t>A 49817-2025</t>
        </is>
      </c>
      <c r="B31" t="inlineStr">
        <is>
          <t>avverkningsanmälan</t>
        </is>
      </c>
      <c r="C31" t="inlineStr">
        <is>
          <t>Föryngringsavverkning</t>
        </is>
      </c>
      <c r="D31" s="1" t="n">
        <v>45940</v>
      </c>
      <c r="E31" s="1" t="n">
        <v>46313</v>
      </c>
      <c r="F31" t="inlineStr">
        <is>
          <t>VÄRMLANDS LÄN</t>
        </is>
      </c>
      <c r="G31" t="inlineStr">
        <is>
          <t>SUNNE</t>
        </is>
      </c>
      <c r="H31" t="inlineStr">
        <is>
          <t>Bergvik skog väst AB</t>
        </is>
      </c>
      <c r="I31" t="n">
        <v>8.800000000000001</v>
      </c>
      <c r="J31" t="n">
        <v>2</v>
      </c>
      <c r="K31" t="n">
        <v>1</v>
      </c>
      <c r="L31" t="n">
        <v>1</v>
      </c>
      <c r="M31" t="n">
        <v>0</v>
      </c>
      <c r="N31" t="n">
        <v>0</v>
      </c>
      <c r="O31" t="n">
        <v>0</v>
      </c>
      <c r="P31" t="n">
        <v>0</v>
      </c>
      <c r="Q31" t="n">
        <v>1</v>
      </c>
      <c r="R31" t="n">
        <v>0</v>
      </c>
      <c r="S31" t="n">
        <v>2</v>
      </c>
      <c r="T31" t="n">
        <v>2</v>
      </c>
      <c r="U31" t="n">
        <v>1</v>
      </c>
      <c r="V31" s="2" t="inlineStr">
        <is>
          <t>Bivråk
Spindelblomster</t>
        </is>
      </c>
      <c r="W31">
        <f>HYPERLINK("https://klasma.github.io/Logging_1766/artfynd/A 49817-2025 artfynd.xlsx", "A 49817-2025")</f>
        <v/>
      </c>
      <c r="X31">
        <f>HYPERLINK("https://klasma.github.io/Logging_1766/kartor/A 49817-2025 karta.png", "A 49817-2025")</f>
        <v/>
      </c>
      <c r="Y31">
        <f>HYPERLINK("https://klasma.github.io/Logging_1766/kartor_geotiff/A 49817-2025 georefererad karta.tif", "A 49817-2025")</f>
        <v/>
      </c>
      <c r="AA31">
        <f>HYPERLINK("https://klasma.github.io/Logging_1766/klagomål/A 49817-2025 FSC-klagomål.docx", "A 49817-2025")</f>
        <v/>
      </c>
      <c r="AB31">
        <f>HYPERLINK("https://klasma.github.io/Logging_1766/klagomålsmail/A 49817-2025 FSC-klagomål mail.docx", "A 49817-2025")</f>
        <v/>
      </c>
      <c r="AC31">
        <f>HYPERLINK("https://klasma.github.io/Logging_1766/tillsyn/A 49817-2025 tillsynsbegäran.docx", "A 49817-2025")</f>
        <v/>
      </c>
      <c r="AD31">
        <f>HYPERLINK("https://klasma.github.io/Logging_1766/tillsynsmail/A 49817-2025 tillsynsbegäran mail.docx", "A 49817-2025")</f>
        <v/>
      </c>
      <c r="AE31">
        <f>HYPERLINK("https://klasma.github.io/Logging_1766/fåglar/A 49817-2025 prioriterade fågelarter.docx", "A 49817-2025")</f>
        <v/>
      </c>
    </row>
    <row r="32" ht="15" customHeight="1">
      <c r="A32" t="inlineStr">
        <is>
          <t>A 49892-2025</t>
        </is>
      </c>
      <c r="B32" t="inlineStr">
        <is>
          <t>avverkningsanmälan</t>
        </is>
      </c>
      <c r="C32" t="inlineStr">
        <is>
          <t>Föryngringsavverkning</t>
        </is>
      </c>
      <c r="D32" s="1" t="n">
        <v>45940</v>
      </c>
      <c r="E32" s="1" t="n">
        <v>46313</v>
      </c>
      <c r="F32" t="inlineStr">
        <is>
          <t>VÄRMLANDS LÄN</t>
        </is>
      </c>
      <c r="G32" t="inlineStr">
        <is>
          <t>SUNNE</t>
        </is>
      </c>
      <c r="H32" t="inlineStr">
        <is>
          <t>Bergvik skog väst AB</t>
        </is>
      </c>
      <c r="I32" t="n">
        <v>0.5</v>
      </c>
      <c r="J32" t="n">
        <v>2</v>
      </c>
      <c r="K32" t="n">
        <v>0</v>
      </c>
      <c r="L32" t="n">
        <v>0</v>
      </c>
      <c r="M32" t="n">
        <v>0</v>
      </c>
      <c r="N32" t="n">
        <v>0</v>
      </c>
      <c r="O32" t="n">
        <v>0</v>
      </c>
      <c r="P32" t="n">
        <v>0</v>
      </c>
      <c r="Q32" t="n">
        <v>0</v>
      </c>
      <c r="R32" t="n">
        <v>0</v>
      </c>
      <c r="S32" t="n">
        <v>2</v>
      </c>
      <c r="T32" t="n">
        <v>2</v>
      </c>
      <c r="U32" t="n">
        <v>2</v>
      </c>
      <c r="V32" s="2" t="inlineStr">
        <is>
          <t>Tjäder
Orre</t>
        </is>
      </c>
      <c r="W32">
        <f>HYPERLINK("https://klasma.github.io/Logging_1766/artfynd/A 49892-2025 artfynd.xlsx", "A 49892-2025")</f>
        <v/>
      </c>
      <c r="X32">
        <f>HYPERLINK("https://klasma.github.io/Logging_1766/kartor/A 49892-2025 karta.png", "A 49892-2025")</f>
        <v/>
      </c>
      <c r="Y32">
        <f>HYPERLINK("https://klasma.github.io/Logging_1766/kartor_geotiff/A 49892-2025 georefererad karta.tif", "A 49892-2025")</f>
        <v/>
      </c>
      <c r="AA32">
        <f>HYPERLINK("https://klasma.github.io/Logging_1766/klagomål/A 49892-2025 FSC-klagomål.docx", "A 49892-2025")</f>
        <v/>
      </c>
      <c r="AB32">
        <f>HYPERLINK("https://klasma.github.io/Logging_1766/klagomålsmail/A 49892-2025 FSC-klagomål mail.docx", "A 49892-2025")</f>
        <v/>
      </c>
      <c r="AC32">
        <f>HYPERLINK("https://klasma.github.io/Logging_1766/tillsyn/A 49892-2025 tillsynsbegäran.docx", "A 49892-2025")</f>
        <v/>
      </c>
      <c r="AD32">
        <f>HYPERLINK("https://klasma.github.io/Logging_1766/tillsynsmail/A 49892-2025 tillsynsbegäran mail.docx", "A 49892-2025")</f>
        <v/>
      </c>
      <c r="AE32">
        <f>HYPERLINK("https://klasma.github.io/Logging_1766/fåglar/A 49892-2025 prioriterade fågelarter.docx", "A 49892-2025")</f>
        <v/>
      </c>
    </row>
    <row r="33" ht="15" customHeight="1">
      <c r="A33" t="inlineStr">
        <is>
          <t>A 49823-2025</t>
        </is>
      </c>
      <c r="B33" t="inlineStr">
        <is>
          <t>avverkningsanmälan</t>
        </is>
      </c>
      <c r="C33" t="inlineStr">
        <is>
          <t>Föryngringsavverkning</t>
        </is>
      </c>
      <c r="D33" s="1" t="n">
        <v>45940</v>
      </c>
      <c r="E33" s="1" t="n">
        <v>46313</v>
      </c>
      <c r="F33" t="inlineStr">
        <is>
          <t>VÄRMLANDS LÄN</t>
        </is>
      </c>
      <c r="G33" t="inlineStr">
        <is>
          <t>SUNNE</t>
        </is>
      </c>
      <c r="H33" t="inlineStr">
        <is>
          <t>Bergvik skog väst AB</t>
        </is>
      </c>
      <c r="I33" t="n">
        <v>11.1</v>
      </c>
      <c r="J33" t="n">
        <v>2</v>
      </c>
      <c r="K33" t="n">
        <v>1</v>
      </c>
      <c r="L33" t="n">
        <v>1</v>
      </c>
      <c r="M33" t="n">
        <v>0</v>
      </c>
      <c r="N33" t="n">
        <v>0</v>
      </c>
      <c r="O33" t="n">
        <v>0</v>
      </c>
      <c r="P33" t="n">
        <v>0</v>
      </c>
      <c r="Q33" t="n">
        <v>1</v>
      </c>
      <c r="R33" t="n">
        <v>0</v>
      </c>
      <c r="S33" t="n">
        <v>2</v>
      </c>
      <c r="T33" t="n">
        <v>2</v>
      </c>
      <c r="U33" t="n">
        <v>1</v>
      </c>
      <c r="V33" s="2" t="inlineStr">
        <is>
          <t>Bivråk
Spindelblomster</t>
        </is>
      </c>
      <c r="W33">
        <f>HYPERLINK("https://klasma.github.io/Logging_1766/artfynd/A 49823-2025 artfynd.xlsx", "A 49823-2025")</f>
        <v/>
      </c>
      <c r="X33">
        <f>HYPERLINK("https://klasma.github.io/Logging_1766/kartor/A 49823-2025 karta.png", "A 49823-2025")</f>
        <v/>
      </c>
      <c r="Y33">
        <f>HYPERLINK("https://klasma.github.io/Logging_1766/kartor_geotiff/A 49823-2025 georefererad karta.tif", "A 49823-2025")</f>
        <v/>
      </c>
      <c r="AA33">
        <f>HYPERLINK("https://klasma.github.io/Logging_1766/klagomål/A 49823-2025 FSC-klagomål.docx", "A 49823-2025")</f>
        <v/>
      </c>
      <c r="AB33">
        <f>HYPERLINK("https://klasma.github.io/Logging_1766/klagomålsmail/A 49823-2025 FSC-klagomål mail.docx", "A 49823-2025")</f>
        <v/>
      </c>
      <c r="AC33">
        <f>HYPERLINK("https://klasma.github.io/Logging_1766/tillsyn/A 49823-2025 tillsynsbegäran.docx", "A 49823-2025")</f>
        <v/>
      </c>
      <c r="AD33">
        <f>HYPERLINK("https://klasma.github.io/Logging_1766/tillsynsmail/A 49823-2025 tillsynsbegäran mail.docx", "A 49823-2025")</f>
        <v/>
      </c>
      <c r="AE33">
        <f>HYPERLINK("https://klasma.github.io/Logging_1766/fåglar/A 49823-2025 prioriterade fågelarter.docx", "A 49823-2025")</f>
        <v/>
      </c>
    </row>
    <row r="34" ht="15" customHeight="1">
      <c r="A34" t="inlineStr">
        <is>
          <t>A 383-2026</t>
        </is>
      </c>
      <c r="B34" t="inlineStr">
        <is>
          <t>avverkningsanmälan</t>
        </is>
      </c>
      <c r="C34" t="inlineStr">
        <is>
          <t>Föryngringsavverkning</t>
        </is>
      </c>
      <c r="D34" s="1" t="n">
        <v>46027</v>
      </c>
      <c r="E34" s="1" t="n">
        <v>46313</v>
      </c>
      <c r="F34" t="inlineStr">
        <is>
          <t>VÄRMLANDS LÄN</t>
        </is>
      </c>
      <c r="G34" t="inlineStr">
        <is>
          <t>SUNNE</t>
        </is>
      </c>
      <c r="I34" t="n">
        <v>5.8</v>
      </c>
      <c r="J34" t="n">
        <v>1</v>
      </c>
      <c r="K34" t="n">
        <v>0</v>
      </c>
      <c r="L34" t="n">
        <v>1</v>
      </c>
      <c r="M34" t="n">
        <v>1</v>
      </c>
      <c r="N34" t="n">
        <v>0</v>
      </c>
      <c r="O34" t="n">
        <v>0</v>
      </c>
      <c r="P34" t="n">
        <v>0</v>
      </c>
      <c r="Q34" t="n">
        <v>2</v>
      </c>
      <c r="R34" t="n">
        <v>1</v>
      </c>
      <c r="S34" t="n">
        <v>2</v>
      </c>
      <c r="T34" t="n">
        <v>2</v>
      </c>
      <c r="U34" t="n">
        <v>1</v>
      </c>
      <c r="V34" s="2" t="inlineStr">
        <is>
          <t>Garnlav
Kungsörn</t>
        </is>
      </c>
      <c r="W34">
        <f>HYPERLINK("https://klasma.github.io/Logging_1766/artfynd/A 383-2026 artfynd.xlsx", "A 383-2026")</f>
        <v/>
      </c>
      <c r="X34">
        <f>HYPERLINK("https://klasma.github.io/Logging_1766/kartor/A 383-2026 karta.png", "A 383-2026")</f>
        <v/>
      </c>
      <c r="Y34">
        <f>HYPERLINK("https://klasma.github.io/Logging_1766/kartor_geotiff/A 383-2026 georefererad karta.tif", "A 383-2026")</f>
        <v/>
      </c>
      <c r="AA34">
        <f>HYPERLINK("https://klasma.github.io/Logging_1766/klagomål/A 383-2026 FSC-klagomål.docx", "A 383-2026")</f>
        <v/>
      </c>
      <c r="AB34">
        <f>HYPERLINK("https://klasma.github.io/Logging_1766/klagomålsmail/A 383-2026 FSC-klagomål mail.docx", "A 383-2026")</f>
        <v/>
      </c>
      <c r="AC34">
        <f>HYPERLINK("https://klasma.github.io/Logging_1766/tillsyn/A 383-2026 tillsynsbegäran.docx", "A 383-2026")</f>
        <v/>
      </c>
      <c r="AD34">
        <f>HYPERLINK("https://klasma.github.io/Logging_1766/tillsynsmail/A 383-2026 tillsynsbegäran mail.docx", "A 383-2026")</f>
        <v/>
      </c>
      <c r="AE34">
        <f>HYPERLINK("https://klasma.github.io/Logging_1766/fåglar/A 383-2026 prioriterade fågelarter.docx", "A 383-2026")</f>
        <v/>
      </c>
    </row>
    <row r="35" ht="15" customHeight="1">
      <c r="A35" t="inlineStr">
        <is>
          <t>A 23042-2026</t>
        </is>
      </c>
      <c r="B35" t="inlineStr">
        <is>
          <t>avverkningsanmälan</t>
        </is>
      </c>
      <c r="C35" t="inlineStr">
        <is>
          <t>Föryngringsavverkning</t>
        </is>
      </c>
      <c r="D35" s="1" t="n">
        <v>46161</v>
      </c>
      <c r="E35" s="1" t="n">
        <v>46313</v>
      </c>
      <c r="F35" t="inlineStr">
        <is>
          <t>VÄRMLANDS LÄN</t>
        </is>
      </c>
      <c r="G35" t="inlineStr">
        <is>
          <t>SUNNE</t>
        </is>
      </c>
      <c r="I35" t="n">
        <v>2.7</v>
      </c>
      <c r="J35" t="n">
        <v>1</v>
      </c>
      <c r="K35" t="n">
        <v>1</v>
      </c>
      <c r="L35" t="n">
        <v>0</v>
      </c>
      <c r="M35" t="n">
        <v>0</v>
      </c>
      <c r="N35" t="n">
        <v>0</v>
      </c>
      <c r="O35" t="n">
        <v>0</v>
      </c>
      <c r="P35" t="n">
        <v>0</v>
      </c>
      <c r="Q35" t="n">
        <v>0</v>
      </c>
      <c r="R35" t="n">
        <v>0</v>
      </c>
      <c r="S35" t="n">
        <v>2</v>
      </c>
      <c r="T35" t="n">
        <v>2</v>
      </c>
      <c r="U35" t="n">
        <v>0</v>
      </c>
      <c r="V35" s="2" t="inlineStr">
        <is>
          <t>Springkorn
Fläcknycklar</t>
        </is>
      </c>
      <c r="W35">
        <f>HYPERLINK("https://klasma.github.io/Logging_1766/artfynd/A 23042-2026 artfynd.xlsx", "A 23042-2026")</f>
        <v/>
      </c>
      <c r="X35">
        <f>HYPERLINK("https://klasma.github.io/Logging_1766/kartor/A 23042-2026 karta.png", "A 23042-2026")</f>
        <v/>
      </c>
      <c r="Y35">
        <f>HYPERLINK("https://klasma.github.io/Logging_1766/kartor_geotiff/A 23042-2026 georefererad karta.tif", "A 23042-2026")</f>
        <v/>
      </c>
      <c r="AA35">
        <f>HYPERLINK("https://klasma.github.io/Logging_1766/klagomål/A 23042-2026 FSC-klagomål.docx", "A 23042-2026")</f>
        <v/>
      </c>
      <c r="AB35">
        <f>HYPERLINK("https://klasma.github.io/Logging_1766/klagomålsmail/A 23042-2026 FSC-klagomål mail.docx", "A 23042-2026")</f>
        <v/>
      </c>
      <c r="AC35">
        <f>HYPERLINK("https://klasma.github.io/Logging_1766/tillsyn/A 23042-2026 tillsynsbegäran.docx", "A 23042-2026")</f>
        <v/>
      </c>
      <c r="AD35">
        <f>HYPERLINK("https://klasma.github.io/Logging_1766/tillsynsmail/A 23042-2026 tillsynsbegäran mail.docx", "A 23042-2026")</f>
        <v/>
      </c>
    </row>
    <row r="36" ht="15" customHeight="1">
      <c r="A36" t="inlineStr">
        <is>
          <t>A 8386-2026</t>
        </is>
      </c>
      <c r="B36" t="inlineStr">
        <is>
          <t>avverkningsanmälan</t>
        </is>
      </c>
      <c r="C36" t="inlineStr">
        <is>
          <t>Föryngringsavverkning</t>
        </is>
      </c>
      <c r="D36" s="1" t="n">
        <v>46064</v>
      </c>
      <c r="E36" s="1" t="n">
        <v>46313</v>
      </c>
      <c r="F36" t="inlineStr">
        <is>
          <t>VÄRMLANDS LÄN</t>
        </is>
      </c>
      <c r="G36" t="inlineStr">
        <is>
          <t>SUNNE</t>
        </is>
      </c>
      <c r="I36" t="n">
        <v>5.8</v>
      </c>
      <c r="J36" t="n">
        <v>1</v>
      </c>
      <c r="K36" t="n">
        <v>0</v>
      </c>
      <c r="L36" t="n">
        <v>1</v>
      </c>
      <c r="M36" t="n">
        <v>0</v>
      </c>
      <c r="N36" t="n">
        <v>0</v>
      </c>
      <c r="O36" t="n">
        <v>0</v>
      </c>
      <c r="P36" t="n">
        <v>0</v>
      </c>
      <c r="Q36" t="n">
        <v>1</v>
      </c>
      <c r="R36" t="n">
        <v>0</v>
      </c>
      <c r="S36" t="n">
        <v>2</v>
      </c>
      <c r="T36" t="n">
        <v>2</v>
      </c>
      <c r="U36" t="n">
        <v>0</v>
      </c>
      <c r="V36" s="2" t="inlineStr">
        <is>
          <t>Svartvit taggsvamp
Fläcknycklar</t>
        </is>
      </c>
      <c r="W36">
        <f>HYPERLINK("https://klasma.github.io/Logging_1766/artfynd/A 8386-2026 artfynd.xlsx", "A 8386-2026")</f>
        <v/>
      </c>
      <c r="X36">
        <f>HYPERLINK("https://klasma.github.io/Logging_1766/kartor/A 8386-2026 karta.png", "A 8386-2026")</f>
        <v/>
      </c>
      <c r="Y36">
        <f>HYPERLINK("https://klasma.github.io/Logging_1766/kartor_geotiff/A 8386-2026 georefererad karta.tif", "A 8386-2026")</f>
        <v/>
      </c>
      <c r="AA36">
        <f>HYPERLINK("https://klasma.github.io/Logging_1766/klagomål/A 8386-2026 FSC-klagomål.docx", "A 8386-2026")</f>
        <v/>
      </c>
      <c r="AB36">
        <f>HYPERLINK("https://klasma.github.io/Logging_1766/klagomålsmail/A 8386-2026 FSC-klagomål mail.docx", "A 8386-2026")</f>
        <v/>
      </c>
      <c r="AC36">
        <f>HYPERLINK("https://klasma.github.io/Logging_1766/tillsyn/A 8386-2026 tillsynsbegäran.docx", "A 8386-2026")</f>
        <v/>
      </c>
      <c r="AD36">
        <f>HYPERLINK("https://klasma.github.io/Logging_1766/tillsynsmail/A 8386-2026 tillsynsbegäran mail.docx", "A 8386-2026")</f>
        <v/>
      </c>
    </row>
    <row r="37" ht="15" customHeight="1">
      <c r="A37" t="inlineStr">
        <is>
          <t>A 56624-2022</t>
        </is>
      </c>
      <c r="B37" t="inlineStr">
        <is>
          <t>avverkningsanmälan</t>
        </is>
      </c>
      <c r="C37" t="inlineStr">
        <is>
          <t>Föryngringsavverkning</t>
        </is>
      </c>
      <c r="D37" s="1" t="n">
        <v>44893</v>
      </c>
      <c r="E37" s="1" t="n">
        <v>46313</v>
      </c>
      <c r="F37" t="inlineStr">
        <is>
          <t>VÄRMLANDS LÄN</t>
        </is>
      </c>
      <c r="G37" t="inlineStr">
        <is>
          <t>SUNNE</t>
        </is>
      </c>
      <c r="I37" t="n">
        <v>3</v>
      </c>
      <c r="J37" t="n">
        <v>0</v>
      </c>
      <c r="K37" t="n">
        <v>1</v>
      </c>
      <c r="L37" t="n">
        <v>1</v>
      </c>
      <c r="M37" t="n">
        <v>0</v>
      </c>
      <c r="N37" t="n">
        <v>0</v>
      </c>
      <c r="O37" t="n">
        <v>0</v>
      </c>
      <c r="P37" t="n">
        <v>0</v>
      </c>
      <c r="Q37" t="n">
        <v>1</v>
      </c>
      <c r="R37" t="n">
        <v>0</v>
      </c>
      <c r="S37" t="n">
        <v>2</v>
      </c>
      <c r="T37" t="n">
        <v>2</v>
      </c>
      <c r="U37" t="n">
        <v>1</v>
      </c>
      <c r="V37" s="2" t="inlineStr">
        <is>
          <t>Kattfotslav
Bronshjon</t>
        </is>
      </c>
      <c r="W37">
        <f>HYPERLINK("https://klasma.github.io/Logging_1766/artfynd/A 56624-2022 artfynd.xlsx", "A 56624-2022")</f>
        <v/>
      </c>
      <c r="X37">
        <f>HYPERLINK("https://klasma.github.io/Logging_1766/kartor/A 56624-2022 karta.png", "A 56624-2022")</f>
        <v/>
      </c>
      <c r="Y37">
        <f>HYPERLINK("https://klasma.github.io/Logging_1766/kartor_geotiff/A 56624-2022 georefererad karta.tif", "A 56624-2022")</f>
        <v/>
      </c>
      <c r="AA37">
        <f>HYPERLINK("https://klasma.github.io/Logging_1766/klagomål/A 56624-2022 FSC-klagomål.docx", "A 56624-2022")</f>
        <v/>
      </c>
      <c r="AB37">
        <f>HYPERLINK("https://klasma.github.io/Logging_1766/klagomålsmail/A 56624-2022 FSC-klagomål mail.docx", "A 56624-2022")</f>
        <v/>
      </c>
      <c r="AC37">
        <f>HYPERLINK("https://klasma.github.io/Logging_1766/tillsyn/A 56624-2022 tillsynsbegäran.docx", "A 56624-2022")</f>
        <v/>
      </c>
      <c r="AD37">
        <f>HYPERLINK("https://klasma.github.io/Logging_1766/tillsynsmail/A 56624-2022 tillsynsbegäran mail.docx", "A 56624-2022")</f>
        <v/>
      </c>
    </row>
    <row r="38" ht="15" customHeight="1">
      <c r="A38" t="inlineStr">
        <is>
          <t>A 40235-2022</t>
        </is>
      </c>
      <c r="B38" t="inlineStr">
        <is>
          <t>avverkningsanmälan</t>
        </is>
      </c>
      <c r="C38" t="inlineStr">
        <is>
          <t>Föryngringsavverkning</t>
        </is>
      </c>
      <c r="D38" s="1" t="n">
        <v>44820</v>
      </c>
      <c r="E38" s="1" t="n">
        <v>46313</v>
      </c>
      <c r="F38" t="inlineStr">
        <is>
          <t>VÄRMLANDS LÄN</t>
        </is>
      </c>
      <c r="G38" t="inlineStr">
        <is>
          <t>SUNNE</t>
        </is>
      </c>
      <c r="I38" t="n">
        <v>6.5</v>
      </c>
      <c r="J38" t="n">
        <v>0</v>
      </c>
      <c r="K38" t="n">
        <v>0</v>
      </c>
      <c r="L38" t="n">
        <v>2</v>
      </c>
      <c r="M38" t="n">
        <v>0</v>
      </c>
      <c r="N38" t="n">
        <v>0</v>
      </c>
      <c r="O38" t="n">
        <v>0</v>
      </c>
      <c r="P38" t="n">
        <v>0</v>
      </c>
      <c r="Q38" t="n">
        <v>2</v>
      </c>
      <c r="R38" t="n">
        <v>0</v>
      </c>
      <c r="S38" t="n">
        <v>2</v>
      </c>
      <c r="T38" t="n">
        <v>2</v>
      </c>
      <c r="U38" t="n">
        <v>2</v>
      </c>
      <c r="V38" s="2" t="inlineStr">
        <is>
          <t>Dofttaggsvamp
Grantaggsvamp</t>
        </is>
      </c>
      <c r="W38">
        <f>HYPERLINK("https://klasma.github.io/Logging_1766/artfynd/A 40235-2022 artfynd.xlsx", "A 40235-2022")</f>
        <v/>
      </c>
      <c r="X38">
        <f>HYPERLINK("https://klasma.github.io/Logging_1766/kartor/A 40235-2022 karta.png", "A 40235-2022")</f>
        <v/>
      </c>
      <c r="Y38">
        <f>HYPERLINK("https://klasma.github.io/Logging_1766/kartor_geotiff/A 40235-2022 georefererad karta.tif", "A 40235-2022")</f>
        <v/>
      </c>
      <c r="AA38">
        <f>HYPERLINK("https://klasma.github.io/Logging_1766/klagomål/A 40235-2022 FSC-klagomål.docx", "A 40235-2022")</f>
        <v/>
      </c>
      <c r="AB38">
        <f>HYPERLINK("https://klasma.github.io/Logging_1766/klagomålsmail/A 40235-2022 FSC-klagomål mail.docx", "A 40235-2022")</f>
        <v/>
      </c>
      <c r="AC38">
        <f>HYPERLINK("https://klasma.github.io/Logging_1766/tillsyn/A 40235-2022 tillsynsbegäran.docx", "A 40235-2022")</f>
        <v/>
      </c>
      <c r="AD38">
        <f>HYPERLINK("https://klasma.github.io/Logging_1766/tillsynsmail/A 40235-2022 tillsynsbegäran mail.docx", "A 40235-2022")</f>
        <v/>
      </c>
    </row>
    <row r="39" ht="15" customHeight="1">
      <c r="A39" t="inlineStr">
        <is>
          <t>A 31603-2022</t>
        </is>
      </c>
      <c r="B39" t="inlineStr">
        <is>
          <t>avverkningsanmälan</t>
        </is>
      </c>
      <c r="C39" t="inlineStr">
        <is>
          <t>Föryngringsavverkning</t>
        </is>
      </c>
      <c r="D39" s="1" t="n">
        <v>44775</v>
      </c>
      <c r="E39" s="1" t="n">
        <v>46313</v>
      </c>
      <c r="F39" t="inlineStr">
        <is>
          <t>VÄRMLANDS LÄN</t>
        </is>
      </c>
      <c r="G39" t="inlineStr">
        <is>
          <t>SUNNE</t>
        </is>
      </c>
      <c r="I39" t="n">
        <v>4.8</v>
      </c>
      <c r="J39" t="n">
        <v>1</v>
      </c>
      <c r="K39" t="n">
        <v>1</v>
      </c>
      <c r="L39" t="n">
        <v>0</v>
      </c>
      <c r="M39" t="n">
        <v>0</v>
      </c>
      <c r="N39" t="n">
        <v>0</v>
      </c>
      <c r="O39" t="n">
        <v>0</v>
      </c>
      <c r="P39" t="n">
        <v>0</v>
      </c>
      <c r="Q39" t="n">
        <v>0</v>
      </c>
      <c r="R39" t="n">
        <v>0</v>
      </c>
      <c r="S39" t="n">
        <v>2</v>
      </c>
      <c r="T39" t="n">
        <v>2</v>
      </c>
      <c r="U39" t="n">
        <v>0</v>
      </c>
      <c r="V39" s="2" t="inlineStr">
        <is>
          <t>Springkorn
Fläcknycklar</t>
        </is>
      </c>
      <c r="W39">
        <f>HYPERLINK("https://klasma.github.io/Logging_1766/artfynd/A 31603-2022 artfynd.xlsx", "A 31603-2022")</f>
        <v/>
      </c>
      <c r="X39">
        <f>HYPERLINK("https://klasma.github.io/Logging_1766/kartor/A 31603-2022 karta.png", "A 31603-2022")</f>
        <v/>
      </c>
      <c r="Y39">
        <f>HYPERLINK("https://klasma.github.io/Logging_1766/kartor_geotiff/A 31603-2022 georefererad karta.tif", "A 31603-2022")</f>
        <v/>
      </c>
      <c r="AA39">
        <f>HYPERLINK("https://klasma.github.io/Logging_1766/klagomål/A 31603-2022 FSC-klagomål.docx", "A 31603-2022")</f>
        <v/>
      </c>
      <c r="AB39">
        <f>HYPERLINK("https://klasma.github.io/Logging_1766/klagomålsmail/A 31603-2022 FSC-klagomål mail.docx", "A 31603-2022")</f>
        <v/>
      </c>
      <c r="AC39">
        <f>HYPERLINK("https://klasma.github.io/Logging_1766/tillsyn/A 31603-2022 tillsynsbegäran.docx", "A 31603-2022")</f>
        <v/>
      </c>
      <c r="AD39">
        <f>HYPERLINK("https://klasma.github.io/Logging_1766/tillsynsmail/A 31603-2022 tillsynsbegäran mail.docx", "A 31603-2022")</f>
        <v/>
      </c>
    </row>
    <row r="40" ht="15" customHeight="1">
      <c r="A40" t="inlineStr">
        <is>
          <t>A 23697-2025</t>
        </is>
      </c>
      <c r="B40" t="inlineStr">
        <is>
          <t>avverkningsanmälan</t>
        </is>
      </c>
      <c r="C40" t="inlineStr">
        <is>
          <t>Föryngringsavverkning</t>
        </is>
      </c>
      <c r="D40" s="1" t="n">
        <v>45793</v>
      </c>
      <c r="E40" s="1" t="n">
        <v>46313</v>
      </c>
      <c r="F40" t="inlineStr">
        <is>
          <t>VÄRMLANDS LÄN</t>
        </is>
      </c>
      <c r="G40" t="inlineStr">
        <is>
          <t>SUNNE</t>
        </is>
      </c>
      <c r="I40" t="n">
        <v>2.1</v>
      </c>
      <c r="J40" t="n">
        <v>0</v>
      </c>
      <c r="K40" t="n">
        <v>0</v>
      </c>
      <c r="L40" t="n">
        <v>1</v>
      </c>
      <c r="M40" t="n">
        <v>1</v>
      </c>
      <c r="N40" t="n">
        <v>0</v>
      </c>
      <c r="O40" t="n">
        <v>0</v>
      </c>
      <c r="P40" t="n">
        <v>0</v>
      </c>
      <c r="Q40" t="n">
        <v>2</v>
      </c>
      <c r="R40" t="n">
        <v>1</v>
      </c>
      <c r="S40" t="n">
        <v>2</v>
      </c>
      <c r="T40" t="n">
        <v>3</v>
      </c>
      <c r="U40" t="n">
        <v>3</v>
      </c>
      <c r="V40" s="2" t="inlineStr">
        <is>
          <t>Garnlav
Tallticka</t>
        </is>
      </c>
      <c r="W40">
        <f>HYPERLINK("https://klasma.github.io/Logging_1766/artfynd/A 23697-2025 artfynd.xlsx", "A 23697-2025")</f>
        <v/>
      </c>
      <c r="X40">
        <f>HYPERLINK("https://klasma.github.io/Logging_1766/kartor/A 23697-2025 karta.png", "A 23697-2025")</f>
        <v/>
      </c>
      <c r="Y40">
        <f>HYPERLINK("https://klasma.github.io/Logging_1766/kartor_geotiff/A 23697-2025 georefererad karta.tif", "A 23697-2025")</f>
        <v/>
      </c>
      <c r="AA40">
        <f>HYPERLINK("https://klasma.github.io/Logging_1766/klagomål/A 23697-2025 FSC-klagomål.docx", "A 23697-2025")</f>
        <v/>
      </c>
      <c r="AB40">
        <f>HYPERLINK("https://klasma.github.io/Logging_1766/klagomålsmail/A 23697-2025 FSC-klagomål mail.docx", "A 23697-2025")</f>
        <v/>
      </c>
      <c r="AC40">
        <f>HYPERLINK("https://klasma.github.io/Logging_1766/tillsyn/A 23697-2025 tillsynsbegäran.docx", "A 23697-2025")</f>
        <v/>
      </c>
      <c r="AD40">
        <f>HYPERLINK("https://klasma.github.io/Logging_1766/tillsynsmail/A 23697-2025 tillsynsbegäran mail.docx", "A 23697-2025")</f>
        <v/>
      </c>
    </row>
    <row r="41" ht="15" customHeight="1">
      <c r="A41" t="inlineStr">
        <is>
          <t>A 49705-2022</t>
        </is>
      </c>
      <c r="B41" t="inlineStr">
        <is>
          <t>avverkningsanmälan</t>
        </is>
      </c>
      <c r="C41" t="inlineStr">
        <is>
          <t>Föryngringsavverkning</t>
        </is>
      </c>
      <c r="D41" s="1" t="n">
        <v>44859</v>
      </c>
      <c r="E41" s="1" t="n">
        <v>46313</v>
      </c>
      <c r="F41" t="inlineStr">
        <is>
          <t>VÄRMLANDS LÄN</t>
        </is>
      </c>
      <c r="G41" t="inlineStr">
        <is>
          <t>SUNNE</t>
        </is>
      </c>
      <c r="H41" t="inlineStr">
        <is>
          <t>Kyrkan</t>
        </is>
      </c>
      <c r="I41" t="n">
        <v>2.9</v>
      </c>
      <c r="J41" t="n">
        <v>0</v>
      </c>
      <c r="K41" t="n">
        <v>1</v>
      </c>
      <c r="L41" t="n">
        <v>0</v>
      </c>
      <c r="M41" t="n">
        <v>0</v>
      </c>
      <c r="N41" t="n">
        <v>0</v>
      </c>
      <c r="O41" t="n">
        <v>0</v>
      </c>
      <c r="P41" t="n">
        <v>0</v>
      </c>
      <c r="Q41" t="n">
        <v>0</v>
      </c>
      <c r="R41" t="n">
        <v>0</v>
      </c>
      <c r="S41" t="n">
        <v>1</v>
      </c>
      <c r="T41" t="n">
        <v>1</v>
      </c>
      <c r="U41" t="n">
        <v>0</v>
      </c>
      <c r="V41" s="2" t="inlineStr">
        <is>
          <t>Vedticka</t>
        </is>
      </c>
      <c r="W41">
        <f>HYPERLINK("https://klasma.github.io/Logging_1766/artfynd/A 49705-2022 artfynd.xlsx", "A 49705-2022")</f>
        <v/>
      </c>
      <c r="X41">
        <f>HYPERLINK("https://klasma.github.io/Logging_1766/kartor/A 49705-2022 karta.png", "A 49705-2022")</f>
        <v/>
      </c>
      <c r="Y41">
        <f>HYPERLINK("https://klasma.github.io/Logging_1766/kartor_geotiff/A 49705-2022 georefererad karta.tif", "A 49705-2022")</f>
        <v/>
      </c>
      <c r="AA41">
        <f>HYPERLINK("https://klasma.github.io/Logging_1766/klagomål/A 49705-2022 FSC-klagomål.docx", "A 49705-2022")</f>
        <v/>
      </c>
      <c r="AB41">
        <f>HYPERLINK("https://klasma.github.io/Logging_1766/klagomålsmail/A 49705-2022 FSC-klagomål mail.docx", "A 49705-2022")</f>
        <v/>
      </c>
      <c r="AC41">
        <f>HYPERLINK("https://klasma.github.io/Logging_1766/tillsyn/A 49705-2022 tillsynsbegäran.docx", "A 49705-2022")</f>
        <v/>
      </c>
      <c r="AD41">
        <f>HYPERLINK("https://klasma.github.io/Logging_1766/tillsynsmail/A 49705-2022 tillsynsbegäran mail.docx", "A 49705-2022")</f>
        <v/>
      </c>
    </row>
    <row r="42" ht="15" customHeight="1">
      <c r="A42" t="inlineStr">
        <is>
          <t>A 20031-2022</t>
        </is>
      </c>
      <c r="B42" t="inlineStr">
        <is>
          <t>avverkningsanmälan</t>
        </is>
      </c>
      <c r="C42" t="inlineStr">
        <is>
          <t>Föryngringsavverkning</t>
        </is>
      </c>
      <c r="D42" s="1" t="n">
        <v>44697</v>
      </c>
      <c r="E42" s="1" t="n">
        <v>46313</v>
      </c>
      <c r="F42" t="inlineStr">
        <is>
          <t>VÄRMLANDS LÄN</t>
        </is>
      </c>
      <c r="G42" t="inlineStr">
        <is>
          <t>SUNNE</t>
        </is>
      </c>
      <c r="I42" t="n">
        <v>2.8</v>
      </c>
      <c r="J42" t="n">
        <v>0</v>
      </c>
      <c r="K42" t="n">
        <v>0</v>
      </c>
      <c r="L42" t="n">
        <v>1</v>
      </c>
      <c r="M42" t="n">
        <v>0</v>
      </c>
      <c r="N42" t="n">
        <v>0</v>
      </c>
      <c r="O42" t="n">
        <v>0</v>
      </c>
      <c r="P42" t="n">
        <v>0</v>
      </c>
      <c r="Q42" t="n">
        <v>1</v>
      </c>
      <c r="R42" t="n">
        <v>0</v>
      </c>
      <c r="S42" t="n">
        <v>1</v>
      </c>
      <c r="T42" t="n">
        <v>1</v>
      </c>
      <c r="U42" t="n">
        <v>0</v>
      </c>
      <c r="V42" s="2" t="inlineStr">
        <is>
          <t>Skogshare</t>
        </is>
      </c>
      <c r="W42">
        <f>HYPERLINK("https://klasma.github.io/Logging_1766/artfynd/A 20031-2022 artfynd.xlsx", "A 20031-2022")</f>
        <v/>
      </c>
      <c r="X42">
        <f>HYPERLINK("https://klasma.github.io/Logging_1766/kartor/A 20031-2022 karta.png", "A 20031-2022")</f>
        <v/>
      </c>
      <c r="Y42">
        <f>HYPERLINK("https://klasma.github.io/Logging_1766/kartor_geotiff/A 20031-2022 georefererad karta.tif", "A 20031-2022")</f>
        <v/>
      </c>
      <c r="AA42">
        <f>HYPERLINK("https://klasma.github.io/Logging_1766/klagomål/A 20031-2022 FSC-klagomål.docx", "A 20031-2022")</f>
        <v/>
      </c>
      <c r="AB42">
        <f>HYPERLINK("https://klasma.github.io/Logging_1766/klagomålsmail/A 20031-2022 FSC-klagomål mail.docx", "A 20031-2022")</f>
        <v/>
      </c>
      <c r="AC42">
        <f>HYPERLINK("https://klasma.github.io/Logging_1766/tillsyn/A 20031-2022 tillsynsbegäran.docx", "A 20031-2022")</f>
        <v/>
      </c>
      <c r="AD42">
        <f>HYPERLINK("https://klasma.github.io/Logging_1766/tillsynsmail/A 20031-2022 tillsynsbegäran mail.docx", "A 20031-2022")</f>
        <v/>
      </c>
    </row>
    <row r="43" ht="15" customHeight="1">
      <c r="A43" t="inlineStr">
        <is>
          <t>A 19831-2022</t>
        </is>
      </c>
      <c r="B43" t="inlineStr">
        <is>
          <t>avverkningsanmälan</t>
        </is>
      </c>
      <c r="C43" t="inlineStr">
        <is>
          <t>Föryngringsavverkning</t>
        </is>
      </c>
      <c r="D43" s="1" t="n">
        <v>44695</v>
      </c>
      <c r="E43" s="1" t="n">
        <v>46313</v>
      </c>
      <c r="F43" t="inlineStr">
        <is>
          <t>VÄRMLANDS LÄN</t>
        </is>
      </c>
      <c r="G43" t="inlineStr">
        <is>
          <t>SUNNE</t>
        </is>
      </c>
      <c r="I43" t="n">
        <v>0.7</v>
      </c>
      <c r="J43" t="n">
        <v>0</v>
      </c>
      <c r="K43" t="n">
        <v>1</v>
      </c>
      <c r="L43" t="n">
        <v>0</v>
      </c>
      <c r="M43" t="n">
        <v>0</v>
      </c>
      <c r="N43" t="n">
        <v>0</v>
      </c>
      <c r="O43" t="n">
        <v>0</v>
      </c>
      <c r="P43" t="n">
        <v>0</v>
      </c>
      <c r="Q43" t="n">
        <v>0</v>
      </c>
      <c r="R43" t="n">
        <v>0</v>
      </c>
      <c r="S43" t="n">
        <v>1</v>
      </c>
      <c r="T43" t="n">
        <v>1</v>
      </c>
      <c r="U43" t="n">
        <v>1</v>
      </c>
      <c r="V43" s="2" t="inlineStr">
        <is>
          <t>Vågbandad barkbock</t>
        </is>
      </c>
      <c r="W43">
        <f>HYPERLINK("https://klasma.github.io/Logging_1766/artfynd/A 19831-2022 artfynd.xlsx", "A 19831-2022")</f>
        <v/>
      </c>
      <c r="X43">
        <f>HYPERLINK("https://klasma.github.io/Logging_1766/kartor/A 19831-2022 karta.png", "A 19831-2022")</f>
        <v/>
      </c>
      <c r="Y43">
        <f>HYPERLINK("https://klasma.github.io/Logging_1766/kartor_geotiff/A 19831-2022 georefererad karta.tif", "A 19831-2022")</f>
        <v/>
      </c>
      <c r="AA43">
        <f>HYPERLINK("https://klasma.github.io/Logging_1766/klagomål/A 19831-2022 FSC-klagomål.docx", "A 19831-2022")</f>
        <v/>
      </c>
      <c r="AB43">
        <f>HYPERLINK("https://klasma.github.io/Logging_1766/klagomålsmail/A 19831-2022 FSC-klagomål mail.docx", "A 19831-2022")</f>
        <v/>
      </c>
      <c r="AC43">
        <f>HYPERLINK("https://klasma.github.io/Logging_1766/tillsyn/A 19831-2022 tillsynsbegäran.docx", "A 19831-2022")</f>
        <v/>
      </c>
      <c r="AD43">
        <f>HYPERLINK("https://klasma.github.io/Logging_1766/tillsynsmail/A 19831-2022 tillsynsbegäran mail.docx", "A 19831-2022")</f>
        <v/>
      </c>
    </row>
    <row r="44" ht="15" customHeight="1">
      <c r="A44" t="inlineStr">
        <is>
          <t>A 7982-2024</t>
        </is>
      </c>
      <c r="B44" t="inlineStr">
        <is>
          <t>avverkningsanmälan</t>
        </is>
      </c>
      <c r="C44" t="inlineStr">
        <is>
          <t>Föryngringsavverkning</t>
        </is>
      </c>
      <c r="D44" s="1" t="n">
        <v>45350</v>
      </c>
      <c r="E44" s="1" t="n">
        <v>46313</v>
      </c>
      <c r="F44" t="inlineStr">
        <is>
          <t>VÄRMLANDS LÄN</t>
        </is>
      </c>
      <c r="G44" t="inlineStr">
        <is>
          <t>SUNNE</t>
        </is>
      </c>
      <c r="I44" t="n">
        <v>2.5</v>
      </c>
      <c r="J44" t="n">
        <v>1</v>
      </c>
      <c r="K44" t="n">
        <v>0</v>
      </c>
      <c r="L44" t="n">
        <v>0</v>
      </c>
      <c r="M44" t="n">
        <v>0</v>
      </c>
      <c r="N44" t="n">
        <v>0</v>
      </c>
      <c r="O44" t="n">
        <v>0</v>
      </c>
      <c r="P44" t="n">
        <v>0</v>
      </c>
      <c r="Q44" t="n">
        <v>0</v>
      </c>
      <c r="R44" t="n">
        <v>0</v>
      </c>
      <c r="S44" t="n">
        <v>1</v>
      </c>
      <c r="T44" t="n">
        <v>1</v>
      </c>
      <c r="U44" t="n">
        <v>0</v>
      </c>
      <c r="V44" s="2" t="inlineStr">
        <is>
          <t>Fläcknycklar</t>
        </is>
      </c>
      <c r="W44">
        <f>HYPERLINK("https://klasma.github.io/Logging_1766/artfynd/A 7982-2024 artfynd.xlsx", "A 7982-2024")</f>
        <v/>
      </c>
      <c r="X44">
        <f>HYPERLINK("https://klasma.github.io/Logging_1766/kartor/A 7982-2024 karta.png", "A 7982-2024")</f>
        <v/>
      </c>
      <c r="Y44">
        <f>HYPERLINK("https://klasma.github.io/Logging_1766/kartor_geotiff/A 7982-2024 georefererad karta.tif", "A 7982-2024")</f>
        <v/>
      </c>
      <c r="AA44">
        <f>HYPERLINK("https://klasma.github.io/Logging_1766/klagomål/A 7982-2024 FSC-klagomål.docx", "A 7982-2024")</f>
        <v/>
      </c>
      <c r="AB44">
        <f>HYPERLINK("https://klasma.github.io/Logging_1766/klagomålsmail/A 7982-2024 FSC-klagomål mail.docx", "A 7982-2024")</f>
        <v/>
      </c>
      <c r="AC44">
        <f>HYPERLINK("https://klasma.github.io/Logging_1766/tillsyn/A 7982-2024 tillsynsbegäran.docx", "A 7982-2024")</f>
        <v/>
      </c>
      <c r="AD44">
        <f>HYPERLINK("https://klasma.github.io/Logging_1766/tillsynsmail/A 7982-2024 tillsynsbegäran mail.docx", "A 7982-2024")</f>
        <v/>
      </c>
    </row>
    <row r="45" ht="15" customHeight="1">
      <c r="A45" t="inlineStr">
        <is>
          <t>A 46876-2024</t>
        </is>
      </c>
      <c r="B45" t="inlineStr">
        <is>
          <t>avverkningsanmälan</t>
        </is>
      </c>
      <c r="C45" t="inlineStr">
        <is>
          <t>Föryngringsavverkning</t>
        </is>
      </c>
      <c r="D45" s="1" t="n">
        <v>45583</v>
      </c>
      <c r="E45" s="1" t="n">
        <v>46313</v>
      </c>
      <c r="F45" t="inlineStr">
        <is>
          <t>VÄRMLANDS LÄN</t>
        </is>
      </c>
      <c r="G45" t="inlineStr">
        <is>
          <t>SUNNE</t>
        </is>
      </c>
      <c r="H45" t="inlineStr">
        <is>
          <t>Kommuner</t>
        </is>
      </c>
      <c r="I45" t="n">
        <v>1</v>
      </c>
      <c r="J45" t="n">
        <v>1</v>
      </c>
      <c r="K45" t="n">
        <v>0</v>
      </c>
      <c r="L45" t="n">
        <v>0</v>
      </c>
      <c r="M45" t="n">
        <v>0</v>
      </c>
      <c r="N45" t="n">
        <v>0</v>
      </c>
      <c r="O45" t="n">
        <v>0</v>
      </c>
      <c r="P45" t="n">
        <v>0</v>
      </c>
      <c r="Q45" t="n">
        <v>0</v>
      </c>
      <c r="R45" t="n">
        <v>0</v>
      </c>
      <c r="S45" t="n">
        <v>1</v>
      </c>
      <c r="T45" t="n">
        <v>1</v>
      </c>
      <c r="U45" t="n">
        <v>0</v>
      </c>
      <c r="V45" s="2" t="inlineStr">
        <is>
          <t>Huggorm</t>
        </is>
      </c>
      <c r="W45">
        <f>HYPERLINK("https://klasma.github.io/Logging_1766/artfynd/A 46876-2024 artfynd.xlsx", "A 46876-2024")</f>
        <v/>
      </c>
      <c r="X45">
        <f>HYPERLINK("https://klasma.github.io/Logging_1766/kartor/A 46876-2024 karta.png", "A 46876-2024")</f>
        <v/>
      </c>
      <c r="Y45">
        <f>HYPERLINK("https://klasma.github.io/Logging_1766/kartor_geotiff/A 46876-2024 georefererad karta.tif", "A 46876-2024")</f>
        <v/>
      </c>
      <c r="AA45">
        <f>HYPERLINK("https://klasma.github.io/Logging_1766/klagomål/A 46876-2024 FSC-klagomål.docx", "A 46876-2024")</f>
        <v/>
      </c>
      <c r="AB45">
        <f>HYPERLINK("https://klasma.github.io/Logging_1766/klagomålsmail/A 46876-2024 FSC-klagomål mail.docx", "A 46876-2024")</f>
        <v/>
      </c>
      <c r="AC45">
        <f>HYPERLINK("https://klasma.github.io/Logging_1766/tillsyn/A 46876-2024 tillsynsbegäran.docx", "A 46876-2024")</f>
        <v/>
      </c>
      <c r="AD45">
        <f>HYPERLINK("https://klasma.github.io/Logging_1766/tillsynsmail/A 46876-2024 tillsynsbegäran mail.docx", "A 46876-2024")</f>
        <v/>
      </c>
    </row>
    <row r="46" ht="15" customHeight="1">
      <c r="A46" t="inlineStr">
        <is>
          <t>A 59323-2022</t>
        </is>
      </c>
      <c r="B46" t="inlineStr">
        <is>
          <t>avverkningsanmälan</t>
        </is>
      </c>
      <c r="C46" t="inlineStr">
        <is>
          <t>Föryngringsavverkning</t>
        </is>
      </c>
      <c r="D46" s="1" t="n">
        <v>44904</v>
      </c>
      <c r="E46" s="1" t="n">
        <v>46313</v>
      </c>
      <c r="F46" t="inlineStr">
        <is>
          <t>VÄRMLANDS LÄN</t>
        </is>
      </c>
      <c r="G46" t="inlineStr">
        <is>
          <t>SUNNE</t>
        </is>
      </c>
      <c r="I46" t="n">
        <v>1.6</v>
      </c>
      <c r="J46" t="n">
        <v>1</v>
      </c>
      <c r="K46" t="n">
        <v>0</v>
      </c>
      <c r="L46" t="n">
        <v>1</v>
      </c>
      <c r="M46" t="n">
        <v>0</v>
      </c>
      <c r="N46" t="n">
        <v>0</v>
      </c>
      <c r="O46" t="n">
        <v>0</v>
      </c>
      <c r="P46" t="n">
        <v>0</v>
      </c>
      <c r="Q46" t="n">
        <v>1</v>
      </c>
      <c r="R46" t="n">
        <v>0</v>
      </c>
      <c r="S46" t="n">
        <v>1</v>
      </c>
      <c r="T46" t="n">
        <v>1</v>
      </c>
      <c r="U46" t="n">
        <v>0</v>
      </c>
      <c r="V46" s="2" t="inlineStr">
        <is>
          <t>Tretåig hackspett</t>
        </is>
      </c>
      <c r="W46">
        <f>HYPERLINK("https://klasma.github.io/Logging_1766/artfynd/A 59323-2022 artfynd.xlsx", "A 59323-2022")</f>
        <v/>
      </c>
      <c r="X46">
        <f>HYPERLINK("https://klasma.github.io/Logging_1766/kartor/A 59323-2022 karta.png", "A 59323-2022")</f>
        <v/>
      </c>
      <c r="Y46">
        <f>HYPERLINK("https://klasma.github.io/Logging_1766/kartor_geotiff/A 59323-2022 georefererad karta.tif", "A 59323-2022")</f>
        <v/>
      </c>
      <c r="AA46">
        <f>HYPERLINK("https://klasma.github.io/Logging_1766/klagomål/A 59323-2022 FSC-klagomål.docx", "A 59323-2022")</f>
        <v/>
      </c>
      <c r="AB46">
        <f>HYPERLINK("https://klasma.github.io/Logging_1766/klagomålsmail/A 59323-2022 FSC-klagomål mail.docx", "A 59323-2022")</f>
        <v/>
      </c>
      <c r="AC46">
        <f>HYPERLINK("https://klasma.github.io/Logging_1766/tillsyn/A 59323-2022 tillsynsbegäran.docx", "A 59323-2022")</f>
        <v/>
      </c>
      <c r="AD46">
        <f>HYPERLINK("https://klasma.github.io/Logging_1766/tillsynsmail/A 59323-2022 tillsynsbegäran mail.docx", "A 59323-2022")</f>
        <v/>
      </c>
      <c r="AE46">
        <f>HYPERLINK("https://klasma.github.io/Logging_1766/fåglar/A 59323-2022 prioriterade fågelarter.docx", "A 59323-2022")</f>
        <v/>
      </c>
    </row>
    <row r="47" ht="15" customHeight="1">
      <c r="A47" t="inlineStr">
        <is>
          <t>A 6661-2023</t>
        </is>
      </c>
      <c r="B47" t="inlineStr">
        <is>
          <t>avverkningsanmälan</t>
        </is>
      </c>
      <c r="C47" t="inlineStr">
        <is>
          <t>Föryngringsavverkning</t>
        </is>
      </c>
      <c r="D47" s="1" t="n">
        <v>44963</v>
      </c>
      <c r="E47" s="1" t="n">
        <v>46313</v>
      </c>
      <c r="F47" t="inlineStr">
        <is>
          <t>VÄRMLANDS LÄN</t>
        </is>
      </c>
      <c r="G47" t="inlineStr">
        <is>
          <t>SUNNE</t>
        </is>
      </c>
      <c r="I47" t="n">
        <v>8.800000000000001</v>
      </c>
      <c r="J47" t="n">
        <v>0</v>
      </c>
      <c r="K47" t="n">
        <v>1</v>
      </c>
      <c r="L47" t="n">
        <v>0</v>
      </c>
      <c r="M47" t="n">
        <v>0</v>
      </c>
      <c r="N47" t="n">
        <v>0</v>
      </c>
      <c r="O47" t="n">
        <v>0</v>
      </c>
      <c r="P47" t="n">
        <v>0</v>
      </c>
      <c r="Q47" t="n">
        <v>0</v>
      </c>
      <c r="R47" t="n">
        <v>0</v>
      </c>
      <c r="S47" t="n">
        <v>1</v>
      </c>
      <c r="T47" t="n">
        <v>1</v>
      </c>
      <c r="U47" t="n">
        <v>1</v>
      </c>
      <c r="V47" s="2" t="inlineStr">
        <is>
          <t>Bronshjon</t>
        </is>
      </c>
      <c r="W47">
        <f>HYPERLINK("https://klasma.github.io/Logging_1766/artfynd/A 6661-2023 artfynd.xlsx", "A 6661-2023")</f>
        <v/>
      </c>
      <c r="X47">
        <f>HYPERLINK("https://klasma.github.io/Logging_1766/kartor/A 6661-2023 karta.png", "A 6661-2023")</f>
        <v/>
      </c>
      <c r="Y47">
        <f>HYPERLINK("https://klasma.github.io/Logging_1766/kartor_geotiff/A 6661-2023 georefererad karta.tif", "A 6661-2023")</f>
        <v/>
      </c>
      <c r="AA47">
        <f>HYPERLINK("https://klasma.github.io/Logging_1766/klagomål/A 6661-2023 FSC-klagomål.docx", "A 6661-2023")</f>
        <v/>
      </c>
      <c r="AB47">
        <f>HYPERLINK("https://klasma.github.io/Logging_1766/klagomålsmail/A 6661-2023 FSC-klagomål mail.docx", "A 6661-2023")</f>
        <v/>
      </c>
      <c r="AC47">
        <f>HYPERLINK("https://klasma.github.io/Logging_1766/tillsyn/A 6661-2023 tillsynsbegäran.docx", "A 6661-2023")</f>
        <v/>
      </c>
      <c r="AD47">
        <f>HYPERLINK("https://klasma.github.io/Logging_1766/tillsynsmail/A 6661-2023 tillsynsbegäran mail.docx", "A 6661-2023")</f>
        <v/>
      </c>
    </row>
    <row r="48" ht="15" customHeight="1">
      <c r="A48" t="inlineStr">
        <is>
          <t>A 73209-2021</t>
        </is>
      </c>
      <c r="B48" t="inlineStr">
        <is>
          <t>avverkningsanmälan</t>
        </is>
      </c>
      <c r="C48" t="inlineStr">
        <is>
          <t>Föryngringsavverkning</t>
        </is>
      </c>
      <c r="D48" s="1" t="n">
        <v>44550</v>
      </c>
      <c r="E48" s="1" t="n">
        <v>46313</v>
      </c>
      <c r="F48" t="inlineStr">
        <is>
          <t>VÄRMLANDS LÄN</t>
        </is>
      </c>
      <c r="G48" t="inlineStr">
        <is>
          <t>SUNNE</t>
        </is>
      </c>
      <c r="I48" t="n">
        <v>6.3</v>
      </c>
      <c r="J48" t="n">
        <v>1</v>
      </c>
      <c r="K48" t="n">
        <v>0</v>
      </c>
      <c r="L48" t="n">
        <v>0</v>
      </c>
      <c r="M48" t="n">
        <v>0</v>
      </c>
      <c r="N48" t="n">
        <v>0</v>
      </c>
      <c r="O48" t="n">
        <v>0</v>
      </c>
      <c r="P48" t="n">
        <v>0</v>
      </c>
      <c r="Q48" t="n">
        <v>0</v>
      </c>
      <c r="R48" t="n">
        <v>0</v>
      </c>
      <c r="S48" t="n">
        <v>1</v>
      </c>
      <c r="T48" t="n">
        <v>1</v>
      </c>
      <c r="U48" t="n">
        <v>1</v>
      </c>
      <c r="V48" s="2" t="inlineStr">
        <is>
          <t>Buskskvätta</t>
        </is>
      </c>
      <c r="W48">
        <f>HYPERLINK("https://klasma.github.io/Logging_1766/artfynd/A 73209-2021 artfynd.xlsx", "A 73209-2021")</f>
        <v/>
      </c>
      <c r="X48">
        <f>HYPERLINK("https://klasma.github.io/Logging_1766/kartor/A 73209-2021 karta.png", "A 73209-2021")</f>
        <v/>
      </c>
      <c r="Y48">
        <f>HYPERLINK("https://klasma.github.io/Logging_1766/kartor_geotiff/A 73209-2021 georefererad karta.tif", "A 73209-2021")</f>
        <v/>
      </c>
      <c r="AA48">
        <f>HYPERLINK("https://klasma.github.io/Logging_1766/klagomål/A 73209-2021 FSC-klagomål.docx", "A 73209-2021")</f>
        <v/>
      </c>
      <c r="AB48">
        <f>HYPERLINK("https://klasma.github.io/Logging_1766/klagomålsmail/A 73209-2021 FSC-klagomål mail.docx", "A 73209-2021")</f>
        <v/>
      </c>
      <c r="AC48">
        <f>HYPERLINK("https://klasma.github.io/Logging_1766/tillsyn/A 73209-2021 tillsynsbegäran.docx", "A 73209-2021")</f>
        <v/>
      </c>
      <c r="AD48">
        <f>HYPERLINK("https://klasma.github.io/Logging_1766/tillsynsmail/A 73209-2021 tillsynsbegäran mail.docx", "A 73209-2021")</f>
        <v/>
      </c>
    </row>
    <row r="49" ht="15" customHeight="1">
      <c r="A49" t="inlineStr">
        <is>
          <t>A 59685-2022</t>
        </is>
      </c>
      <c r="B49" t="inlineStr">
        <is>
          <t>avverkningsanmälan</t>
        </is>
      </c>
      <c r="C49" t="inlineStr">
        <is>
          <t>Föryngringsavverkning</t>
        </is>
      </c>
      <c r="D49" s="1" t="n">
        <v>44908</v>
      </c>
      <c r="E49" s="1" t="n">
        <v>46313</v>
      </c>
      <c r="F49" t="inlineStr">
        <is>
          <t>VÄRMLANDS LÄN</t>
        </is>
      </c>
      <c r="G49" t="inlineStr">
        <is>
          <t>SUNNE</t>
        </is>
      </c>
      <c r="I49" t="n">
        <v>1.7</v>
      </c>
      <c r="J49" t="n">
        <v>1</v>
      </c>
      <c r="K49" t="n">
        <v>0</v>
      </c>
      <c r="L49" t="n">
        <v>0</v>
      </c>
      <c r="M49" t="n">
        <v>0</v>
      </c>
      <c r="N49" t="n">
        <v>0</v>
      </c>
      <c r="O49" t="n">
        <v>0</v>
      </c>
      <c r="P49" t="n">
        <v>0</v>
      </c>
      <c r="Q49" t="n">
        <v>0</v>
      </c>
      <c r="R49" t="n">
        <v>0</v>
      </c>
      <c r="S49" t="n">
        <v>1</v>
      </c>
      <c r="T49" t="n">
        <v>1</v>
      </c>
      <c r="U49" t="n">
        <v>1</v>
      </c>
      <c r="V49" s="2" t="inlineStr">
        <is>
          <t>Fläcknycklar</t>
        </is>
      </c>
      <c r="W49">
        <f>HYPERLINK("https://klasma.github.io/Logging_1766/artfynd/A 59685-2022 artfynd.xlsx", "A 59685-2022")</f>
        <v/>
      </c>
      <c r="X49">
        <f>HYPERLINK("https://klasma.github.io/Logging_1766/kartor/A 59685-2022 karta.png", "A 59685-2022")</f>
        <v/>
      </c>
      <c r="Y49">
        <f>HYPERLINK("https://klasma.github.io/Logging_1766/kartor_geotiff/A 59685-2022 georefererad karta.tif", "A 59685-2022")</f>
        <v/>
      </c>
      <c r="AA49">
        <f>HYPERLINK("https://klasma.github.io/Logging_1766/klagomål/A 59685-2022 FSC-klagomål.docx", "A 59685-2022")</f>
        <v/>
      </c>
      <c r="AB49">
        <f>HYPERLINK("https://klasma.github.io/Logging_1766/klagomålsmail/A 59685-2022 FSC-klagomål mail.docx", "A 59685-2022")</f>
        <v/>
      </c>
      <c r="AC49">
        <f>HYPERLINK("https://klasma.github.io/Logging_1766/tillsyn/A 59685-2022 tillsynsbegäran.docx", "A 59685-2022")</f>
        <v/>
      </c>
      <c r="AD49">
        <f>HYPERLINK("https://klasma.github.io/Logging_1766/tillsynsmail/A 59685-2022 tillsynsbegäran mail.docx", "A 59685-2022")</f>
        <v/>
      </c>
    </row>
    <row r="50" ht="15" customHeight="1">
      <c r="A50" t="inlineStr">
        <is>
          <t>A 2014-2023</t>
        </is>
      </c>
      <c r="B50" t="inlineStr">
        <is>
          <t>avverkningsanmälan</t>
        </is>
      </c>
      <c r="C50" t="inlineStr">
        <is>
          <t>Föryngringsavverkning</t>
        </is>
      </c>
      <c r="D50" s="1" t="n">
        <v>44939</v>
      </c>
      <c r="E50" s="1" t="n">
        <v>46313</v>
      </c>
      <c r="F50" t="inlineStr">
        <is>
          <t>VÄRMLANDS LÄN</t>
        </is>
      </c>
      <c r="G50" t="inlineStr">
        <is>
          <t>SUNNE</t>
        </is>
      </c>
      <c r="I50" t="n">
        <v>6.4</v>
      </c>
      <c r="J50" t="n">
        <v>0</v>
      </c>
      <c r="K50" t="n">
        <v>0</v>
      </c>
      <c r="L50" t="n">
        <v>1</v>
      </c>
      <c r="M50" t="n">
        <v>0</v>
      </c>
      <c r="N50" t="n">
        <v>0</v>
      </c>
      <c r="O50" t="n">
        <v>0</v>
      </c>
      <c r="P50" t="n">
        <v>0</v>
      </c>
      <c r="Q50" t="n">
        <v>1</v>
      </c>
      <c r="R50" t="n">
        <v>0</v>
      </c>
      <c r="S50" t="n">
        <v>1</v>
      </c>
      <c r="T50" t="n">
        <v>3</v>
      </c>
      <c r="U50" t="n">
        <v>3</v>
      </c>
      <c r="V50" s="2" t="inlineStr">
        <is>
          <t>Motaggsvamp</t>
        </is>
      </c>
      <c r="W50">
        <f>HYPERLINK("https://klasma.github.io/Logging_1766/artfynd/A 2014-2023 artfynd.xlsx", "A 2014-2023")</f>
        <v/>
      </c>
      <c r="X50">
        <f>HYPERLINK("https://klasma.github.io/Logging_1766/kartor/A 2014-2023 karta.png", "A 2014-2023")</f>
        <v/>
      </c>
      <c r="Y50">
        <f>HYPERLINK("https://klasma.github.io/Logging_1766/kartor_geotiff/A 2014-2023 georefererad karta.tif", "A 2014-2023")</f>
        <v/>
      </c>
      <c r="AA50">
        <f>HYPERLINK("https://klasma.github.io/Logging_1766/klagomål/A 2014-2023 FSC-klagomål.docx", "A 2014-2023")</f>
        <v/>
      </c>
      <c r="AB50">
        <f>HYPERLINK("https://klasma.github.io/Logging_1766/klagomålsmail/A 2014-2023 FSC-klagomål mail.docx", "A 2014-2023")</f>
        <v/>
      </c>
      <c r="AC50">
        <f>HYPERLINK("https://klasma.github.io/Logging_1766/tillsyn/A 2014-2023 tillsynsbegäran.docx", "A 2014-2023")</f>
        <v/>
      </c>
      <c r="AD50">
        <f>HYPERLINK("https://klasma.github.io/Logging_1766/tillsynsmail/A 2014-2023 tillsynsbegäran mail.docx", "A 2014-2023")</f>
        <v/>
      </c>
    </row>
    <row r="51" ht="15" customHeight="1">
      <c r="A51" t="inlineStr">
        <is>
          <t>A 260-2023</t>
        </is>
      </c>
      <c r="B51" t="inlineStr">
        <is>
          <t>avverkningsanmälan</t>
        </is>
      </c>
      <c r="C51" t="inlineStr">
        <is>
          <t>Föryngringsavverkning</t>
        </is>
      </c>
      <c r="D51" s="1" t="n">
        <v>44928</v>
      </c>
      <c r="E51" s="1" t="n">
        <v>46313</v>
      </c>
      <c r="F51" t="inlineStr">
        <is>
          <t>VÄRMLANDS LÄN</t>
        </is>
      </c>
      <c r="G51" t="inlineStr">
        <is>
          <t>SUNNE</t>
        </is>
      </c>
      <c r="I51" t="n">
        <v>16.1</v>
      </c>
      <c r="J51" t="n">
        <v>1</v>
      </c>
      <c r="K51" t="n">
        <v>0</v>
      </c>
      <c r="L51" t="n">
        <v>0</v>
      </c>
      <c r="M51" t="n">
        <v>0</v>
      </c>
      <c r="N51" t="n">
        <v>0</v>
      </c>
      <c r="O51" t="n">
        <v>0</v>
      </c>
      <c r="P51" t="n">
        <v>0</v>
      </c>
      <c r="Q51" t="n">
        <v>0</v>
      </c>
      <c r="R51" t="n">
        <v>0</v>
      </c>
      <c r="S51" t="n">
        <v>1</v>
      </c>
      <c r="T51" t="n">
        <v>6</v>
      </c>
      <c r="U51" t="n">
        <v>6</v>
      </c>
      <c r="V51" s="2" t="inlineStr">
        <is>
          <t>Fläcknycklar</t>
        </is>
      </c>
      <c r="W51">
        <f>HYPERLINK("https://klasma.github.io/Logging_1766/artfynd/A 260-2023 artfynd.xlsx", "A 260-2023")</f>
        <v/>
      </c>
      <c r="X51">
        <f>HYPERLINK("https://klasma.github.io/Logging_1766/kartor/A 260-2023 karta.png", "A 260-2023")</f>
        <v/>
      </c>
      <c r="Y51">
        <f>HYPERLINK("https://klasma.github.io/Logging_1766/kartor_geotiff/A 260-2023 georefererad karta.tif", "A 260-2023")</f>
        <v/>
      </c>
      <c r="AA51">
        <f>HYPERLINK("https://klasma.github.io/Logging_1766/klagomål/A 260-2023 FSC-klagomål.docx", "A 260-2023")</f>
        <v/>
      </c>
      <c r="AB51">
        <f>HYPERLINK("https://klasma.github.io/Logging_1766/klagomålsmail/A 260-2023 FSC-klagomål mail.docx", "A 260-2023")</f>
        <v/>
      </c>
      <c r="AC51">
        <f>HYPERLINK("https://klasma.github.io/Logging_1766/tillsyn/A 260-2023 tillsynsbegäran.docx", "A 260-2023")</f>
        <v/>
      </c>
      <c r="AD51">
        <f>HYPERLINK("https://klasma.github.io/Logging_1766/tillsynsmail/A 260-2023 tillsynsbegäran mail.docx", "A 260-2023")</f>
        <v/>
      </c>
    </row>
    <row r="52" ht="15" customHeight="1">
      <c r="A52" t="inlineStr">
        <is>
          <t>A 58224-2024</t>
        </is>
      </c>
      <c r="B52" t="inlineStr">
        <is>
          <t>avverkningsanmälan</t>
        </is>
      </c>
      <c r="C52" t="inlineStr">
        <is>
          <t>Föryngringsavverkning</t>
        </is>
      </c>
      <c r="D52" s="1" t="n">
        <v>45632</v>
      </c>
      <c r="E52" s="1" t="n">
        <v>46313</v>
      </c>
      <c r="F52" t="inlineStr">
        <is>
          <t>VÄRMLANDS LÄN</t>
        </is>
      </c>
      <c r="G52" t="inlineStr">
        <is>
          <t>SUNNE</t>
        </is>
      </c>
      <c r="I52" t="n">
        <v>2.4</v>
      </c>
      <c r="J52" t="n">
        <v>1</v>
      </c>
      <c r="K52" t="n">
        <v>0</v>
      </c>
      <c r="L52" t="n">
        <v>0</v>
      </c>
      <c r="M52" t="n">
        <v>0</v>
      </c>
      <c r="N52" t="n">
        <v>0</v>
      </c>
      <c r="O52" t="n">
        <v>0</v>
      </c>
      <c r="P52" t="n">
        <v>0</v>
      </c>
      <c r="Q52" t="n">
        <v>0</v>
      </c>
      <c r="R52" t="n">
        <v>0</v>
      </c>
      <c r="S52" t="n">
        <v>1</v>
      </c>
      <c r="T52" t="n">
        <v>1</v>
      </c>
      <c r="U52" t="n">
        <v>0</v>
      </c>
      <c r="V52" s="2" t="inlineStr">
        <is>
          <t>Tjäder</t>
        </is>
      </c>
      <c r="W52">
        <f>HYPERLINK("https://klasma.github.io/Logging_1766/artfynd/A 58224-2024 artfynd.xlsx", "A 58224-2024")</f>
        <v/>
      </c>
      <c r="X52">
        <f>HYPERLINK("https://klasma.github.io/Logging_1766/kartor/A 58224-2024 karta.png", "A 58224-2024")</f>
        <v/>
      </c>
      <c r="Y52">
        <f>HYPERLINK("https://klasma.github.io/Logging_1766/kartor_geotiff/A 58224-2024 georefererad karta.tif", "A 58224-2024")</f>
        <v/>
      </c>
      <c r="AA52">
        <f>HYPERLINK("https://klasma.github.io/Logging_1766/klagomål/A 58224-2024 FSC-klagomål.docx", "A 58224-2024")</f>
        <v/>
      </c>
      <c r="AB52">
        <f>HYPERLINK("https://klasma.github.io/Logging_1766/klagomålsmail/A 58224-2024 FSC-klagomål mail.docx", "A 58224-2024")</f>
        <v/>
      </c>
      <c r="AC52">
        <f>HYPERLINK("https://klasma.github.io/Logging_1766/tillsyn/A 58224-2024 tillsynsbegäran.docx", "A 58224-2024")</f>
        <v/>
      </c>
      <c r="AD52">
        <f>HYPERLINK("https://klasma.github.io/Logging_1766/tillsynsmail/A 58224-2024 tillsynsbegäran mail.docx", "A 58224-2024")</f>
        <v/>
      </c>
      <c r="AE52">
        <f>HYPERLINK("https://klasma.github.io/Logging_1766/fåglar/A 58224-2024 prioriterade fågelarter.docx", "A 58224-2024")</f>
        <v/>
      </c>
    </row>
    <row r="53" ht="15" customHeight="1">
      <c r="A53" t="inlineStr">
        <is>
          <t>A 58664-2024</t>
        </is>
      </c>
      <c r="B53" t="inlineStr">
        <is>
          <t>avverkningsanmälan</t>
        </is>
      </c>
      <c r="C53" t="inlineStr">
        <is>
          <t>Föryngringsavverkning</t>
        </is>
      </c>
      <c r="D53" s="1" t="n">
        <v>45635</v>
      </c>
      <c r="E53" s="1" t="n">
        <v>46313</v>
      </c>
      <c r="F53" t="inlineStr">
        <is>
          <t>VÄRMLANDS LÄN</t>
        </is>
      </c>
      <c r="G53" t="inlineStr">
        <is>
          <t>SUNNE</t>
        </is>
      </c>
      <c r="I53" t="n">
        <v>2.2</v>
      </c>
      <c r="J53" t="n">
        <v>0</v>
      </c>
      <c r="K53" t="n">
        <v>0</v>
      </c>
      <c r="L53" t="n">
        <v>0</v>
      </c>
      <c r="M53" t="n">
        <v>0</v>
      </c>
      <c r="N53" t="n">
        <v>0</v>
      </c>
      <c r="O53" t="n">
        <v>0</v>
      </c>
      <c r="P53" t="n">
        <v>0</v>
      </c>
      <c r="Q53" t="n">
        <v>0</v>
      </c>
      <c r="R53" t="n">
        <v>0</v>
      </c>
      <c r="S53" t="n">
        <v>1</v>
      </c>
      <c r="T53" t="n">
        <v>1</v>
      </c>
      <c r="U53" t="n">
        <v>1</v>
      </c>
      <c r="V53" s="2" t="inlineStr">
        <is>
          <t>Kärrviol</t>
        </is>
      </c>
      <c r="W53">
        <f>HYPERLINK("https://klasma.github.io/Logging_1766/artfynd/A 58664-2024 artfynd.xlsx", "A 58664-2024")</f>
        <v/>
      </c>
      <c r="X53">
        <f>HYPERLINK("https://klasma.github.io/Logging_1766/kartor/A 58664-2024 karta.png", "A 58664-2024")</f>
        <v/>
      </c>
      <c r="Y53">
        <f>HYPERLINK("https://klasma.github.io/Logging_1766/kartor_geotiff/A 58664-2024 georefererad karta.tif", "A 58664-2024")</f>
        <v/>
      </c>
      <c r="AA53">
        <f>HYPERLINK("https://klasma.github.io/Logging_1766/klagomål/A 58664-2024 FSC-klagomål.docx", "A 58664-2024")</f>
        <v/>
      </c>
      <c r="AB53">
        <f>HYPERLINK("https://klasma.github.io/Logging_1766/klagomålsmail/A 58664-2024 FSC-klagomål mail.docx", "A 58664-2024")</f>
        <v/>
      </c>
      <c r="AC53">
        <f>HYPERLINK("https://klasma.github.io/Logging_1766/tillsyn/A 58664-2024 tillsynsbegäran.docx", "A 58664-2024")</f>
        <v/>
      </c>
      <c r="AD53">
        <f>HYPERLINK("https://klasma.github.io/Logging_1766/tillsynsmail/A 58664-2024 tillsynsbegäran mail.docx", "A 58664-2024")</f>
        <v/>
      </c>
    </row>
    <row r="54" ht="15" customHeight="1">
      <c r="A54" t="inlineStr">
        <is>
          <t>A 49825-2025</t>
        </is>
      </c>
      <c r="B54" t="inlineStr">
        <is>
          <t>avverkningsanmälan</t>
        </is>
      </c>
      <c r="C54" t="inlineStr">
        <is>
          <t>Föryngringsavverkning</t>
        </is>
      </c>
      <c r="D54" s="1" t="n">
        <v>45940</v>
      </c>
      <c r="E54" s="1" t="n">
        <v>46313</v>
      </c>
      <c r="F54" t="inlineStr">
        <is>
          <t>VÄRMLANDS LÄN</t>
        </is>
      </c>
      <c r="G54" t="inlineStr">
        <is>
          <t>SUNNE</t>
        </is>
      </c>
      <c r="H54" t="inlineStr">
        <is>
          <t>Bergvik skog väst AB</t>
        </is>
      </c>
      <c r="I54" t="n">
        <v>7.3</v>
      </c>
      <c r="J54" t="n">
        <v>1</v>
      </c>
      <c r="K54" t="n">
        <v>0</v>
      </c>
      <c r="L54" t="n">
        <v>1</v>
      </c>
      <c r="M54" t="n">
        <v>0</v>
      </c>
      <c r="N54" t="n">
        <v>0</v>
      </c>
      <c r="O54" t="n">
        <v>0</v>
      </c>
      <c r="P54" t="n">
        <v>0</v>
      </c>
      <c r="Q54" t="n">
        <v>1</v>
      </c>
      <c r="R54" t="n">
        <v>0</v>
      </c>
      <c r="S54" t="n">
        <v>1</v>
      </c>
      <c r="T54" t="n">
        <v>1</v>
      </c>
      <c r="U54" t="n">
        <v>1</v>
      </c>
      <c r="V54" s="2" t="inlineStr">
        <is>
          <t>Bivråk</t>
        </is>
      </c>
      <c r="W54">
        <f>HYPERLINK("https://klasma.github.io/Logging_1766/artfynd/A 49825-2025 artfynd.xlsx", "A 49825-2025")</f>
        <v/>
      </c>
      <c r="X54">
        <f>HYPERLINK("https://klasma.github.io/Logging_1766/kartor/A 49825-2025 karta.png", "A 49825-2025")</f>
        <v/>
      </c>
      <c r="Y54">
        <f>HYPERLINK("https://klasma.github.io/Logging_1766/kartor_geotiff/A 49825-2025 georefererad karta.tif", "A 49825-2025")</f>
        <v/>
      </c>
      <c r="AA54">
        <f>HYPERLINK("https://klasma.github.io/Logging_1766/klagomål/A 49825-2025 FSC-klagomål.docx", "A 49825-2025")</f>
        <v/>
      </c>
      <c r="AB54">
        <f>HYPERLINK("https://klasma.github.io/Logging_1766/klagomålsmail/A 49825-2025 FSC-klagomål mail.docx", "A 49825-2025")</f>
        <v/>
      </c>
      <c r="AC54">
        <f>HYPERLINK("https://klasma.github.io/Logging_1766/tillsyn/A 49825-2025 tillsynsbegäran.docx", "A 49825-2025")</f>
        <v/>
      </c>
      <c r="AD54">
        <f>HYPERLINK("https://klasma.github.io/Logging_1766/tillsynsmail/A 49825-2025 tillsynsbegäran mail.docx", "A 49825-2025")</f>
        <v/>
      </c>
      <c r="AE54">
        <f>HYPERLINK("https://klasma.github.io/Logging_1766/fåglar/A 49825-2025 prioriterade fågelarter.docx", "A 49825-2025")</f>
        <v/>
      </c>
    </row>
    <row r="55" ht="15" customHeight="1">
      <c r="A55" t="inlineStr">
        <is>
          <t>A 538-2024</t>
        </is>
      </c>
      <c r="B55" t="inlineStr">
        <is>
          <t>avverkningsanmälan</t>
        </is>
      </c>
      <c r="C55" t="inlineStr">
        <is>
          <t>Föryngringsavverkning</t>
        </is>
      </c>
      <c r="D55" s="1" t="n">
        <v>45299</v>
      </c>
      <c r="E55" s="1" t="n">
        <v>46313</v>
      </c>
      <c r="F55" t="inlineStr">
        <is>
          <t>VÄRMLANDS LÄN</t>
        </is>
      </c>
      <c r="G55" t="inlineStr">
        <is>
          <t>SUNNE</t>
        </is>
      </c>
      <c r="I55" t="n">
        <v>3.1</v>
      </c>
      <c r="J55" t="n">
        <v>0</v>
      </c>
      <c r="K55" t="n">
        <v>0</v>
      </c>
      <c r="L55" t="n">
        <v>0</v>
      </c>
      <c r="M55" t="n">
        <v>1</v>
      </c>
      <c r="N55" t="n">
        <v>0</v>
      </c>
      <c r="O55" t="n">
        <v>0</v>
      </c>
      <c r="P55" t="n">
        <v>0</v>
      </c>
      <c r="Q55" t="n">
        <v>1</v>
      </c>
      <c r="R55" t="n">
        <v>1</v>
      </c>
      <c r="S55" t="n">
        <v>1</v>
      </c>
      <c r="T55" t="n">
        <v>3</v>
      </c>
      <c r="U55" t="n">
        <v>0</v>
      </c>
      <c r="V55" s="2" t="inlineStr">
        <is>
          <t>Garnlav</t>
        </is>
      </c>
      <c r="W55">
        <f>HYPERLINK("https://klasma.github.io/Logging_1766/artfynd/A 538-2024 artfynd.xlsx", "A 538-2024")</f>
        <v/>
      </c>
      <c r="X55">
        <f>HYPERLINK("https://klasma.github.io/Logging_1766/kartor/A 538-2024 karta.png", "A 538-2024")</f>
        <v/>
      </c>
      <c r="Y55">
        <f>HYPERLINK("https://klasma.github.io/Logging_1766/kartor_geotiff/A 538-2024 georefererad karta.tif", "A 538-2024")</f>
        <v/>
      </c>
      <c r="AA55">
        <f>HYPERLINK("https://klasma.github.io/Logging_1766/klagomål/A 538-2024 FSC-klagomål.docx", "A 538-2024")</f>
        <v/>
      </c>
      <c r="AB55">
        <f>HYPERLINK("https://klasma.github.io/Logging_1766/klagomålsmail/A 538-2024 FSC-klagomål mail.docx", "A 538-2024")</f>
        <v/>
      </c>
      <c r="AC55">
        <f>HYPERLINK("https://klasma.github.io/Logging_1766/tillsyn/A 538-2024 tillsynsbegäran.docx", "A 538-2024")</f>
        <v/>
      </c>
      <c r="AD55">
        <f>HYPERLINK("https://klasma.github.io/Logging_1766/tillsynsmail/A 538-2024 tillsynsbegäran mail.docx", "A 538-2024")</f>
        <v/>
      </c>
    </row>
    <row r="56" ht="15" customHeight="1">
      <c r="A56" t="inlineStr">
        <is>
          <t>A 56522-2025</t>
        </is>
      </c>
      <c r="B56" t="inlineStr">
        <is>
          <t>avverkningsanmälan</t>
        </is>
      </c>
      <c r="C56" t="inlineStr">
        <is>
          <t>Föryngringsavverkning</t>
        </is>
      </c>
      <c r="D56" s="1" t="n">
        <v>45974</v>
      </c>
      <c r="E56" s="1" t="n">
        <v>46313</v>
      </c>
      <c r="F56" t="inlineStr">
        <is>
          <t>VÄRMLANDS LÄN</t>
        </is>
      </c>
      <c r="G56" t="inlineStr">
        <is>
          <t>SUNNE</t>
        </is>
      </c>
      <c r="I56" t="n">
        <v>2</v>
      </c>
      <c r="J56" t="n">
        <v>0</v>
      </c>
      <c r="K56" t="n">
        <v>0</v>
      </c>
      <c r="L56" t="n">
        <v>1</v>
      </c>
      <c r="M56" t="n">
        <v>0</v>
      </c>
      <c r="N56" t="n">
        <v>0</v>
      </c>
      <c r="O56" t="n">
        <v>0</v>
      </c>
      <c r="P56" t="n">
        <v>0</v>
      </c>
      <c r="Q56" t="n">
        <v>1</v>
      </c>
      <c r="R56" t="n">
        <v>0</v>
      </c>
      <c r="S56" t="n">
        <v>1</v>
      </c>
      <c r="T56" t="n">
        <v>1</v>
      </c>
      <c r="U56" t="n">
        <v>0</v>
      </c>
      <c r="V56" s="2" t="inlineStr">
        <is>
          <t>Bandad skulderbock</t>
        </is>
      </c>
      <c r="W56">
        <f>HYPERLINK("https://klasma.github.io/Logging_1766/artfynd/A 56522-2025 artfynd.xlsx", "A 56522-2025")</f>
        <v/>
      </c>
      <c r="X56">
        <f>HYPERLINK("https://klasma.github.io/Logging_1766/kartor/A 56522-2025 karta.png", "A 56522-2025")</f>
        <v/>
      </c>
      <c r="Y56">
        <f>HYPERLINK("https://klasma.github.io/Logging_1766/kartor_geotiff/A 56522-2025 georefererad karta.tif", "A 56522-2025")</f>
        <v/>
      </c>
      <c r="AA56">
        <f>HYPERLINK("https://klasma.github.io/Logging_1766/klagomål/A 56522-2025 FSC-klagomål.docx", "A 56522-2025")</f>
        <v/>
      </c>
      <c r="AB56">
        <f>HYPERLINK("https://klasma.github.io/Logging_1766/klagomålsmail/A 56522-2025 FSC-klagomål mail.docx", "A 56522-2025")</f>
        <v/>
      </c>
      <c r="AC56">
        <f>HYPERLINK("https://klasma.github.io/Logging_1766/tillsyn/A 56522-2025 tillsynsbegäran.docx", "A 56522-2025")</f>
        <v/>
      </c>
      <c r="AD56">
        <f>HYPERLINK("https://klasma.github.io/Logging_1766/tillsynsmail/A 56522-2025 tillsynsbegäran mail.docx", "A 56522-2025")</f>
        <v/>
      </c>
    </row>
    <row r="57" ht="15" customHeight="1">
      <c r="A57" t="inlineStr">
        <is>
          <t>A 60571-2025</t>
        </is>
      </c>
      <c r="B57" t="inlineStr">
        <is>
          <t>avverkningsanmälan</t>
        </is>
      </c>
      <c r="C57" t="inlineStr">
        <is>
          <t>Föryngringsavverkning</t>
        </is>
      </c>
      <c r="D57" s="1" t="n">
        <v>45995</v>
      </c>
      <c r="E57" s="1" t="n">
        <v>46313</v>
      </c>
      <c r="F57" t="inlineStr">
        <is>
          <t>VÄRMLANDS LÄN</t>
        </is>
      </c>
      <c r="G57" t="inlineStr">
        <is>
          <t>SUNNE</t>
        </is>
      </c>
      <c r="I57" t="n">
        <v>3.8</v>
      </c>
      <c r="J57" t="n">
        <v>1</v>
      </c>
      <c r="K57" t="n">
        <v>0</v>
      </c>
      <c r="L57" t="n">
        <v>1</v>
      </c>
      <c r="M57" t="n">
        <v>0</v>
      </c>
      <c r="N57" t="n">
        <v>0</v>
      </c>
      <c r="O57" t="n">
        <v>0</v>
      </c>
      <c r="P57" t="n">
        <v>0</v>
      </c>
      <c r="Q57" t="n">
        <v>1</v>
      </c>
      <c r="R57" t="n">
        <v>0</v>
      </c>
      <c r="S57" t="n">
        <v>1</v>
      </c>
      <c r="T57" t="n">
        <v>1</v>
      </c>
      <c r="U57" t="n">
        <v>0</v>
      </c>
      <c r="V57" s="2" t="inlineStr">
        <is>
          <t>Kungsfiskare</t>
        </is>
      </c>
      <c r="W57">
        <f>HYPERLINK("https://klasma.github.io/Logging_1766/artfynd/A 60571-2025 artfynd.xlsx", "A 60571-2025")</f>
        <v/>
      </c>
      <c r="X57">
        <f>HYPERLINK("https://klasma.github.io/Logging_1766/kartor/A 60571-2025 karta.png", "A 60571-2025")</f>
        <v/>
      </c>
      <c r="Y57">
        <f>HYPERLINK("https://klasma.github.io/Logging_1766/kartor_geotiff/A 60571-2025 georefererad karta.tif", "A 60571-2025")</f>
        <v/>
      </c>
      <c r="AA57">
        <f>HYPERLINK("https://klasma.github.io/Logging_1766/klagomål/A 60571-2025 FSC-klagomål.docx", "A 60571-2025")</f>
        <v/>
      </c>
      <c r="AB57">
        <f>HYPERLINK("https://klasma.github.io/Logging_1766/klagomålsmail/A 60571-2025 FSC-klagomål mail.docx", "A 60571-2025")</f>
        <v/>
      </c>
      <c r="AC57">
        <f>HYPERLINK("https://klasma.github.io/Logging_1766/tillsyn/A 60571-2025 tillsynsbegäran.docx", "A 60571-2025")</f>
        <v/>
      </c>
      <c r="AD57">
        <f>HYPERLINK("https://klasma.github.io/Logging_1766/tillsynsmail/A 60571-2025 tillsynsbegäran mail.docx", "A 60571-2025")</f>
        <v/>
      </c>
    </row>
    <row r="58" ht="15" customHeight="1">
      <c r="A58" t="inlineStr">
        <is>
          <t>A 62577-2025</t>
        </is>
      </c>
      <c r="B58" t="inlineStr">
        <is>
          <t>avverkningsanmälan</t>
        </is>
      </c>
      <c r="C58" t="inlineStr">
        <is>
          <t>Föryngringsavverkning</t>
        </is>
      </c>
      <c r="D58" s="1" t="n">
        <v>46007</v>
      </c>
      <c r="E58" s="1" t="n">
        <v>46313</v>
      </c>
      <c r="F58" t="inlineStr">
        <is>
          <t>VÄRMLANDS LÄN</t>
        </is>
      </c>
      <c r="G58" t="inlineStr">
        <is>
          <t>SUNNE</t>
        </is>
      </c>
      <c r="I58" t="n">
        <v>4</v>
      </c>
      <c r="J58" t="n">
        <v>1</v>
      </c>
      <c r="K58" t="n">
        <v>0</v>
      </c>
      <c r="L58" t="n">
        <v>0</v>
      </c>
      <c r="M58" t="n">
        <v>0</v>
      </c>
      <c r="N58" t="n">
        <v>0</v>
      </c>
      <c r="O58" t="n">
        <v>0</v>
      </c>
      <c r="P58" t="n">
        <v>0</v>
      </c>
      <c r="Q58" t="n">
        <v>0</v>
      </c>
      <c r="R58" t="n">
        <v>0</v>
      </c>
      <c r="S58" t="n">
        <v>1</v>
      </c>
      <c r="T58" t="n">
        <v>1</v>
      </c>
      <c r="U58" t="n">
        <v>1</v>
      </c>
      <c r="V58" s="2" t="inlineStr">
        <is>
          <t>Mattlummer</t>
        </is>
      </c>
      <c r="W58">
        <f>HYPERLINK("https://klasma.github.io/Logging_1766/artfynd/A 62577-2025 artfynd.xlsx", "A 62577-2025")</f>
        <v/>
      </c>
      <c r="X58">
        <f>HYPERLINK("https://klasma.github.io/Logging_1766/kartor/A 62577-2025 karta.png", "A 62577-2025")</f>
        <v/>
      </c>
      <c r="Y58">
        <f>HYPERLINK("https://klasma.github.io/Logging_1766/kartor_geotiff/A 62577-2025 georefererad karta.tif", "A 62577-2025")</f>
        <v/>
      </c>
      <c r="AA58">
        <f>HYPERLINK("https://klasma.github.io/Logging_1766/klagomål/A 62577-2025 FSC-klagomål.docx", "A 62577-2025")</f>
        <v/>
      </c>
      <c r="AB58">
        <f>HYPERLINK("https://klasma.github.io/Logging_1766/klagomålsmail/A 62577-2025 FSC-klagomål mail.docx", "A 62577-2025")</f>
        <v/>
      </c>
      <c r="AC58">
        <f>HYPERLINK("https://klasma.github.io/Logging_1766/tillsyn/A 62577-2025 tillsynsbegäran.docx", "A 62577-2025")</f>
        <v/>
      </c>
      <c r="AD58">
        <f>HYPERLINK("https://klasma.github.io/Logging_1766/tillsynsmail/A 62577-2025 tillsynsbegäran mail.docx", "A 62577-2025")</f>
        <v/>
      </c>
    </row>
    <row r="59" ht="15" customHeight="1">
      <c r="A59" t="inlineStr">
        <is>
          <t>A 19409-2025</t>
        </is>
      </c>
      <c r="B59" t="inlineStr">
        <is>
          <t>avverkningsanmälan</t>
        </is>
      </c>
      <c r="C59" t="inlineStr">
        <is>
          <t>Föryngringsavverkning</t>
        </is>
      </c>
      <c r="D59" s="1" t="n">
        <v>45769</v>
      </c>
      <c r="E59" s="1" t="n">
        <v>46313</v>
      </c>
      <c r="F59" t="inlineStr">
        <is>
          <t>VÄRMLANDS LÄN</t>
        </is>
      </c>
      <c r="G59" t="inlineStr">
        <is>
          <t>SUNNE</t>
        </is>
      </c>
      <c r="I59" t="n">
        <v>1.6</v>
      </c>
      <c r="J59" t="n">
        <v>0</v>
      </c>
      <c r="K59" t="n">
        <v>1</v>
      </c>
      <c r="L59" t="n">
        <v>0</v>
      </c>
      <c r="M59" t="n">
        <v>0</v>
      </c>
      <c r="N59" t="n">
        <v>0</v>
      </c>
      <c r="O59" t="n">
        <v>0</v>
      </c>
      <c r="P59" t="n">
        <v>0</v>
      </c>
      <c r="Q59" t="n">
        <v>0</v>
      </c>
      <c r="R59" t="n">
        <v>0</v>
      </c>
      <c r="S59" t="n">
        <v>1</v>
      </c>
      <c r="T59" t="n">
        <v>1</v>
      </c>
      <c r="U59" t="n">
        <v>0</v>
      </c>
      <c r="V59" s="2" t="inlineStr">
        <is>
          <t>Bronshjon</t>
        </is>
      </c>
      <c r="W59">
        <f>HYPERLINK("https://klasma.github.io/Logging_1766/artfynd/A 19409-2025 artfynd.xlsx", "A 19409-2025")</f>
        <v/>
      </c>
      <c r="X59">
        <f>HYPERLINK("https://klasma.github.io/Logging_1766/kartor/A 19409-2025 karta.png", "A 19409-2025")</f>
        <v/>
      </c>
      <c r="Y59">
        <f>HYPERLINK("https://klasma.github.io/Logging_1766/kartor_geotiff/A 19409-2025 georefererad karta.tif", "A 19409-2025")</f>
        <v/>
      </c>
      <c r="AA59">
        <f>HYPERLINK("https://klasma.github.io/Logging_1766/klagomål/A 19409-2025 FSC-klagomål.docx", "A 19409-2025")</f>
        <v/>
      </c>
      <c r="AB59">
        <f>HYPERLINK("https://klasma.github.io/Logging_1766/klagomålsmail/A 19409-2025 FSC-klagomål mail.docx", "A 19409-2025")</f>
        <v/>
      </c>
      <c r="AC59">
        <f>HYPERLINK("https://klasma.github.io/Logging_1766/tillsyn/A 19409-2025 tillsynsbegäran.docx", "A 19409-2025")</f>
        <v/>
      </c>
      <c r="AD59">
        <f>HYPERLINK("https://klasma.github.io/Logging_1766/tillsynsmail/A 19409-2025 tillsynsbegäran mail.docx", "A 19409-2025")</f>
        <v/>
      </c>
    </row>
    <row r="60" ht="15" customHeight="1">
      <c r="A60" t="inlineStr">
        <is>
          <t>A 73730-2021</t>
        </is>
      </c>
      <c r="B60" t="inlineStr">
        <is>
          <t>avverkningsanmälan</t>
        </is>
      </c>
      <c r="C60" t="inlineStr">
        <is>
          <t>Föryngringsavverkning</t>
        </is>
      </c>
      <c r="D60" s="1" t="n">
        <v>44552</v>
      </c>
      <c r="E60" s="1" t="n">
        <v>46313</v>
      </c>
      <c r="F60" t="inlineStr">
        <is>
          <t>VÄRMLANDS LÄN</t>
        </is>
      </c>
      <c r="G60" t="inlineStr">
        <is>
          <t>SUNNE</t>
        </is>
      </c>
      <c r="I60" t="n">
        <v>4.1</v>
      </c>
      <c r="J60" t="n">
        <v>0</v>
      </c>
      <c r="K60" t="n">
        <v>1</v>
      </c>
      <c r="L60" t="n">
        <v>0</v>
      </c>
      <c r="M60" t="n">
        <v>0</v>
      </c>
      <c r="N60" t="n">
        <v>0</v>
      </c>
      <c r="O60" t="n">
        <v>0</v>
      </c>
      <c r="P60" t="n">
        <v>0</v>
      </c>
      <c r="Q60" t="n">
        <v>0</v>
      </c>
      <c r="R60" t="n">
        <v>0</v>
      </c>
      <c r="S60" t="n">
        <v>1</v>
      </c>
      <c r="T60" t="n">
        <v>1</v>
      </c>
      <c r="U60" t="n">
        <v>1</v>
      </c>
      <c r="V60" s="2" t="inlineStr">
        <is>
          <t>Kamjordstjärna</t>
        </is>
      </c>
      <c r="W60">
        <f>HYPERLINK("https://klasma.github.io/Logging_1766/artfynd/A 73730-2021 artfynd.xlsx", "A 73730-2021")</f>
        <v/>
      </c>
      <c r="X60">
        <f>HYPERLINK("https://klasma.github.io/Logging_1766/kartor/A 73730-2021 karta.png", "A 73730-2021")</f>
        <v/>
      </c>
      <c r="Y60">
        <f>HYPERLINK("https://klasma.github.io/Logging_1766/kartor_geotiff/A 73730-2021 georefererad karta.tif", "A 73730-2021")</f>
        <v/>
      </c>
      <c r="AA60">
        <f>HYPERLINK("https://klasma.github.io/Logging_1766/klagomål/A 73730-2021 FSC-klagomål.docx", "A 73730-2021")</f>
        <v/>
      </c>
      <c r="AB60">
        <f>HYPERLINK("https://klasma.github.io/Logging_1766/klagomålsmail/A 73730-2021 FSC-klagomål mail.docx", "A 73730-2021")</f>
        <v/>
      </c>
      <c r="AC60">
        <f>HYPERLINK("https://klasma.github.io/Logging_1766/tillsyn/A 73730-2021 tillsynsbegäran.docx", "A 73730-2021")</f>
        <v/>
      </c>
      <c r="AD60">
        <f>HYPERLINK("https://klasma.github.io/Logging_1766/tillsynsmail/A 73730-2021 tillsynsbegäran mail.docx", "A 73730-2021")</f>
        <v/>
      </c>
    </row>
    <row r="61" ht="15" customHeight="1">
      <c r="A61" t="inlineStr">
        <is>
          <t>A 22734-2024</t>
        </is>
      </c>
      <c r="B61" t="inlineStr">
        <is>
          <t>avverkningsanmälan</t>
        </is>
      </c>
      <c r="C61" t="inlineStr">
        <is>
          <t>Avverkning för annat ändamål</t>
        </is>
      </c>
      <c r="D61" s="1" t="n">
        <v>45448</v>
      </c>
      <c r="E61" s="1" t="n">
        <v>46313</v>
      </c>
      <c r="F61" t="inlineStr">
        <is>
          <t>VÄRMLANDS LÄN</t>
        </is>
      </c>
      <c r="G61" t="inlineStr">
        <is>
          <t>SUNNE</t>
        </is>
      </c>
      <c r="H61" t="inlineStr">
        <is>
          <t>Bergvik skog väst AB</t>
        </is>
      </c>
      <c r="I61" t="n">
        <v>1.6</v>
      </c>
      <c r="J61" t="n">
        <v>1</v>
      </c>
      <c r="K61" t="n">
        <v>0</v>
      </c>
      <c r="L61" t="n">
        <v>1</v>
      </c>
      <c r="M61" t="n">
        <v>0</v>
      </c>
      <c r="N61" t="n">
        <v>0</v>
      </c>
      <c r="O61" t="n">
        <v>0</v>
      </c>
      <c r="P61" t="n">
        <v>0</v>
      </c>
      <c r="Q61" t="n">
        <v>1</v>
      </c>
      <c r="R61" t="n">
        <v>0</v>
      </c>
      <c r="S61" t="n">
        <v>1</v>
      </c>
      <c r="T61" t="n">
        <v>1</v>
      </c>
      <c r="U61" t="n">
        <v>1</v>
      </c>
      <c r="V61" s="2" t="inlineStr">
        <is>
          <t>Bivråk</t>
        </is>
      </c>
      <c r="W61">
        <f>HYPERLINK("https://klasma.github.io/Logging_1766/artfynd/A 22734-2024 artfynd.xlsx", "A 22734-2024")</f>
        <v/>
      </c>
      <c r="X61">
        <f>HYPERLINK("https://klasma.github.io/Logging_1766/kartor/A 22734-2024 karta.png", "A 22734-2024")</f>
        <v/>
      </c>
      <c r="Y61">
        <f>HYPERLINK("https://klasma.github.io/Logging_1766/kartor_geotiff/A 22734-2024 georefererad karta.tif", "A 22734-2024")</f>
        <v/>
      </c>
      <c r="AA61">
        <f>HYPERLINK("https://klasma.github.io/Logging_1766/klagomål/A 22734-2024 FSC-klagomål.docx", "A 22734-2024")</f>
        <v/>
      </c>
      <c r="AB61">
        <f>HYPERLINK("https://klasma.github.io/Logging_1766/klagomålsmail/A 22734-2024 FSC-klagomål mail.docx", "A 22734-2024")</f>
        <v/>
      </c>
      <c r="AC61">
        <f>HYPERLINK("https://klasma.github.io/Logging_1766/tillsyn/A 22734-2024 tillsynsbegäran.docx", "A 22734-2024")</f>
        <v/>
      </c>
      <c r="AD61">
        <f>HYPERLINK("https://klasma.github.io/Logging_1766/tillsynsmail/A 22734-2024 tillsynsbegäran mail.docx", "A 22734-2024")</f>
        <v/>
      </c>
      <c r="AE61">
        <f>HYPERLINK("https://klasma.github.io/Logging_1766/fåglar/A 22734-2024 prioriterade fågelarter.docx", "A 22734-2024")</f>
        <v/>
      </c>
    </row>
    <row r="62" ht="15" customHeight="1">
      <c r="A62" t="inlineStr">
        <is>
          <t>A 28503-2026</t>
        </is>
      </c>
      <c r="B62" t="inlineStr">
        <is>
          <t>avverkningsanmälan</t>
        </is>
      </c>
      <c r="C62" t="inlineStr">
        <is>
          <t>Föryngringsavverkning</t>
        </is>
      </c>
      <c r="D62" s="1" t="n">
        <v>46197</v>
      </c>
      <c r="E62" s="1" t="n">
        <v>46313</v>
      </c>
      <c r="F62" t="inlineStr">
        <is>
          <t>VÄRMLANDS LÄN</t>
        </is>
      </c>
      <c r="G62" t="inlineStr">
        <is>
          <t>SUNNE</t>
        </is>
      </c>
      <c r="H62" t="inlineStr">
        <is>
          <t>Bergvik skog väst AB</t>
        </is>
      </c>
      <c r="I62" t="n">
        <v>5.2</v>
      </c>
      <c r="J62" t="n">
        <v>1</v>
      </c>
      <c r="K62" t="n">
        <v>0</v>
      </c>
      <c r="L62" t="n">
        <v>0</v>
      </c>
      <c r="M62" t="n">
        <v>0</v>
      </c>
      <c r="N62" t="n">
        <v>0</v>
      </c>
      <c r="O62" t="n">
        <v>0</v>
      </c>
      <c r="P62" t="n">
        <v>0</v>
      </c>
      <c r="Q62" t="n">
        <v>0</v>
      </c>
      <c r="R62" t="n">
        <v>0</v>
      </c>
      <c r="S62" t="n">
        <v>1</v>
      </c>
      <c r="T62" t="n">
        <v>2</v>
      </c>
      <c r="U62" t="n">
        <v>0</v>
      </c>
      <c r="V62" s="2" t="inlineStr">
        <is>
          <t>Fläcknycklar</t>
        </is>
      </c>
      <c r="W62">
        <f>HYPERLINK("https://klasma.github.io/Logging_1766/artfynd/A 28503-2026 artfynd.xlsx", "A 28503-2026")</f>
        <v/>
      </c>
      <c r="X62">
        <f>HYPERLINK("https://klasma.github.io/Logging_1766/kartor/A 28503-2026 karta.png", "A 28503-2026")</f>
        <v/>
      </c>
      <c r="Y62">
        <f>HYPERLINK("https://klasma.github.io/Logging_1766/kartor_geotiff/A 28503-2026 georefererad karta.tif", "A 28503-2026")</f>
        <v/>
      </c>
      <c r="AA62">
        <f>HYPERLINK("https://klasma.github.io/Logging_1766/klagomål/A 28503-2026 FSC-klagomål.docx", "A 28503-2026")</f>
        <v/>
      </c>
      <c r="AB62">
        <f>HYPERLINK("https://klasma.github.io/Logging_1766/klagomålsmail/A 28503-2026 FSC-klagomål mail.docx", "A 28503-2026")</f>
        <v/>
      </c>
      <c r="AC62">
        <f>HYPERLINK("https://klasma.github.io/Logging_1766/tillsyn/A 28503-2026 tillsynsbegäran.docx", "A 28503-2026")</f>
        <v/>
      </c>
      <c r="AD62">
        <f>HYPERLINK("https://klasma.github.io/Logging_1766/tillsynsmail/A 28503-2026 tillsynsbegäran mail.docx", "A 28503-2026")</f>
        <v/>
      </c>
    </row>
    <row r="63" ht="15" customHeight="1">
      <c r="A63" t="inlineStr">
        <is>
          <t>A 31339-2023</t>
        </is>
      </c>
      <c r="B63" t="inlineStr">
        <is>
          <t>avverkningsanmälan</t>
        </is>
      </c>
      <c r="C63" t="inlineStr">
        <is>
          <t>Föryngringsavverkning</t>
        </is>
      </c>
      <c r="D63" s="1" t="n">
        <v>45114</v>
      </c>
      <c r="E63" s="1" t="n">
        <v>46313</v>
      </c>
      <c r="F63" t="inlineStr">
        <is>
          <t>VÄRMLANDS LÄN</t>
        </is>
      </c>
      <c r="G63" t="inlineStr">
        <is>
          <t>SUNNE</t>
        </is>
      </c>
      <c r="I63" t="n">
        <v>0.8</v>
      </c>
      <c r="J63" t="n">
        <v>0</v>
      </c>
      <c r="K63" t="n">
        <v>0</v>
      </c>
      <c r="L63" t="n">
        <v>0</v>
      </c>
      <c r="M63" t="n">
        <v>1</v>
      </c>
      <c r="N63" t="n">
        <v>0</v>
      </c>
      <c r="O63" t="n">
        <v>0</v>
      </c>
      <c r="P63" t="n">
        <v>0</v>
      </c>
      <c r="Q63" t="n">
        <v>1</v>
      </c>
      <c r="R63" t="n">
        <v>1</v>
      </c>
      <c r="S63" t="n">
        <v>1</v>
      </c>
      <c r="T63" t="n">
        <v>1</v>
      </c>
      <c r="U63" t="n">
        <v>0</v>
      </c>
      <c r="V63" s="2" t="inlineStr">
        <is>
          <t>Garnlav</t>
        </is>
      </c>
      <c r="W63">
        <f>HYPERLINK("https://klasma.github.io/Logging_1766/artfynd/A 31339-2023 artfynd.xlsx", "A 31339-2023")</f>
        <v/>
      </c>
      <c r="X63">
        <f>HYPERLINK("https://klasma.github.io/Logging_1766/kartor/A 31339-2023 karta.png", "A 31339-2023")</f>
        <v/>
      </c>
      <c r="Y63">
        <f>HYPERLINK("https://klasma.github.io/Logging_1766/kartor_geotiff/A 31339-2023 georefererad karta.tif", "A 31339-2023")</f>
        <v/>
      </c>
      <c r="AA63">
        <f>HYPERLINK("https://klasma.github.io/Logging_1766/klagomål/A 31339-2023 FSC-klagomål.docx", "A 31339-2023")</f>
        <v/>
      </c>
      <c r="AB63">
        <f>HYPERLINK("https://klasma.github.io/Logging_1766/klagomålsmail/A 31339-2023 FSC-klagomål mail.docx", "A 31339-2023")</f>
        <v/>
      </c>
      <c r="AC63">
        <f>HYPERLINK("https://klasma.github.io/Logging_1766/tillsyn/A 31339-2023 tillsynsbegäran.docx", "A 31339-2023")</f>
        <v/>
      </c>
      <c r="AD63">
        <f>HYPERLINK("https://klasma.github.io/Logging_1766/tillsynsmail/A 31339-2023 tillsynsbegäran mail.docx", "A 31339-2023")</f>
        <v/>
      </c>
    </row>
    <row r="64" ht="15" customHeight="1">
      <c r="A64" t="inlineStr">
        <is>
          <t>A 35926-2024</t>
        </is>
      </c>
      <c r="B64" t="inlineStr">
        <is>
          <t>avverkningsanmälan</t>
        </is>
      </c>
      <c r="C64" t="inlineStr">
        <is>
          <t>Föryngringsavverkning</t>
        </is>
      </c>
      <c r="D64" s="1" t="n">
        <v>45533</v>
      </c>
      <c r="E64" s="1" t="n">
        <v>46313</v>
      </c>
      <c r="F64" t="inlineStr">
        <is>
          <t>VÄRMLANDS LÄN</t>
        </is>
      </c>
      <c r="G64" t="inlineStr">
        <is>
          <t>SUNNE</t>
        </is>
      </c>
      <c r="I64" t="n">
        <v>2.1</v>
      </c>
      <c r="J64" t="n">
        <v>0</v>
      </c>
      <c r="K64" t="n">
        <v>1</v>
      </c>
      <c r="L64" t="n">
        <v>0</v>
      </c>
      <c r="M64" t="n">
        <v>0</v>
      </c>
      <c r="N64" t="n">
        <v>0</v>
      </c>
      <c r="O64" t="n">
        <v>0</v>
      </c>
      <c r="P64" t="n">
        <v>0</v>
      </c>
      <c r="Q64" t="n">
        <v>0</v>
      </c>
      <c r="R64" t="n">
        <v>0</v>
      </c>
      <c r="S64" t="n">
        <v>1</v>
      </c>
      <c r="T64" t="n">
        <v>1</v>
      </c>
      <c r="U64" t="n">
        <v>0</v>
      </c>
      <c r="V64" s="2" t="inlineStr">
        <is>
          <t>Vågbandad barkbock</t>
        </is>
      </c>
      <c r="W64">
        <f>HYPERLINK("https://klasma.github.io/Logging_1766/artfynd/A 35926-2024 artfynd.xlsx", "A 35926-2024")</f>
        <v/>
      </c>
      <c r="X64">
        <f>HYPERLINK("https://klasma.github.io/Logging_1766/kartor/A 35926-2024 karta.png", "A 35926-2024")</f>
        <v/>
      </c>
      <c r="Y64">
        <f>HYPERLINK("https://klasma.github.io/Logging_1766/kartor_geotiff/A 35926-2024 georefererad karta.tif", "A 35926-2024")</f>
        <v/>
      </c>
      <c r="AA64">
        <f>HYPERLINK("https://klasma.github.io/Logging_1766/klagomål/A 35926-2024 FSC-klagomål.docx", "A 35926-2024")</f>
        <v/>
      </c>
      <c r="AB64">
        <f>HYPERLINK("https://klasma.github.io/Logging_1766/klagomålsmail/A 35926-2024 FSC-klagomål mail.docx", "A 35926-2024")</f>
        <v/>
      </c>
      <c r="AC64">
        <f>HYPERLINK("https://klasma.github.io/Logging_1766/tillsyn/A 35926-2024 tillsynsbegäran.docx", "A 35926-2024")</f>
        <v/>
      </c>
      <c r="AD64">
        <f>HYPERLINK("https://klasma.github.io/Logging_1766/tillsynsmail/A 35926-2024 tillsynsbegäran mail.docx", "A 35926-2024")</f>
        <v/>
      </c>
    </row>
    <row r="65" ht="15" customHeight="1">
      <c r="A65" t="inlineStr">
        <is>
          <t>A 37931-2026</t>
        </is>
      </c>
      <c r="B65" t="inlineStr">
        <is>
          <t>avverkningsanmälan</t>
        </is>
      </c>
      <c r="C65" t="inlineStr">
        <is>
          <t>Föryngringsavverkning</t>
        </is>
      </c>
      <c r="D65" s="1" t="n">
        <v>46280</v>
      </c>
      <c r="E65" s="1" t="n">
        <v>46313</v>
      </c>
      <c r="F65" t="inlineStr">
        <is>
          <t>VÄRMLANDS LÄN</t>
        </is>
      </c>
      <c r="G65" t="inlineStr">
        <is>
          <t>SUNNE</t>
        </is>
      </c>
      <c r="I65" t="n">
        <v>2.3</v>
      </c>
      <c r="J65" t="n">
        <v>1</v>
      </c>
      <c r="K65" t="n">
        <v>0</v>
      </c>
      <c r="L65" t="n">
        <v>0</v>
      </c>
      <c r="M65" t="n">
        <v>0</v>
      </c>
      <c r="N65" t="n">
        <v>0</v>
      </c>
      <c r="O65" t="n">
        <v>0</v>
      </c>
      <c r="P65" t="n">
        <v>0</v>
      </c>
      <c r="Q65" t="n">
        <v>0</v>
      </c>
      <c r="R65" t="n">
        <v>0</v>
      </c>
      <c r="S65" t="n">
        <v>1</v>
      </c>
      <c r="T65" t="n">
        <v>1</v>
      </c>
      <c r="U65" t="n">
        <v>0</v>
      </c>
      <c r="V65" s="2" t="inlineStr">
        <is>
          <t>Tjäder</t>
        </is>
      </c>
      <c r="W65">
        <f>HYPERLINK("https://klasma.github.io/Logging_1766/artfynd/A 37931-2026 artfynd.xlsx", "A 37931-2026")</f>
        <v/>
      </c>
      <c r="X65">
        <f>HYPERLINK("https://klasma.github.io/Logging_1766/kartor/A 37931-2026 karta.png", "A 37931-2026")</f>
        <v/>
      </c>
      <c r="Y65">
        <f>HYPERLINK("https://klasma.github.io/Logging_1766/kartor_geotiff/A 37931-2026 georefererad karta.tif", "A 37931-2026")</f>
        <v/>
      </c>
      <c r="AA65">
        <f>HYPERLINK("https://klasma.github.io/Logging_1766/klagomål/A 37931-2026 FSC-klagomål.docx", "A 37931-2026")</f>
        <v/>
      </c>
      <c r="AB65">
        <f>HYPERLINK("https://klasma.github.io/Logging_1766/klagomålsmail/A 37931-2026 FSC-klagomål mail.docx", "A 37931-2026")</f>
        <v/>
      </c>
      <c r="AC65">
        <f>HYPERLINK("https://klasma.github.io/Logging_1766/tillsyn/A 37931-2026 tillsynsbegäran.docx", "A 37931-2026")</f>
        <v/>
      </c>
      <c r="AD65">
        <f>HYPERLINK("https://klasma.github.io/Logging_1766/tillsynsmail/A 37931-2026 tillsynsbegäran mail.docx", "A 37931-2026")</f>
        <v/>
      </c>
      <c r="AE65">
        <f>HYPERLINK("https://klasma.github.io/Logging_1766/fåglar/A 37931-2026 prioriterade fågelarter.docx", "A 37931-2026")</f>
        <v/>
      </c>
    </row>
    <row r="66" ht="15" customHeight="1">
      <c r="A66" t="inlineStr">
        <is>
          <t>A 14660-2022</t>
        </is>
      </c>
      <c r="B66" t="inlineStr">
        <is>
          <t>avverkningsanmälan</t>
        </is>
      </c>
      <c r="C66" t="inlineStr">
        <is>
          <t>Föryngringsavverkning</t>
        </is>
      </c>
      <c r="D66" s="1" t="n">
        <v>44655</v>
      </c>
      <c r="E66" s="1" t="n">
        <v>46313</v>
      </c>
      <c r="F66" t="inlineStr">
        <is>
          <t>VÄRMLANDS LÄN</t>
        </is>
      </c>
      <c r="G66" t="inlineStr">
        <is>
          <t>SUNNE</t>
        </is>
      </c>
      <c r="I66" t="n">
        <v>3.4</v>
      </c>
      <c r="J66" t="n">
        <v>1</v>
      </c>
      <c r="K66" t="n">
        <v>0</v>
      </c>
      <c r="L66" t="n">
        <v>0</v>
      </c>
      <c r="M66" t="n">
        <v>0</v>
      </c>
      <c r="N66" t="n">
        <v>0</v>
      </c>
      <c r="O66" t="n">
        <v>0</v>
      </c>
      <c r="P66" t="n">
        <v>0</v>
      </c>
      <c r="Q66" t="n">
        <v>0</v>
      </c>
      <c r="R66" t="n">
        <v>0</v>
      </c>
      <c r="S66" t="n">
        <v>1</v>
      </c>
      <c r="T66" t="n">
        <v>1</v>
      </c>
      <c r="U66" t="n">
        <v>0</v>
      </c>
      <c r="V66" s="2" t="inlineStr">
        <is>
          <t>Utter</t>
        </is>
      </c>
      <c r="W66">
        <f>HYPERLINK("https://klasma.github.io/Logging_1766/artfynd/A 14660-2022 artfynd.xlsx", "A 14660-2022")</f>
        <v/>
      </c>
      <c r="X66">
        <f>HYPERLINK("https://klasma.github.io/Logging_1766/kartor/A 14660-2022 karta.png", "A 14660-2022")</f>
        <v/>
      </c>
      <c r="Y66">
        <f>HYPERLINK("https://klasma.github.io/Logging_1766/kartor_geotiff/A 14660-2022 georefererad karta.tif", "A 14660-2022")</f>
        <v/>
      </c>
      <c r="AA66">
        <f>HYPERLINK("https://klasma.github.io/Logging_1766/klagomål/A 14660-2022 FSC-klagomål.docx", "A 14660-2022")</f>
        <v/>
      </c>
      <c r="AB66">
        <f>HYPERLINK("https://klasma.github.io/Logging_1766/klagomålsmail/A 14660-2022 FSC-klagomål mail.docx", "A 14660-2022")</f>
        <v/>
      </c>
      <c r="AC66">
        <f>HYPERLINK("https://klasma.github.io/Logging_1766/tillsyn/A 14660-2022 tillsynsbegäran.docx", "A 14660-2022")</f>
        <v/>
      </c>
      <c r="AD66">
        <f>HYPERLINK("https://klasma.github.io/Logging_1766/tillsynsmail/A 14660-2022 tillsynsbegäran mail.docx", "A 14660-2022")</f>
        <v/>
      </c>
    </row>
    <row r="67" ht="15" customHeight="1">
      <c r="A67" t="inlineStr">
        <is>
          <t>A 49894-2025</t>
        </is>
      </c>
      <c r="B67" t="inlineStr">
        <is>
          <t>avverkningsanmälan</t>
        </is>
      </c>
      <c r="C67" t="inlineStr">
        <is>
          <t>Föryngringsavverkning</t>
        </is>
      </c>
      <c r="D67" s="1" t="n">
        <v>45940</v>
      </c>
      <c r="E67" s="1" t="n">
        <v>46313</v>
      </c>
      <c r="F67" t="inlineStr">
        <is>
          <t>VÄRMLANDS LÄN</t>
        </is>
      </c>
      <c r="G67" t="inlineStr">
        <is>
          <t>SUNNE</t>
        </is>
      </c>
      <c r="I67" t="n">
        <v>12.3</v>
      </c>
      <c r="J67" t="n">
        <v>1</v>
      </c>
      <c r="K67" t="n">
        <v>0</v>
      </c>
      <c r="L67" t="n">
        <v>0</v>
      </c>
      <c r="M67" t="n">
        <v>0</v>
      </c>
      <c r="N67" t="n">
        <v>1</v>
      </c>
      <c r="O67" t="n">
        <v>0</v>
      </c>
      <c r="P67" t="n">
        <v>0</v>
      </c>
      <c r="Q67" t="n">
        <v>1</v>
      </c>
      <c r="R67" t="n">
        <v>1</v>
      </c>
      <c r="S67" t="n">
        <v>1</v>
      </c>
      <c r="T67" t="n">
        <v>1</v>
      </c>
      <c r="U67" t="n">
        <v>0</v>
      </c>
      <c r="V67" s="2" t="inlineStr">
        <is>
          <t>Pärluggla</t>
        </is>
      </c>
      <c r="W67">
        <f>HYPERLINK("https://klasma.github.io/Logging_1766/artfynd/A 49894-2025 artfynd.xlsx", "A 49894-2025")</f>
        <v/>
      </c>
      <c r="X67">
        <f>HYPERLINK("https://klasma.github.io/Logging_1766/kartor/A 49894-2025 karta.png", "A 49894-2025")</f>
        <v/>
      </c>
      <c r="Y67">
        <f>HYPERLINK("https://klasma.github.io/Logging_1766/kartor_geotiff/A 49894-2025 georefererad karta.tif", "A 49894-2025")</f>
        <v/>
      </c>
      <c r="AA67">
        <f>HYPERLINK("https://klasma.github.io/Logging_1766/klagomål/A 49894-2025 FSC-klagomål.docx", "A 49894-2025")</f>
        <v/>
      </c>
      <c r="AB67">
        <f>HYPERLINK("https://klasma.github.io/Logging_1766/klagomålsmail/A 49894-2025 FSC-klagomål mail.docx", "A 49894-2025")</f>
        <v/>
      </c>
      <c r="AC67">
        <f>HYPERLINK("https://klasma.github.io/Logging_1766/tillsyn/A 49894-2025 tillsynsbegäran.docx", "A 49894-2025")</f>
        <v/>
      </c>
      <c r="AD67">
        <f>HYPERLINK("https://klasma.github.io/Logging_1766/tillsynsmail/A 49894-2025 tillsynsbegäran mail.docx", "A 49894-2025")</f>
        <v/>
      </c>
      <c r="AE67">
        <f>HYPERLINK("https://klasma.github.io/Logging_1766/fåglar/A 49894-2025 prioriterade fågelarter.docx", "A 49894-2025")</f>
        <v/>
      </c>
    </row>
    <row r="68" ht="15" customHeight="1">
      <c r="A68" t="inlineStr">
        <is>
          <t>A 39882-2026</t>
        </is>
      </c>
      <c r="B68" t="inlineStr">
        <is>
          <t>avverkningsanmälan</t>
        </is>
      </c>
      <c r="C68" t="inlineStr">
        <is>
          <t>Föryngringsavverkning</t>
        </is>
      </c>
      <c r="D68" s="1" t="n">
        <v>46290</v>
      </c>
      <c r="E68" s="1" t="n">
        <v>46313</v>
      </c>
      <c r="F68" t="inlineStr">
        <is>
          <t>VÄRMLANDS LÄN</t>
        </is>
      </c>
      <c r="G68" t="inlineStr">
        <is>
          <t>SUNNE</t>
        </is>
      </c>
      <c r="H68" t="inlineStr">
        <is>
          <t>Bergvik skog väst AB</t>
        </is>
      </c>
      <c r="I68" t="n">
        <v>2</v>
      </c>
      <c r="J68" t="n">
        <v>1</v>
      </c>
      <c r="K68" t="n">
        <v>0</v>
      </c>
      <c r="L68" t="n">
        <v>1</v>
      </c>
      <c r="M68" t="n">
        <v>0</v>
      </c>
      <c r="N68" t="n">
        <v>0</v>
      </c>
      <c r="O68" t="n">
        <v>0</v>
      </c>
      <c r="P68" t="n">
        <v>0</v>
      </c>
      <c r="Q68" t="n">
        <v>1</v>
      </c>
      <c r="R68" t="n">
        <v>0</v>
      </c>
      <c r="S68" t="n">
        <v>1</v>
      </c>
      <c r="T68" t="n">
        <v>1</v>
      </c>
      <c r="U68" t="n">
        <v>0</v>
      </c>
      <c r="V68" s="2" t="inlineStr">
        <is>
          <t>Talltita</t>
        </is>
      </c>
      <c r="W68">
        <f>HYPERLINK("https://klasma.github.io/Logging_1766/artfynd/A 39882-2026 artfynd.xlsx", "A 39882-2026")</f>
        <v/>
      </c>
      <c r="X68">
        <f>HYPERLINK("https://klasma.github.io/Logging_1766/kartor/A 39882-2026 karta.png", "A 39882-2026")</f>
        <v/>
      </c>
      <c r="Y68">
        <f>HYPERLINK("https://klasma.github.io/Logging_1766/kartor_geotiff/A 39882-2026 georefererad karta.tif", "A 39882-2026")</f>
        <v/>
      </c>
      <c r="AA68">
        <f>HYPERLINK("https://klasma.github.io/Logging_1766/klagomål/A 39882-2026 FSC-klagomål.docx", "A 39882-2026")</f>
        <v/>
      </c>
      <c r="AB68">
        <f>HYPERLINK("https://klasma.github.io/Logging_1766/klagomålsmail/A 39882-2026 FSC-klagomål mail.docx", "A 39882-2026")</f>
        <v/>
      </c>
      <c r="AC68">
        <f>HYPERLINK("https://klasma.github.io/Logging_1766/tillsyn/A 39882-2026 tillsynsbegäran.docx", "A 39882-2026")</f>
        <v/>
      </c>
      <c r="AD68">
        <f>HYPERLINK("https://klasma.github.io/Logging_1766/tillsynsmail/A 39882-2026 tillsynsbegäran mail.docx", "A 39882-2026")</f>
        <v/>
      </c>
      <c r="AE68">
        <f>HYPERLINK("https://klasma.github.io/Logging_1766/fåglar/A 39882-2026 prioriterade fågelarter.docx", "A 39882-2026")</f>
        <v/>
      </c>
    </row>
    <row r="69" ht="15" customHeight="1">
      <c r="A69" t="inlineStr">
        <is>
          <t>A 39757-2026</t>
        </is>
      </c>
      <c r="B69" t="inlineStr">
        <is>
          <t>avverkningsanmälan</t>
        </is>
      </c>
      <c r="C69" t="inlineStr">
        <is>
          <t>Föryngringsavverkning</t>
        </is>
      </c>
      <c r="D69" s="1" t="n">
        <v>46290</v>
      </c>
      <c r="E69" s="1" t="n">
        <v>46313</v>
      </c>
      <c r="F69" t="inlineStr">
        <is>
          <t>VÄRMLANDS LÄN</t>
        </is>
      </c>
      <c r="G69" t="inlineStr">
        <is>
          <t>SUNNE</t>
        </is>
      </c>
      <c r="H69" t="inlineStr">
        <is>
          <t>Bergvik skog väst AB</t>
        </is>
      </c>
      <c r="I69" t="n">
        <v>5.1</v>
      </c>
      <c r="J69" t="n">
        <v>1</v>
      </c>
      <c r="K69" t="n">
        <v>0</v>
      </c>
      <c r="L69" t="n">
        <v>0</v>
      </c>
      <c r="M69" t="n">
        <v>0</v>
      </c>
      <c r="N69" t="n">
        <v>0</v>
      </c>
      <c r="O69" t="n">
        <v>0</v>
      </c>
      <c r="P69" t="n">
        <v>0</v>
      </c>
      <c r="Q69" t="n">
        <v>0</v>
      </c>
      <c r="R69" t="n">
        <v>0</v>
      </c>
      <c r="S69" t="n">
        <v>1</v>
      </c>
      <c r="T69" t="n">
        <v>1</v>
      </c>
      <c r="U69" t="n">
        <v>0</v>
      </c>
      <c r="V69" s="2" t="inlineStr">
        <is>
          <t>Fläcknycklar</t>
        </is>
      </c>
      <c r="W69">
        <f>HYPERLINK("https://klasma.github.io/Logging_1766/artfynd/A 39757-2026 artfynd.xlsx", "A 39757-2026")</f>
        <v/>
      </c>
      <c r="X69">
        <f>HYPERLINK("https://klasma.github.io/Logging_1766/kartor/A 39757-2026 karta.png", "A 39757-2026")</f>
        <v/>
      </c>
      <c r="Y69">
        <f>HYPERLINK("https://klasma.github.io/Logging_1766/kartor_geotiff/A 39757-2026 georefererad karta.tif", "A 39757-2026")</f>
        <v/>
      </c>
      <c r="AA69">
        <f>HYPERLINK("https://klasma.github.io/Logging_1766/klagomål/A 39757-2026 FSC-klagomål.docx", "A 39757-2026")</f>
        <v/>
      </c>
      <c r="AB69">
        <f>HYPERLINK("https://klasma.github.io/Logging_1766/klagomålsmail/A 39757-2026 FSC-klagomål mail.docx", "A 39757-2026")</f>
        <v/>
      </c>
      <c r="AC69">
        <f>HYPERLINK("https://klasma.github.io/Logging_1766/tillsyn/A 39757-2026 tillsynsbegäran.docx", "A 39757-2026")</f>
        <v/>
      </c>
      <c r="AD69">
        <f>HYPERLINK("https://klasma.github.io/Logging_1766/tillsynsmail/A 39757-2026 tillsynsbegäran mail.docx", "A 39757-2026")</f>
        <v/>
      </c>
    </row>
    <row r="70" ht="15" customHeight="1">
      <c r="A70" t="inlineStr">
        <is>
          <t>A 50837-2024</t>
        </is>
      </c>
      <c r="B70" t="inlineStr">
        <is>
          <t>avverkningsanmälan</t>
        </is>
      </c>
      <c r="C70" t="inlineStr">
        <is>
          <t>Föryngringsavverkning</t>
        </is>
      </c>
      <c r="D70" s="1" t="n">
        <v>45602</v>
      </c>
      <c r="E70" s="1" t="n">
        <v>46313</v>
      </c>
      <c r="F70" t="inlineStr">
        <is>
          <t>VÄRMLANDS LÄN</t>
        </is>
      </c>
      <c r="G70" t="inlineStr">
        <is>
          <t>SUNNE</t>
        </is>
      </c>
      <c r="I70" t="n">
        <v>3.3</v>
      </c>
      <c r="J70" t="n">
        <v>0</v>
      </c>
      <c r="K70" t="n">
        <v>1</v>
      </c>
      <c r="L70" t="n">
        <v>0</v>
      </c>
      <c r="M70" t="n">
        <v>0</v>
      </c>
      <c r="N70" t="n">
        <v>0</v>
      </c>
      <c r="O70" t="n">
        <v>0</v>
      </c>
      <c r="P70" t="n">
        <v>0</v>
      </c>
      <c r="Q70" t="n">
        <v>0</v>
      </c>
      <c r="R70" t="n">
        <v>0</v>
      </c>
      <c r="S70" t="n">
        <v>1</v>
      </c>
      <c r="T70" t="n">
        <v>1</v>
      </c>
      <c r="U70" t="n">
        <v>1</v>
      </c>
      <c r="V70" s="2" t="inlineStr">
        <is>
          <t>Gräsull</t>
        </is>
      </c>
      <c r="W70">
        <f>HYPERLINK("https://klasma.github.io/Logging_1766/artfynd/A 50837-2024 artfynd.xlsx", "A 50837-2024")</f>
        <v/>
      </c>
      <c r="X70">
        <f>HYPERLINK("https://klasma.github.io/Logging_1766/kartor/A 50837-2024 karta.png", "A 50837-2024")</f>
        <v/>
      </c>
      <c r="Y70">
        <f>HYPERLINK("https://klasma.github.io/Logging_1766/kartor_geotiff/A 50837-2024 georefererad karta.tif", "A 50837-2024")</f>
        <v/>
      </c>
      <c r="AA70">
        <f>HYPERLINK("https://klasma.github.io/Logging_1766/klagomål/A 50837-2024 FSC-klagomål.docx", "A 50837-2024")</f>
        <v/>
      </c>
      <c r="AB70">
        <f>HYPERLINK("https://klasma.github.io/Logging_1766/klagomålsmail/A 50837-2024 FSC-klagomål mail.docx", "A 50837-2024")</f>
        <v/>
      </c>
      <c r="AC70">
        <f>HYPERLINK("https://klasma.github.io/Logging_1766/tillsyn/A 50837-2024 tillsynsbegäran.docx", "A 50837-2024")</f>
        <v/>
      </c>
      <c r="AD70">
        <f>HYPERLINK("https://klasma.github.io/Logging_1766/tillsynsmail/A 50837-2024 tillsynsbegäran mail.docx", "A 50837-2024")</f>
        <v/>
      </c>
    </row>
    <row r="71" ht="15" customHeight="1">
      <c r="A71" t="inlineStr">
        <is>
          <t>A 41808-2026</t>
        </is>
      </c>
      <c r="B71" t="inlineStr">
        <is>
          <t>avverkningsanmälan</t>
        </is>
      </c>
      <c r="C71" t="inlineStr">
        <is>
          <t>Avverkning för annat ändamål</t>
        </is>
      </c>
      <c r="D71" s="1" t="n">
        <v>46303</v>
      </c>
      <c r="E71" s="1" t="n">
        <v>46313</v>
      </c>
      <c r="F71" t="inlineStr">
        <is>
          <t>VÄRMLANDS LÄN</t>
        </is>
      </c>
      <c r="G71" t="inlineStr">
        <is>
          <t>SUNNE</t>
        </is>
      </c>
      <c r="I71" t="n">
        <v>2.7</v>
      </c>
      <c r="J71" t="n">
        <v>1</v>
      </c>
      <c r="K71" t="n">
        <v>0</v>
      </c>
      <c r="L71" t="n">
        <v>0</v>
      </c>
      <c r="M71" t="n">
        <v>0</v>
      </c>
      <c r="N71" t="n">
        <v>0</v>
      </c>
      <c r="O71" t="n">
        <v>0</v>
      </c>
      <c r="P71" t="n">
        <v>0</v>
      </c>
      <c r="Q71" t="n">
        <v>0</v>
      </c>
      <c r="R71" t="n">
        <v>0</v>
      </c>
      <c r="S71" t="n">
        <v>1</v>
      </c>
      <c r="T71" t="n">
        <v>1</v>
      </c>
      <c r="U71" t="n">
        <v>0</v>
      </c>
      <c r="V71" s="2" t="inlineStr">
        <is>
          <t>Gröngöling</t>
        </is>
      </c>
      <c r="W71">
        <f>HYPERLINK("https://klasma.github.io/Logging_1766/artfynd/A 41808-2026 artfynd.xlsx", "A 41808-2026")</f>
        <v/>
      </c>
      <c r="X71">
        <f>HYPERLINK("https://klasma.github.io/Logging_1766/kartor/A 41808-2026 karta.png", "A 41808-2026")</f>
        <v/>
      </c>
      <c r="Y71">
        <f>HYPERLINK("https://klasma.github.io/Logging_1766/kartor_geotiff/A 41808-2026 georefererad karta.tif", "A 41808-2026")</f>
        <v/>
      </c>
      <c r="AA71">
        <f>HYPERLINK("https://klasma.github.io/Logging_1766/klagomål/A 41808-2026 FSC-klagomål.docx", "A 41808-2026")</f>
        <v/>
      </c>
      <c r="AB71">
        <f>HYPERLINK("https://klasma.github.io/Logging_1766/klagomålsmail/A 41808-2026 FSC-klagomål mail.docx", "A 41808-2026")</f>
        <v/>
      </c>
      <c r="AC71">
        <f>HYPERLINK("https://klasma.github.io/Logging_1766/tillsyn/A 41808-2026 tillsynsbegäran.docx", "A 41808-2026")</f>
        <v/>
      </c>
      <c r="AD71">
        <f>HYPERLINK("https://klasma.github.io/Logging_1766/tillsynsmail/A 41808-2026 tillsynsbegäran mail.docx", "A 41808-2026")</f>
        <v/>
      </c>
    </row>
    <row r="72" ht="15" customHeight="1">
      <c r="A72" t="inlineStr">
        <is>
          <t>A 34956-2026</t>
        </is>
      </c>
      <c r="B72" t="inlineStr">
        <is>
          <t>avverkningsanmälan</t>
        </is>
      </c>
      <c r="C72" t="inlineStr">
        <is>
          <t>Föryngringsavverkning</t>
        </is>
      </c>
      <c r="D72" s="1" t="n">
        <v>46259</v>
      </c>
      <c r="E72" s="1" t="n">
        <v>46313</v>
      </c>
      <c r="F72" t="inlineStr">
        <is>
          <t>VÄRMLANDS LÄN</t>
        </is>
      </c>
      <c r="G72" t="inlineStr">
        <is>
          <t>SUNNE</t>
        </is>
      </c>
      <c r="H72" t="inlineStr">
        <is>
          <t>Bergvik skog väst AB</t>
        </is>
      </c>
      <c r="I72" t="n">
        <v>3.9</v>
      </c>
      <c r="J72" t="n">
        <v>1</v>
      </c>
      <c r="K72" t="n">
        <v>0</v>
      </c>
      <c r="L72" t="n">
        <v>0</v>
      </c>
      <c r="M72" t="n">
        <v>0</v>
      </c>
      <c r="N72" t="n">
        <v>0</v>
      </c>
      <c r="O72" t="n">
        <v>0</v>
      </c>
      <c r="P72" t="n">
        <v>0</v>
      </c>
      <c r="Q72" t="n">
        <v>0</v>
      </c>
      <c r="R72" t="n">
        <v>0</v>
      </c>
      <c r="S72" t="n">
        <v>1</v>
      </c>
      <c r="T72" t="n">
        <v>1</v>
      </c>
      <c r="U72" t="n">
        <v>0</v>
      </c>
      <c r="V72" s="2" t="inlineStr">
        <is>
          <t>Utter</t>
        </is>
      </c>
      <c r="W72">
        <f>HYPERLINK("https://klasma.github.io/Logging_1766/artfynd/A 34956-2026 artfynd.xlsx", "A 34956-2026")</f>
        <v/>
      </c>
      <c r="X72">
        <f>HYPERLINK("https://klasma.github.io/Logging_1766/kartor/A 34956-2026 karta.png", "A 34956-2026")</f>
        <v/>
      </c>
      <c r="Y72">
        <f>HYPERLINK("https://klasma.github.io/Logging_1766/kartor_geotiff/A 34956-2026 georefererad karta.tif", "A 34956-2026")</f>
        <v/>
      </c>
      <c r="AA72">
        <f>HYPERLINK("https://klasma.github.io/Logging_1766/klagomål/A 34956-2026 FSC-klagomål.docx", "A 34956-2026")</f>
        <v/>
      </c>
      <c r="AB72">
        <f>HYPERLINK("https://klasma.github.io/Logging_1766/klagomålsmail/A 34956-2026 FSC-klagomål mail.docx", "A 34956-2026")</f>
        <v/>
      </c>
      <c r="AC72">
        <f>HYPERLINK("https://klasma.github.io/Logging_1766/tillsyn/A 34956-2026 tillsynsbegäran.docx", "A 34956-2026")</f>
        <v/>
      </c>
      <c r="AD72">
        <f>HYPERLINK("https://klasma.github.io/Logging_1766/tillsynsmail/A 34956-2026 tillsynsbegäran mail.docx", "A 34956-2026")</f>
        <v/>
      </c>
    </row>
    <row r="73" ht="15" customHeight="1">
      <c r="A73" t="inlineStr">
        <is>
          <t>A 52411-2024</t>
        </is>
      </c>
      <c r="B73" t="inlineStr">
        <is>
          <t>avverkningsanmälan</t>
        </is>
      </c>
      <c r="C73" t="inlineStr">
        <is>
          <t>Avverkning för annat ändamål</t>
        </is>
      </c>
      <c r="D73" s="1" t="n">
        <v>45608</v>
      </c>
      <c r="E73" s="1" t="n">
        <v>46313</v>
      </c>
      <c r="F73" t="inlineStr">
        <is>
          <t>VÄRMLANDS LÄN</t>
        </is>
      </c>
      <c r="G73" t="inlineStr">
        <is>
          <t>SUNNE</t>
        </is>
      </c>
      <c r="I73" t="n">
        <v>0.9</v>
      </c>
      <c r="J73" t="n">
        <v>0</v>
      </c>
      <c r="K73" t="n">
        <v>0</v>
      </c>
      <c r="L73" t="n">
        <v>1</v>
      </c>
      <c r="M73" t="n">
        <v>0</v>
      </c>
      <c r="N73" t="n">
        <v>0</v>
      </c>
      <c r="O73" t="n">
        <v>0</v>
      </c>
      <c r="P73" t="n">
        <v>0</v>
      </c>
      <c r="Q73" t="n">
        <v>1</v>
      </c>
      <c r="R73" t="n">
        <v>0</v>
      </c>
      <c r="S73" t="n">
        <v>1</v>
      </c>
      <c r="T73" t="n">
        <v>1</v>
      </c>
      <c r="U73" t="n">
        <v>1</v>
      </c>
      <c r="V73" s="2" t="inlineStr">
        <is>
          <t>Gullklöver</t>
        </is>
      </c>
      <c r="W73">
        <f>HYPERLINK("https://klasma.github.io/Logging_1766/artfynd/A 52411-2024 artfynd.xlsx", "A 52411-2024")</f>
        <v/>
      </c>
      <c r="X73">
        <f>HYPERLINK("https://klasma.github.io/Logging_1766/kartor/A 52411-2024 karta.png", "A 52411-2024")</f>
        <v/>
      </c>
      <c r="Y73">
        <f>HYPERLINK("https://klasma.github.io/Logging_1766/kartor_geotiff/A 52411-2024 georefererad karta.tif", "A 52411-2024")</f>
        <v/>
      </c>
      <c r="AA73">
        <f>HYPERLINK("https://klasma.github.io/Logging_1766/klagomål/A 52411-2024 FSC-klagomål.docx", "A 52411-2024")</f>
        <v/>
      </c>
      <c r="AB73">
        <f>HYPERLINK("https://klasma.github.io/Logging_1766/klagomålsmail/A 52411-2024 FSC-klagomål mail.docx", "A 52411-2024")</f>
        <v/>
      </c>
      <c r="AC73">
        <f>HYPERLINK("https://klasma.github.io/Logging_1766/tillsyn/A 52411-2024 tillsynsbegäran.docx", "A 52411-2024")</f>
        <v/>
      </c>
      <c r="AD73">
        <f>HYPERLINK("https://klasma.github.io/Logging_1766/tillsynsmail/A 52411-2024 tillsynsbegäran mail.docx", "A 52411-2024")</f>
        <v/>
      </c>
    </row>
    <row r="74" ht="15" customHeight="1">
      <c r="A74" t="inlineStr">
        <is>
          <t>A 36041-2026</t>
        </is>
      </c>
      <c r="B74" t="inlineStr">
        <is>
          <t>avverkningsanmälan</t>
        </is>
      </c>
      <c r="C74" t="inlineStr">
        <is>
          <t>Föryngringsavverkning</t>
        </is>
      </c>
      <c r="D74" s="1" t="n">
        <v>46267</v>
      </c>
      <c r="E74" s="1" t="n">
        <v>46313</v>
      </c>
      <c r="F74" t="inlineStr">
        <is>
          <t>VÄRMLANDS LÄN</t>
        </is>
      </c>
      <c r="G74" t="inlineStr">
        <is>
          <t>SUNNE</t>
        </is>
      </c>
      <c r="I74" t="n">
        <v>0.8</v>
      </c>
      <c r="J74" t="n">
        <v>1</v>
      </c>
      <c r="K74" t="n">
        <v>0</v>
      </c>
      <c r="L74" t="n">
        <v>0</v>
      </c>
      <c r="M74" t="n">
        <v>1</v>
      </c>
      <c r="N74" t="n">
        <v>0</v>
      </c>
      <c r="O74" t="n">
        <v>0</v>
      </c>
      <c r="P74" t="n">
        <v>0</v>
      </c>
      <c r="Q74" t="n">
        <v>1</v>
      </c>
      <c r="R74" t="n">
        <v>1</v>
      </c>
      <c r="S74" t="n">
        <v>1</v>
      </c>
      <c r="T74" t="n">
        <v>2</v>
      </c>
      <c r="U74" t="n">
        <v>0</v>
      </c>
      <c r="V74" s="2" t="inlineStr">
        <is>
          <t>Knärot</t>
        </is>
      </c>
      <c r="W74">
        <f>HYPERLINK("https://klasma.github.io/Logging_1766/artfynd/A 36041-2026 artfynd.xlsx", "A 36041-2026")</f>
        <v/>
      </c>
      <c r="X74">
        <f>HYPERLINK("https://klasma.github.io/Logging_1766/kartor/A 36041-2026 karta.png", "A 36041-2026")</f>
        <v/>
      </c>
      <c r="Y74">
        <f>HYPERLINK("https://klasma.github.io/Logging_1766/kartor_geotiff/A 36041-2026 georefererad karta.tif", "A 36041-2026")</f>
        <v/>
      </c>
      <c r="Z74">
        <f>HYPERLINK("https://klasma.github.io/Logging_1766/knärot/A 36041-2026 karta knärot.png", "A 36041-2026")</f>
        <v/>
      </c>
      <c r="AA74">
        <f>HYPERLINK("https://klasma.github.io/Logging_1766/klagomål/A 36041-2026 FSC-klagomål.docx", "A 36041-2026")</f>
        <v/>
      </c>
      <c r="AB74">
        <f>HYPERLINK("https://klasma.github.io/Logging_1766/klagomålsmail/A 36041-2026 FSC-klagomål mail.docx", "A 36041-2026")</f>
        <v/>
      </c>
      <c r="AC74">
        <f>HYPERLINK("https://klasma.github.io/Logging_1766/tillsyn/A 36041-2026 tillsynsbegäran.docx", "A 36041-2026")</f>
        <v/>
      </c>
      <c r="AD74">
        <f>HYPERLINK("https://klasma.github.io/Logging_1766/tillsynsmail/A 36041-2026 tillsynsbegäran mail.docx", "A 36041-2026")</f>
        <v/>
      </c>
    </row>
    <row r="75" ht="15" customHeight="1">
      <c r="A75" t="inlineStr">
        <is>
          <t>A 35767-2025</t>
        </is>
      </c>
      <c r="B75" t="inlineStr">
        <is>
          <t>avverkningsanmälan</t>
        </is>
      </c>
      <c r="C75" t="inlineStr">
        <is>
          <t>Föryngringsavverkning</t>
        </is>
      </c>
      <c r="D75" s="1" t="n">
        <v>45860</v>
      </c>
      <c r="E75" s="1" t="n">
        <v>46313</v>
      </c>
      <c r="F75" t="inlineStr">
        <is>
          <t>VÄRMLANDS LÄN</t>
        </is>
      </c>
      <c r="G75" t="inlineStr">
        <is>
          <t>SUNNE</t>
        </is>
      </c>
      <c r="I75" t="n">
        <v>1.5</v>
      </c>
      <c r="J75" t="n">
        <v>1</v>
      </c>
      <c r="K75" t="n">
        <v>0</v>
      </c>
      <c r="L75" t="n">
        <v>0</v>
      </c>
      <c r="M75" t="n">
        <v>0</v>
      </c>
      <c r="N75" t="n">
        <v>0</v>
      </c>
      <c r="O75" t="n">
        <v>0</v>
      </c>
      <c r="P75" t="n">
        <v>0</v>
      </c>
      <c r="Q75" t="n">
        <v>0</v>
      </c>
      <c r="R75" t="n">
        <v>0</v>
      </c>
      <c r="S75" t="n">
        <v>1</v>
      </c>
      <c r="T75" t="n">
        <v>2</v>
      </c>
      <c r="U75" t="n">
        <v>2</v>
      </c>
      <c r="V75" s="2" t="inlineStr">
        <is>
          <t>Fläcknycklar</t>
        </is>
      </c>
      <c r="W75">
        <f>HYPERLINK("https://klasma.github.io/Logging_1766/artfynd/A 35767-2025 artfynd.xlsx", "A 35767-2025")</f>
        <v/>
      </c>
      <c r="X75">
        <f>HYPERLINK("https://klasma.github.io/Logging_1766/kartor/A 35767-2025 karta.png", "A 35767-2025")</f>
        <v/>
      </c>
      <c r="Y75">
        <f>HYPERLINK("https://klasma.github.io/Logging_1766/kartor_geotiff/A 35767-2025 georefererad karta.tif", "A 35767-2025")</f>
        <v/>
      </c>
      <c r="AA75">
        <f>HYPERLINK("https://klasma.github.io/Logging_1766/klagomål/A 35767-2025 FSC-klagomål.docx", "A 35767-2025")</f>
        <v/>
      </c>
      <c r="AB75">
        <f>HYPERLINK("https://klasma.github.io/Logging_1766/klagomålsmail/A 35767-2025 FSC-klagomål mail.docx", "A 35767-2025")</f>
        <v/>
      </c>
      <c r="AC75">
        <f>HYPERLINK("https://klasma.github.io/Logging_1766/tillsyn/A 35767-2025 tillsynsbegäran.docx", "A 35767-2025")</f>
        <v/>
      </c>
      <c r="AD75">
        <f>HYPERLINK("https://klasma.github.io/Logging_1766/tillsynsmail/A 35767-2025 tillsynsbegäran mail.docx", "A 35767-2025")</f>
        <v/>
      </c>
    </row>
    <row r="76" ht="15" customHeight="1">
      <c r="A76" t="inlineStr">
        <is>
          <t>S 4424-2023</t>
        </is>
      </c>
      <c r="B76" t="inlineStr">
        <is>
          <t>samrådsanmälan</t>
        </is>
      </c>
      <c r="C76" t="inlineStr">
        <is>
          <t>Skogsgödsling</t>
        </is>
      </c>
      <c r="D76" s="1" t="n">
        <v>45266</v>
      </c>
      <c r="E76" s="1" t="n">
        <v>46313</v>
      </c>
      <c r="F76" t="inlineStr">
        <is>
          <t>VÄRMLANDS LÄN</t>
        </is>
      </c>
      <c r="G76" t="inlineStr">
        <is>
          <t>SUNNE</t>
        </is>
      </c>
      <c r="H76" t="inlineStr">
        <is>
          <t>Bergvik skog väst AB</t>
        </is>
      </c>
      <c r="I76" t="n">
        <v>27.9</v>
      </c>
      <c r="J76" t="n">
        <v>1</v>
      </c>
      <c r="K76" t="n">
        <v>0</v>
      </c>
      <c r="L76" t="n">
        <v>0</v>
      </c>
      <c r="M76" t="n">
        <v>0</v>
      </c>
      <c r="N76" t="n">
        <v>0</v>
      </c>
      <c r="O76" t="n">
        <v>0</v>
      </c>
      <c r="P76" t="n">
        <v>0</v>
      </c>
      <c r="Q76" t="n">
        <v>0</v>
      </c>
      <c r="R76" t="n">
        <v>0</v>
      </c>
      <c r="S76" t="n">
        <v>1</v>
      </c>
      <c r="T76" t="n">
        <v>2</v>
      </c>
      <c r="U76" t="n">
        <v>2</v>
      </c>
      <c r="V76" s="2" t="inlineStr">
        <is>
          <t>Tjäder</t>
        </is>
      </c>
      <c r="W76">
        <f>HYPERLINK("https://klasma.github.io/Logging_1766/artfynd/S 4424-2023 artfynd.xlsx", "S 4424-2023")</f>
        <v/>
      </c>
      <c r="X76">
        <f>HYPERLINK("https://klasma.github.io/Logging_1766/kartor/S 4424-2023 karta.png", "S 4424-2023")</f>
        <v/>
      </c>
      <c r="Y76">
        <f>HYPERLINK("https://klasma.github.io/Logging_1766/kartor_geotiff/S 4424-2023 georefererad karta.tif", "S 4424-2023")</f>
        <v/>
      </c>
      <c r="AA76">
        <f>HYPERLINK("https://klasma.github.io/Logging_1766/klagomål/S 4424-2023 FSC-klagomål.docx", "S 4424-2023")</f>
        <v/>
      </c>
      <c r="AB76">
        <f>HYPERLINK("https://klasma.github.io/Logging_1766/klagomålsmail/S 4424-2023 FSC-klagomål mail.docx", "S 4424-2023")</f>
        <v/>
      </c>
      <c r="AC76">
        <f>HYPERLINK("https://klasma.github.io/Logging_1766/tillsyn/S 4424-2023 tillsynsbegäran.docx", "S 4424-2023")</f>
        <v/>
      </c>
      <c r="AD76">
        <f>HYPERLINK("https://klasma.github.io/Logging_1766/tillsynsmail/S 4424-2023 tillsynsbegäran mail.docx", "S 4424-2023")</f>
        <v/>
      </c>
      <c r="AE76">
        <f>HYPERLINK("https://klasma.github.io/Logging_1766/fåglar/S 4424-2023 prioriterade fågelarter.docx", "S 4424-2023")</f>
        <v/>
      </c>
    </row>
    <row r="77" ht="15" customHeight="1">
      <c r="A77" t="inlineStr">
        <is>
          <t>S 4425-2023</t>
        </is>
      </c>
      <c r="B77" t="inlineStr">
        <is>
          <t>samrådsanmälan</t>
        </is>
      </c>
      <c r="C77" t="inlineStr">
        <is>
          <t>Skogsgödsling</t>
        </is>
      </c>
      <c r="D77" s="1" t="n">
        <v>45266</v>
      </c>
      <c r="E77" s="1" t="n">
        <v>46313</v>
      </c>
      <c r="F77" t="inlineStr">
        <is>
          <t>VÄRMLANDS LÄN</t>
        </is>
      </c>
      <c r="G77" t="inlineStr">
        <is>
          <t>SUNNE</t>
        </is>
      </c>
      <c r="H77" t="inlineStr">
        <is>
          <t>Bergvik skog väst AB</t>
        </is>
      </c>
      <c r="I77" t="n">
        <v>21.2</v>
      </c>
      <c r="J77" t="n">
        <v>1</v>
      </c>
      <c r="K77" t="n">
        <v>0</v>
      </c>
      <c r="L77" t="n">
        <v>0</v>
      </c>
      <c r="M77" t="n">
        <v>0</v>
      </c>
      <c r="N77" t="n">
        <v>0</v>
      </c>
      <c r="O77" t="n">
        <v>0</v>
      </c>
      <c r="P77" t="n">
        <v>0</v>
      </c>
      <c r="Q77" t="n">
        <v>0</v>
      </c>
      <c r="R77" t="n">
        <v>0</v>
      </c>
      <c r="S77" t="n">
        <v>1</v>
      </c>
      <c r="T77" t="n">
        <v>1</v>
      </c>
      <c r="U77" t="n">
        <v>1</v>
      </c>
      <c r="V77" s="2" t="inlineStr">
        <is>
          <t>Tjäder</t>
        </is>
      </c>
      <c r="W77">
        <f>HYPERLINK("https://klasma.github.io/Logging_1766/artfynd/S 4425-2023 artfynd.xlsx", "S 4425-2023")</f>
        <v/>
      </c>
      <c r="X77">
        <f>HYPERLINK("https://klasma.github.io/Logging_1766/kartor/S 4425-2023 karta.png", "S 4425-2023")</f>
        <v/>
      </c>
      <c r="Y77">
        <f>HYPERLINK("https://klasma.github.io/Logging_1766/kartor_geotiff/S 4425-2023 georefererad karta.tif", "S 4425-2023")</f>
        <v/>
      </c>
      <c r="AA77">
        <f>HYPERLINK("https://klasma.github.io/Logging_1766/klagomål/S 4425-2023 FSC-klagomål.docx", "S 4425-2023")</f>
        <v/>
      </c>
      <c r="AB77">
        <f>HYPERLINK("https://klasma.github.io/Logging_1766/klagomålsmail/S 4425-2023 FSC-klagomål mail.docx", "S 4425-2023")</f>
        <v/>
      </c>
      <c r="AC77">
        <f>HYPERLINK("https://klasma.github.io/Logging_1766/tillsyn/S 4425-2023 tillsynsbegäran.docx", "S 4425-2023")</f>
        <v/>
      </c>
      <c r="AD77">
        <f>HYPERLINK("https://klasma.github.io/Logging_1766/tillsynsmail/S 4425-2023 tillsynsbegäran mail.docx", "S 4425-2023")</f>
        <v/>
      </c>
      <c r="AE77">
        <f>HYPERLINK("https://klasma.github.io/Logging_1766/fåglar/S 4425-2023 prioriterade fågelarter.docx", "S 4425-2023")</f>
        <v/>
      </c>
    </row>
    <row r="78" ht="15" customHeight="1">
      <c r="A78" t="inlineStr">
        <is>
          <t>A 69373-2021</t>
        </is>
      </c>
      <c r="B78" t="inlineStr">
        <is>
          <t>avverkningsanmälan</t>
        </is>
      </c>
      <c r="C78" t="inlineStr">
        <is>
          <t>Föryngringsavverkning</t>
        </is>
      </c>
      <c r="D78" s="1" t="n">
        <v>44531</v>
      </c>
      <c r="E78" s="1" t="n">
        <v>46313</v>
      </c>
      <c r="F78" t="inlineStr">
        <is>
          <t>VÄRMLANDS LÄN</t>
        </is>
      </c>
      <c r="G78" t="inlineStr">
        <is>
          <t>SUNNE</t>
        </is>
      </c>
      <c r="I78" t="n">
        <v>1.3</v>
      </c>
      <c r="J78" t="n">
        <v>0</v>
      </c>
      <c r="K78" t="n">
        <v>0</v>
      </c>
      <c r="L78" t="n">
        <v>0</v>
      </c>
      <c r="M78" t="n">
        <v>0</v>
      </c>
      <c r="N78" t="n">
        <v>0</v>
      </c>
      <c r="O78" t="n">
        <v>0</v>
      </c>
      <c r="P78" t="n">
        <v>0</v>
      </c>
      <c r="Q78" t="n">
        <v>0</v>
      </c>
      <c r="R78" t="n">
        <v>0</v>
      </c>
      <c r="S78" t="n">
        <v>0</v>
      </c>
      <c r="T78" t="n">
        <v>0</v>
      </c>
      <c r="U78" t="n">
        <v>0</v>
      </c>
      <c r="V78" s="2" t="inlineStr"/>
    </row>
    <row r="79" ht="15" customHeight="1">
      <c r="A79" t="inlineStr">
        <is>
          <t>A 4587-2022</t>
        </is>
      </c>
      <c r="B79" t="inlineStr">
        <is>
          <t>avverkningsanmälan</t>
        </is>
      </c>
      <c r="C79" t="inlineStr">
        <is>
          <t>Föryngringsavverkning</t>
        </is>
      </c>
      <c r="D79" s="1" t="n">
        <v>44591</v>
      </c>
      <c r="E79" s="1" t="n">
        <v>46313</v>
      </c>
      <c r="F79" t="inlineStr">
        <is>
          <t>VÄRMLANDS LÄN</t>
        </is>
      </c>
      <c r="G79" t="inlineStr">
        <is>
          <t>SUNNE</t>
        </is>
      </c>
      <c r="I79" t="n">
        <v>0.7</v>
      </c>
      <c r="J79" t="n">
        <v>0</v>
      </c>
      <c r="K79" t="n">
        <v>0</v>
      </c>
      <c r="L79" t="n">
        <v>0</v>
      </c>
      <c r="M79" t="n">
        <v>0</v>
      </c>
      <c r="N79" t="n">
        <v>0</v>
      </c>
      <c r="O79" t="n">
        <v>0</v>
      </c>
      <c r="P79" t="n">
        <v>0</v>
      </c>
      <c r="Q79" t="n">
        <v>0</v>
      </c>
      <c r="R79" t="n">
        <v>0</v>
      </c>
      <c r="S79" t="n">
        <v>0</v>
      </c>
      <c r="T79" t="n">
        <v>0</v>
      </c>
      <c r="U79" t="n">
        <v>0</v>
      </c>
      <c r="V79" s="2" t="inlineStr"/>
    </row>
    <row r="80" ht="15" customHeight="1">
      <c r="A80" t="inlineStr">
        <is>
          <t>A 30734-2022</t>
        </is>
      </c>
      <c r="B80" t="inlineStr">
        <is>
          <t>avverkningsanmälan</t>
        </is>
      </c>
      <c r="C80" t="inlineStr">
        <is>
          <t>Föryngringsavverkning</t>
        </is>
      </c>
      <c r="D80" s="1" t="n">
        <v>44764</v>
      </c>
      <c r="E80" s="1" t="n">
        <v>46313</v>
      </c>
      <c r="F80" t="inlineStr">
        <is>
          <t>VÄRMLANDS LÄN</t>
        </is>
      </c>
      <c r="G80" t="inlineStr">
        <is>
          <t>SUNNE</t>
        </is>
      </c>
      <c r="I80" t="n">
        <v>1.9</v>
      </c>
      <c r="J80" t="n">
        <v>0</v>
      </c>
      <c r="K80" t="n">
        <v>0</v>
      </c>
      <c r="L80" t="n">
        <v>0</v>
      </c>
      <c r="M80" t="n">
        <v>0</v>
      </c>
      <c r="N80" t="n">
        <v>0</v>
      </c>
      <c r="O80" t="n">
        <v>0</v>
      </c>
      <c r="P80" t="n">
        <v>0</v>
      </c>
      <c r="Q80" t="n">
        <v>0</v>
      </c>
      <c r="R80" t="n">
        <v>0</v>
      </c>
      <c r="S80" t="n">
        <v>0</v>
      </c>
      <c r="T80" t="n">
        <v>0</v>
      </c>
      <c r="U80" t="n">
        <v>0</v>
      </c>
      <c r="V80" s="2" t="inlineStr"/>
    </row>
    <row r="81" ht="15" customHeight="1">
      <c r="A81" t="inlineStr">
        <is>
          <t>A 63574-2021</t>
        </is>
      </c>
      <c r="B81" t="inlineStr">
        <is>
          <t>avverkningsanmälan</t>
        </is>
      </c>
      <c r="C81" t="inlineStr">
        <is>
          <t>Föryngringsavverkning</t>
        </is>
      </c>
      <c r="D81" s="1" t="n">
        <v>44508</v>
      </c>
      <c r="E81" s="1" t="n">
        <v>46313</v>
      </c>
      <c r="F81" t="inlineStr">
        <is>
          <t>VÄRMLANDS LÄN</t>
        </is>
      </c>
      <c r="G81" t="inlineStr">
        <is>
          <t>SUNNE</t>
        </is>
      </c>
      <c r="I81" t="n">
        <v>1.1</v>
      </c>
      <c r="J81" t="n">
        <v>0</v>
      </c>
      <c r="K81" t="n">
        <v>0</v>
      </c>
      <c r="L81" t="n">
        <v>0</v>
      </c>
      <c r="M81" t="n">
        <v>0</v>
      </c>
      <c r="N81" t="n">
        <v>0</v>
      </c>
      <c r="O81" t="n">
        <v>0</v>
      </c>
      <c r="P81" t="n">
        <v>0</v>
      </c>
      <c r="Q81" t="n">
        <v>0</v>
      </c>
      <c r="R81" t="n">
        <v>0</v>
      </c>
      <c r="S81" t="n">
        <v>0</v>
      </c>
      <c r="T81" t="n">
        <v>0</v>
      </c>
      <c r="U81" t="n">
        <v>0</v>
      </c>
      <c r="V81" s="2" t="inlineStr"/>
    </row>
    <row r="82" ht="15" customHeight="1">
      <c r="A82" t="inlineStr">
        <is>
          <t>A 68209-2021</t>
        </is>
      </c>
      <c r="B82" t="inlineStr">
        <is>
          <t>avverkningsanmälan</t>
        </is>
      </c>
      <c r="C82" t="inlineStr">
        <is>
          <t>Föryngringsavverkning</t>
        </is>
      </c>
      <c r="D82" s="1" t="n">
        <v>44526</v>
      </c>
      <c r="E82" s="1" t="n">
        <v>46313</v>
      </c>
      <c r="F82" t="inlineStr">
        <is>
          <t>VÄRMLANDS LÄN</t>
        </is>
      </c>
      <c r="G82" t="inlineStr">
        <is>
          <t>SUNNE</t>
        </is>
      </c>
      <c r="I82" t="n">
        <v>1.4</v>
      </c>
      <c r="J82" t="n">
        <v>0</v>
      </c>
      <c r="K82" t="n">
        <v>0</v>
      </c>
      <c r="L82" t="n">
        <v>0</v>
      </c>
      <c r="M82" t="n">
        <v>0</v>
      </c>
      <c r="N82" t="n">
        <v>0</v>
      </c>
      <c r="O82" t="n">
        <v>0</v>
      </c>
      <c r="P82" t="n">
        <v>0</v>
      </c>
      <c r="Q82" t="n">
        <v>0</v>
      </c>
      <c r="R82" t="n">
        <v>0</v>
      </c>
      <c r="S82" t="n">
        <v>0</v>
      </c>
      <c r="T82" t="n">
        <v>0</v>
      </c>
      <c r="U82" t="n">
        <v>0</v>
      </c>
      <c r="V82" s="2" t="inlineStr"/>
    </row>
    <row r="83" ht="15" customHeight="1">
      <c r="A83" t="inlineStr">
        <is>
          <t>A 70832-2021</t>
        </is>
      </c>
      <c r="B83" t="inlineStr">
        <is>
          <t>avverkningsanmälan</t>
        </is>
      </c>
      <c r="C83" t="inlineStr">
        <is>
          <t>Föryngringsavverkning</t>
        </is>
      </c>
      <c r="D83" s="1" t="n">
        <v>44537</v>
      </c>
      <c r="E83" s="1" t="n">
        <v>46313</v>
      </c>
      <c r="F83" t="inlineStr">
        <is>
          <t>VÄRMLANDS LÄN</t>
        </is>
      </c>
      <c r="G83" t="inlineStr">
        <is>
          <t>SUNNE</t>
        </is>
      </c>
      <c r="I83" t="n">
        <v>1.4</v>
      </c>
      <c r="J83" t="n">
        <v>0</v>
      </c>
      <c r="K83" t="n">
        <v>0</v>
      </c>
      <c r="L83" t="n">
        <v>0</v>
      </c>
      <c r="M83" t="n">
        <v>0</v>
      </c>
      <c r="N83" t="n">
        <v>0</v>
      </c>
      <c r="O83" t="n">
        <v>0</v>
      </c>
      <c r="P83" t="n">
        <v>0</v>
      </c>
      <c r="Q83" t="n">
        <v>0</v>
      </c>
      <c r="R83" t="n">
        <v>0</v>
      </c>
      <c r="S83" t="n">
        <v>0</v>
      </c>
      <c r="T83" t="n">
        <v>0</v>
      </c>
      <c r="U83" t="n">
        <v>0</v>
      </c>
      <c r="V83" s="2" t="inlineStr"/>
    </row>
    <row r="84" ht="15" customHeight="1">
      <c r="A84" t="inlineStr">
        <is>
          <t>A 66090-2021</t>
        </is>
      </c>
      <c r="B84" t="inlineStr">
        <is>
          <t>avverkningsanmälan</t>
        </is>
      </c>
      <c r="C84" t="inlineStr">
        <is>
          <t>Föryngringsavverkning</t>
        </is>
      </c>
      <c r="D84" s="1" t="n">
        <v>44517</v>
      </c>
      <c r="E84" s="1" t="n">
        <v>46313</v>
      </c>
      <c r="F84" t="inlineStr">
        <is>
          <t>VÄRMLANDS LÄN</t>
        </is>
      </c>
      <c r="G84" t="inlineStr">
        <is>
          <t>SUNNE</t>
        </is>
      </c>
      <c r="I84" t="n">
        <v>2.3</v>
      </c>
      <c r="J84" t="n">
        <v>0</v>
      </c>
      <c r="K84" t="n">
        <v>0</v>
      </c>
      <c r="L84" t="n">
        <v>0</v>
      </c>
      <c r="M84" t="n">
        <v>0</v>
      </c>
      <c r="N84" t="n">
        <v>0</v>
      </c>
      <c r="O84" t="n">
        <v>0</v>
      </c>
      <c r="P84" t="n">
        <v>0</v>
      </c>
      <c r="Q84" t="n">
        <v>0</v>
      </c>
      <c r="R84" t="n">
        <v>0</v>
      </c>
      <c r="S84" t="n">
        <v>0</v>
      </c>
      <c r="T84" t="n">
        <v>0</v>
      </c>
      <c r="U84" t="n">
        <v>0</v>
      </c>
      <c r="V84" s="2" t="inlineStr"/>
    </row>
    <row r="85" ht="15" customHeight="1">
      <c r="A85" t="inlineStr">
        <is>
          <t>A 71485-2021</t>
        </is>
      </c>
      <c r="B85" t="inlineStr">
        <is>
          <t>avverkningsanmälan</t>
        </is>
      </c>
      <c r="C85" t="inlineStr">
        <is>
          <t>Föryngringsavverkning</t>
        </is>
      </c>
      <c r="D85" s="1" t="n">
        <v>44539</v>
      </c>
      <c r="E85" s="1" t="n">
        <v>46313</v>
      </c>
      <c r="F85" t="inlineStr">
        <is>
          <t>VÄRMLANDS LÄN</t>
        </is>
      </c>
      <c r="G85" t="inlineStr">
        <is>
          <t>SUNNE</t>
        </is>
      </c>
      <c r="I85" t="n">
        <v>2</v>
      </c>
      <c r="J85" t="n">
        <v>0</v>
      </c>
      <c r="K85" t="n">
        <v>0</v>
      </c>
      <c r="L85" t="n">
        <v>0</v>
      </c>
      <c r="M85" t="n">
        <v>0</v>
      </c>
      <c r="N85" t="n">
        <v>0</v>
      </c>
      <c r="O85" t="n">
        <v>0</v>
      </c>
      <c r="P85" t="n">
        <v>0</v>
      </c>
      <c r="Q85" t="n">
        <v>0</v>
      </c>
      <c r="R85" t="n">
        <v>0</v>
      </c>
      <c r="S85" t="n">
        <v>0</v>
      </c>
      <c r="T85" t="n">
        <v>0</v>
      </c>
      <c r="U85" t="n">
        <v>0</v>
      </c>
      <c r="V85" s="2" t="inlineStr"/>
    </row>
    <row r="86" ht="15" customHeight="1">
      <c r="A86" t="inlineStr">
        <is>
          <t>A 74059-2021</t>
        </is>
      </c>
      <c r="B86" t="inlineStr">
        <is>
          <t>avverkningsanmälan</t>
        </is>
      </c>
      <c r="C86" t="inlineStr">
        <is>
          <t>Föryngringsavverkning</t>
        </is>
      </c>
      <c r="D86" s="1" t="n">
        <v>44557</v>
      </c>
      <c r="E86" s="1" t="n">
        <v>46313</v>
      </c>
      <c r="F86" t="inlineStr">
        <is>
          <t>VÄRMLANDS LÄN</t>
        </is>
      </c>
      <c r="G86" t="inlineStr">
        <is>
          <t>SUNNE</t>
        </is>
      </c>
      <c r="I86" t="n">
        <v>1.8</v>
      </c>
      <c r="J86" t="n">
        <v>0</v>
      </c>
      <c r="K86" t="n">
        <v>0</v>
      </c>
      <c r="L86" t="n">
        <v>0</v>
      </c>
      <c r="M86" t="n">
        <v>0</v>
      </c>
      <c r="N86" t="n">
        <v>0</v>
      </c>
      <c r="O86" t="n">
        <v>0</v>
      </c>
      <c r="P86" t="n">
        <v>0</v>
      </c>
      <c r="Q86" t="n">
        <v>0</v>
      </c>
      <c r="R86" t="n">
        <v>0</v>
      </c>
      <c r="S86" t="n">
        <v>0</v>
      </c>
      <c r="T86" t="n">
        <v>0</v>
      </c>
      <c r="U86" t="n">
        <v>0</v>
      </c>
      <c r="V86" s="2" t="inlineStr"/>
    </row>
    <row r="87" ht="15" customHeight="1">
      <c r="A87" t="inlineStr">
        <is>
          <t>A 62626-2021</t>
        </is>
      </c>
      <c r="B87" t="inlineStr">
        <is>
          <t>avverkningsanmälan</t>
        </is>
      </c>
      <c r="C87" t="inlineStr">
        <is>
          <t>Föryngringsavverkning</t>
        </is>
      </c>
      <c r="D87" s="1" t="n">
        <v>44503</v>
      </c>
      <c r="E87" s="1" t="n">
        <v>46313</v>
      </c>
      <c r="F87" t="inlineStr">
        <is>
          <t>VÄRMLANDS LÄN</t>
        </is>
      </c>
      <c r="G87" t="inlineStr">
        <is>
          <t>SUNNE</t>
        </is>
      </c>
      <c r="I87" t="n">
        <v>0.9</v>
      </c>
      <c r="J87" t="n">
        <v>0</v>
      </c>
      <c r="K87" t="n">
        <v>0</v>
      </c>
      <c r="L87" t="n">
        <v>0</v>
      </c>
      <c r="M87" t="n">
        <v>0</v>
      </c>
      <c r="N87" t="n">
        <v>0</v>
      </c>
      <c r="O87" t="n">
        <v>0</v>
      </c>
      <c r="P87" t="n">
        <v>0</v>
      </c>
      <c r="Q87" t="n">
        <v>0</v>
      </c>
      <c r="R87" t="n">
        <v>0</v>
      </c>
      <c r="S87" t="n">
        <v>0</v>
      </c>
      <c r="T87" t="n">
        <v>0</v>
      </c>
      <c r="U87" t="n">
        <v>0</v>
      </c>
      <c r="V87" s="2" t="inlineStr"/>
    </row>
    <row r="88" ht="15" customHeight="1">
      <c r="A88" t="inlineStr">
        <is>
          <t>A 34900-2022</t>
        </is>
      </c>
      <c r="B88" t="inlineStr">
        <is>
          <t>avverkningsanmälan</t>
        </is>
      </c>
      <c r="C88" t="inlineStr">
        <is>
          <t>Föryngringsavverkning</t>
        </is>
      </c>
      <c r="D88" s="1" t="n">
        <v>44796</v>
      </c>
      <c r="E88" s="1" t="n">
        <v>46313</v>
      </c>
      <c r="F88" t="inlineStr">
        <is>
          <t>VÄRMLANDS LÄN</t>
        </is>
      </c>
      <c r="G88" t="inlineStr">
        <is>
          <t>SUNNE</t>
        </is>
      </c>
      <c r="I88" t="n">
        <v>0.9</v>
      </c>
      <c r="J88" t="n">
        <v>0</v>
      </c>
      <c r="K88" t="n">
        <v>0</v>
      </c>
      <c r="L88" t="n">
        <v>0</v>
      </c>
      <c r="M88" t="n">
        <v>0</v>
      </c>
      <c r="N88" t="n">
        <v>0</v>
      </c>
      <c r="O88" t="n">
        <v>0</v>
      </c>
      <c r="P88" t="n">
        <v>0</v>
      </c>
      <c r="Q88" t="n">
        <v>0</v>
      </c>
      <c r="R88" t="n">
        <v>0</v>
      </c>
      <c r="S88" t="n">
        <v>0</v>
      </c>
      <c r="T88" t="n">
        <v>0</v>
      </c>
      <c r="U88" t="n">
        <v>0</v>
      </c>
      <c r="V88" s="2" t="inlineStr"/>
    </row>
    <row r="89" ht="15" customHeight="1">
      <c r="A89" t="inlineStr">
        <is>
          <t>A 28392-2022</t>
        </is>
      </c>
      <c r="B89" t="inlineStr">
        <is>
          <t>avverkningsanmälan</t>
        </is>
      </c>
      <c r="C89" t="inlineStr">
        <is>
          <t>Föryngringsavverkning</t>
        </is>
      </c>
      <c r="D89" s="1" t="n">
        <v>44747</v>
      </c>
      <c r="E89" s="1" t="n">
        <v>46313</v>
      </c>
      <c r="F89" t="inlineStr">
        <is>
          <t>VÄRMLANDS LÄN</t>
        </is>
      </c>
      <c r="G89" t="inlineStr">
        <is>
          <t>SUNNE</t>
        </is>
      </c>
      <c r="I89" t="n">
        <v>0.3</v>
      </c>
      <c r="J89" t="n">
        <v>0</v>
      </c>
      <c r="K89" t="n">
        <v>0</v>
      </c>
      <c r="L89" t="n">
        <v>0</v>
      </c>
      <c r="M89" t="n">
        <v>0</v>
      </c>
      <c r="N89" t="n">
        <v>0</v>
      </c>
      <c r="O89" t="n">
        <v>0</v>
      </c>
      <c r="P89" t="n">
        <v>0</v>
      </c>
      <c r="Q89" t="n">
        <v>0</v>
      </c>
      <c r="R89" t="n">
        <v>0</v>
      </c>
      <c r="S89" t="n">
        <v>0</v>
      </c>
      <c r="T89" t="n">
        <v>0</v>
      </c>
      <c r="U89" t="n">
        <v>0</v>
      </c>
      <c r="V89" s="2" t="inlineStr"/>
    </row>
    <row r="90" ht="15" customHeight="1">
      <c r="A90" t="inlineStr">
        <is>
          <t>A 37222-2022</t>
        </is>
      </c>
      <c r="B90" t="inlineStr">
        <is>
          <t>avverkningsanmälan</t>
        </is>
      </c>
      <c r="C90" t="inlineStr">
        <is>
          <t>Föryngringsavverkning</t>
        </is>
      </c>
      <c r="D90" s="1" t="n">
        <v>44806</v>
      </c>
      <c r="E90" s="1" t="n">
        <v>46313</v>
      </c>
      <c r="F90" t="inlineStr">
        <is>
          <t>VÄRMLANDS LÄN</t>
        </is>
      </c>
      <c r="G90" t="inlineStr">
        <is>
          <t>SUNNE</t>
        </is>
      </c>
      <c r="I90" t="n">
        <v>2</v>
      </c>
      <c r="J90" t="n">
        <v>0</v>
      </c>
      <c r="K90" t="n">
        <v>0</v>
      </c>
      <c r="L90" t="n">
        <v>0</v>
      </c>
      <c r="M90" t="n">
        <v>0</v>
      </c>
      <c r="N90" t="n">
        <v>0</v>
      </c>
      <c r="O90" t="n">
        <v>0</v>
      </c>
      <c r="P90" t="n">
        <v>0</v>
      </c>
      <c r="Q90" t="n">
        <v>0</v>
      </c>
      <c r="R90" t="n">
        <v>0</v>
      </c>
      <c r="S90" t="n">
        <v>0</v>
      </c>
      <c r="T90" t="n">
        <v>0</v>
      </c>
      <c r="U90" t="n">
        <v>0</v>
      </c>
      <c r="V90" s="2" t="inlineStr"/>
    </row>
    <row r="91" ht="15" customHeight="1">
      <c r="A91" t="inlineStr">
        <is>
          <t>A 33810-2022</t>
        </is>
      </c>
      <c r="B91" t="inlineStr">
        <is>
          <t>avverkningsanmälan</t>
        </is>
      </c>
      <c r="C91" t="inlineStr">
        <is>
          <t>Föryngringsavverkning</t>
        </is>
      </c>
      <c r="D91" s="1" t="n">
        <v>44790</v>
      </c>
      <c r="E91" s="1" t="n">
        <v>46313</v>
      </c>
      <c r="F91" t="inlineStr">
        <is>
          <t>VÄRMLANDS LÄN</t>
        </is>
      </c>
      <c r="G91" t="inlineStr">
        <is>
          <t>SUNNE</t>
        </is>
      </c>
      <c r="I91" t="n">
        <v>2</v>
      </c>
      <c r="J91" t="n">
        <v>0</v>
      </c>
      <c r="K91" t="n">
        <v>0</v>
      </c>
      <c r="L91" t="n">
        <v>0</v>
      </c>
      <c r="M91" t="n">
        <v>0</v>
      </c>
      <c r="N91" t="n">
        <v>0</v>
      </c>
      <c r="O91" t="n">
        <v>0</v>
      </c>
      <c r="P91" t="n">
        <v>0</v>
      </c>
      <c r="Q91" t="n">
        <v>0</v>
      </c>
      <c r="R91" t="n">
        <v>0</v>
      </c>
      <c r="S91" t="n">
        <v>0</v>
      </c>
      <c r="T91" t="n">
        <v>0</v>
      </c>
      <c r="U91" t="n">
        <v>0</v>
      </c>
      <c r="V91" s="2" t="inlineStr"/>
    </row>
    <row r="92" ht="15" customHeight="1">
      <c r="A92" t="inlineStr">
        <is>
          <t>A 37342-2022</t>
        </is>
      </c>
      <c r="B92" t="inlineStr">
        <is>
          <t>avverkningsanmälan</t>
        </is>
      </c>
      <c r="C92" t="inlineStr">
        <is>
          <t>Föryngringsavverkning</t>
        </is>
      </c>
      <c r="D92" s="1" t="n">
        <v>44809</v>
      </c>
      <c r="E92" s="1" t="n">
        <v>46313</v>
      </c>
      <c r="F92" t="inlineStr">
        <is>
          <t>VÄRMLANDS LÄN</t>
        </is>
      </c>
      <c r="G92" t="inlineStr">
        <is>
          <t>SUNNE</t>
        </is>
      </c>
      <c r="I92" t="n">
        <v>3</v>
      </c>
      <c r="J92" t="n">
        <v>0</v>
      </c>
      <c r="K92" t="n">
        <v>0</v>
      </c>
      <c r="L92" t="n">
        <v>0</v>
      </c>
      <c r="M92" t="n">
        <v>0</v>
      </c>
      <c r="N92" t="n">
        <v>0</v>
      </c>
      <c r="O92" t="n">
        <v>0</v>
      </c>
      <c r="P92" t="n">
        <v>0</v>
      </c>
      <c r="Q92" t="n">
        <v>0</v>
      </c>
      <c r="R92" t="n">
        <v>0</v>
      </c>
      <c r="S92" t="n">
        <v>0</v>
      </c>
      <c r="T92" t="n">
        <v>0</v>
      </c>
      <c r="U92" t="n">
        <v>0</v>
      </c>
      <c r="V92" s="2" t="inlineStr"/>
    </row>
    <row r="93" ht="15" customHeight="1">
      <c r="A93" t="inlineStr">
        <is>
          <t>A 37346-2022</t>
        </is>
      </c>
      <c r="B93" t="inlineStr">
        <is>
          <t>avverkningsanmälan</t>
        </is>
      </c>
      <c r="C93" t="inlineStr">
        <is>
          <t>Föryngringsavverkning</t>
        </is>
      </c>
      <c r="D93" s="1" t="n">
        <v>44809</v>
      </c>
      <c r="E93" s="1" t="n">
        <v>46313</v>
      </c>
      <c r="F93" t="inlineStr">
        <is>
          <t>VÄRMLANDS LÄN</t>
        </is>
      </c>
      <c r="G93" t="inlineStr">
        <is>
          <t>SUNNE</t>
        </is>
      </c>
      <c r="I93" t="n">
        <v>1.7</v>
      </c>
      <c r="J93" t="n">
        <v>0</v>
      </c>
      <c r="K93" t="n">
        <v>0</v>
      </c>
      <c r="L93" t="n">
        <v>0</v>
      </c>
      <c r="M93" t="n">
        <v>0</v>
      </c>
      <c r="N93" t="n">
        <v>0</v>
      </c>
      <c r="O93" t="n">
        <v>0</v>
      </c>
      <c r="P93" t="n">
        <v>0</v>
      </c>
      <c r="Q93" t="n">
        <v>0</v>
      </c>
      <c r="R93" t="n">
        <v>0</v>
      </c>
      <c r="S93" t="n">
        <v>0</v>
      </c>
      <c r="T93" t="n">
        <v>0</v>
      </c>
      <c r="U93" t="n">
        <v>0</v>
      </c>
      <c r="V93" s="2" t="inlineStr"/>
    </row>
    <row r="94" ht="15" customHeight="1">
      <c r="A94" t="inlineStr">
        <is>
          <t>A 20035-2022</t>
        </is>
      </c>
      <c r="B94" t="inlineStr">
        <is>
          <t>avverkningsanmälan</t>
        </is>
      </c>
      <c r="C94" t="inlineStr">
        <is>
          <t>Föryngringsavverkning</t>
        </is>
      </c>
      <c r="D94" s="1" t="n">
        <v>44697</v>
      </c>
      <c r="E94" s="1" t="n">
        <v>46313</v>
      </c>
      <c r="F94" t="inlineStr">
        <is>
          <t>VÄRMLANDS LÄN</t>
        </is>
      </c>
      <c r="G94" t="inlineStr">
        <is>
          <t>SUNNE</t>
        </is>
      </c>
      <c r="I94" t="n">
        <v>4.9</v>
      </c>
      <c r="J94" t="n">
        <v>0</v>
      </c>
      <c r="K94" t="n">
        <v>0</v>
      </c>
      <c r="L94" t="n">
        <v>0</v>
      </c>
      <c r="M94" t="n">
        <v>0</v>
      </c>
      <c r="N94" t="n">
        <v>0</v>
      </c>
      <c r="O94" t="n">
        <v>0</v>
      </c>
      <c r="P94" t="n">
        <v>0</v>
      </c>
      <c r="Q94" t="n">
        <v>0</v>
      </c>
      <c r="R94" t="n">
        <v>0</v>
      </c>
      <c r="S94" t="n">
        <v>0</v>
      </c>
      <c r="T94" t="n">
        <v>0</v>
      </c>
      <c r="U94" t="n">
        <v>0</v>
      </c>
      <c r="V94" s="2" t="inlineStr"/>
    </row>
    <row r="95" ht="15" customHeight="1">
      <c r="A95" t="inlineStr">
        <is>
          <t>A 3482-2022</t>
        </is>
      </c>
      <c r="B95" t="inlineStr">
        <is>
          <t>avverkningsanmälan</t>
        </is>
      </c>
      <c r="C95" t="inlineStr">
        <is>
          <t>Föryngringsavverkning</t>
        </is>
      </c>
      <c r="D95" s="1" t="n">
        <v>44585</v>
      </c>
      <c r="E95" s="1" t="n">
        <v>46313</v>
      </c>
      <c r="F95" t="inlineStr">
        <is>
          <t>VÄRMLANDS LÄN</t>
        </is>
      </c>
      <c r="G95" t="inlineStr">
        <is>
          <t>SUNNE</t>
        </is>
      </c>
      <c r="I95" t="n">
        <v>0.5</v>
      </c>
      <c r="J95" t="n">
        <v>0</v>
      </c>
      <c r="K95" t="n">
        <v>0</v>
      </c>
      <c r="L95" t="n">
        <v>0</v>
      </c>
      <c r="M95" t="n">
        <v>0</v>
      </c>
      <c r="N95" t="n">
        <v>0</v>
      </c>
      <c r="O95" t="n">
        <v>0</v>
      </c>
      <c r="P95" t="n">
        <v>0</v>
      </c>
      <c r="Q95" t="n">
        <v>0</v>
      </c>
      <c r="R95" t="n">
        <v>0</v>
      </c>
      <c r="S95" t="n">
        <v>0</v>
      </c>
      <c r="T95" t="n">
        <v>0</v>
      </c>
      <c r="U95" t="n">
        <v>0</v>
      </c>
      <c r="V95" s="2" t="inlineStr"/>
    </row>
    <row r="96" ht="15" customHeight="1">
      <c r="A96" t="inlineStr">
        <is>
          <t>A 31534-2022</t>
        </is>
      </c>
      <c r="B96" t="inlineStr">
        <is>
          <t>avverkningsanmälan</t>
        </is>
      </c>
      <c r="C96" t="inlineStr">
        <is>
          <t>Föryngringsavverkning</t>
        </is>
      </c>
      <c r="D96" s="1" t="n">
        <v>44775</v>
      </c>
      <c r="E96" s="1" t="n">
        <v>46313</v>
      </c>
      <c r="F96" t="inlineStr">
        <is>
          <t>VÄRMLANDS LÄN</t>
        </is>
      </c>
      <c r="G96" t="inlineStr">
        <is>
          <t>SUNNE</t>
        </is>
      </c>
      <c r="I96" t="n">
        <v>1.3</v>
      </c>
      <c r="J96" t="n">
        <v>0</v>
      </c>
      <c r="K96" t="n">
        <v>0</v>
      </c>
      <c r="L96" t="n">
        <v>0</v>
      </c>
      <c r="M96" t="n">
        <v>0</v>
      </c>
      <c r="N96" t="n">
        <v>0</v>
      </c>
      <c r="O96" t="n">
        <v>0</v>
      </c>
      <c r="P96" t="n">
        <v>0</v>
      </c>
      <c r="Q96" t="n">
        <v>0</v>
      </c>
      <c r="R96" t="n">
        <v>0</v>
      </c>
      <c r="S96" t="n">
        <v>0</v>
      </c>
      <c r="T96" t="n">
        <v>0</v>
      </c>
      <c r="U96" t="n">
        <v>0</v>
      </c>
      <c r="V96" s="2" t="inlineStr"/>
    </row>
    <row r="97" ht="15" customHeight="1">
      <c r="A97" t="inlineStr">
        <is>
          <t>A 28807-2022</t>
        </is>
      </c>
      <c r="B97" t="inlineStr">
        <is>
          <t>avverkningsanmälan</t>
        </is>
      </c>
      <c r="C97" t="inlineStr">
        <is>
          <t>Föryngringsavverkning</t>
        </is>
      </c>
      <c r="D97" s="1" t="n">
        <v>44749</v>
      </c>
      <c r="E97" s="1" t="n">
        <v>46313</v>
      </c>
      <c r="F97" t="inlineStr">
        <is>
          <t>VÄRMLANDS LÄN</t>
        </is>
      </c>
      <c r="G97" t="inlineStr">
        <is>
          <t>SUNNE</t>
        </is>
      </c>
      <c r="I97" t="n">
        <v>1</v>
      </c>
      <c r="J97" t="n">
        <v>0</v>
      </c>
      <c r="K97" t="n">
        <v>0</v>
      </c>
      <c r="L97" t="n">
        <v>0</v>
      </c>
      <c r="M97" t="n">
        <v>0</v>
      </c>
      <c r="N97" t="n">
        <v>0</v>
      </c>
      <c r="O97" t="n">
        <v>0</v>
      </c>
      <c r="P97" t="n">
        <v>0</v>
      </c>
      <c r="Q97" t="n">
        <v>0</v>
      </c>
      <c r="R97" t="n">
        <v>0</v>
      </c>
      <c r="S97" t="n">
        <v>0</v>
      </c>
      <c r="T97" t="n">
        <v>0</v>
      </c>
      <c r="U97" t="n">
        <v>0</v>
      </c>
      <c r="V97" s="2" t="inlineStr"/>
    </row>
    <row r="98" ht="15" customHeight="1">
      <c r="A98" t="inlineStr">
        <is>
          <t>A 8766-2022</t>
        </is>
      </c>
      <c r="B98" t="inlineStr">
        <is>
          <t>avverkningsanmälan</t>
        </is>
      </c>
      <c r="C98" t="inlineStr">
        <is>
          <t>Avverkning för annat ändamål</t>
        </is>
      </c>
      <c r="D98" s="1" t="n">
        <v>44614</v>
      </c>
      <c r="E98" s="1" t="n">
        <v>46313</v>
      </c>
      <c r="F98" t="inlineStr">
        <is>
          <t>VÄRMLANDS LÄN</t>
        </is>
      </c>
      <c r="G98" t="inlineStr">
        <is>
          <t>SUNNE</t>
        </is>
      </c>
      <c r="H98" t="inlineStr">
        <is>
          <t>Bergvik skog väst AB</t>
        </is>
      </c>
      <c r="I98" t="n">
        <v>1.6</v>
      </c>
      <c r="J98" t="n">
        <v>0</v>
      </c>
      <c r="K98" t="n">
        <v>0</v>
      </c>
      <c r="L98" t="n">
        <v>0</v>
      </c>
      <c r="M98" t="n">
        <v>0</v>
      </c>
      <c r="N98" t="n">
        <v>0</v>
      </c>
      <c r="O98" t="n">
        <v>0</v>
      </c>
      <c r="P98" t="n">
        <v>0</v>
      </c>
      <c r="Q98" t="n">
        <v>0</v>
      </c>
      <c r="R98" t="n">
        <v>0</v>
      </c>
      <c r="S98" t="n">
        <v>0</v>
      </c>
      <c r="T98" t="n">
        <v>0</v>
      </c>
      <c r="U98" t="n">
        <v>0</v>
      </c>
      <c r="V98" s="2" t="inlineStr"/>
    </row>
    <row r="99" ht="15" customHeight="1">
      <c r="A99" t="inlineStr">
        <is>
          <t>A 22701-2022</t>
        </is>
      </c>
      <c r="B99" t="inlineStr">
        <is>
          <t>avverkningsanmälan</t>
        </is>
      </c>
      <c r="C99" t="inlineStr">
        <is>
          <t>Föryngringsavverkning</t>
        </is>
      </c>
      <c r="D99" s="1" t="n">
        <v>44714</v>
      </c>
      <c r="E99" s="1" t="n">
        <v>46313</v>
      </c>
      <c r="F99" t="inlineStr">
        <is>
          <t>VÄRMLANDS LÄN</t>
        </is>
      </c>
      <c r="G99" t="inlineStr">
        <is>
          <t>SUNNE</t>
        </is>
      </c>
      <c r="I99" t="n">
        <v>0.8</v>
      </c>
      <c r="J99" t="n">
        <v>0</v>
      </c>
      <c r="K99" t="n">
        <v>0</v>
      </c>
      <c r="L99" t="n">
        <v>0</v>
      </c>
      <c r="M99" t="n">
        <v>0</v>
      </c>
      <c r="N99" t="n">
        <v>0</v>
      </c>
      <c r="O99" t="n">
        <v>0</v>
      </c>
      <c r="P99" t="n">
        <v>0</v>
      </c>
      <c r="Q99" t="n">
        <v>0</v>
      </c>
      <c r="R99" t="n">
        <v>0</v>
      </c>
      <c r="S99" t="n">
        <v>0</v>
      </c>
      <c r="T99" t="n">
        <v>0</v>
      </c>
      <c r="U99" t="n">
        <v>0</v>
      </c>
      <c r="V99" s="2" t="inlineStr"/>
    </row>
    <row r="100" ht="15" customHeight="1">
      <c r="A100" t="inlineStr">
        <is>
          <t>A 23301-2022</t>
        </is>
      </c>
      <c r="B100" t="inlineStr">
        <is>
          <t>avverkningsanmälan</t>
        </is>
      </c>
      <c r="C100" t="inlineStr">
        <is>
          <t>Föryngringsavverkning</t>
        </is>
      </c>
      <c r="D100" s="1" t="n">
        <v>44720</v>
      </c>
      <c r="E100" s="1" t="n">
        <v>46313</v>
      </c>
      <c r="F100" t="inlineStr">
        <is>
          <t>VÄRMLANDS LÄN</t>
        </is>
      </c>
      <c r="G100" t="inlineStr">
        <is>
          <t>SUNNE</t>
        </is>
      </c>
      <c r="I100" t="n">
        <v>0.8</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23134-2022</t>
        </is>
      </c>
      <c r="B101" t="inlineStr">
        <is>
          <t>avverkningsanmälan</t>
        </is>
      </c>
      <c r="C101" t="inlineStr">
        <is>
          <t>Föryngringsavverkning</t>
        </is>
      </c>
      <c r="D101" s="1" t="n">
        <v>44719</v>
      </c>
      <c r="E101" s="1" t="n">
        <v>46313</v>
      </c>
      <c r="F101" t="inlineStr">
        <is>
          <t>VÄRMLANDS LÄN</t>
        </is>
      </c>
      <c r="G101" t="inlineStr">
        <is>
          <t>SUNNE</t>
        </is>
      </c>
      <c r="I101" t="n">
        <v>1.4</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43092-2022</t>
        </is>
      </c>
      <c r="B102" t="inlineStr">
        <is>
          <t>avverkningsanmälan</t>
        </is>
      </c>
      <c r="C102" t="inlineStr">
        <is>
          <t>Föryngringsavverkning</t>
        </is>
      </c>
      <c r="D102" s="1" t="n">
        <v>44833</v>
      </c>
      <c r="E102" s="1" t="n">
        <v>46313</v>
      </c>
      <c r="F102" t="inlineStr">
        <is>
          <t>VÄRMLANDS LÄN</t>
        </is>
      </c>
      <c r="G102" t="inlineStr">
        <is>
          <t>SUNNE</t>
        </is>
      </c>
      <c r="I102" t="n">
        <v>0.7</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58630-2021</t>
        </is>
      </c>
      <c r="B103" t="inlineStr">
        <is>
          <t>avverkningsanmälan</t>
        </is>
      </c>
      <c r="C103" t="inlineStr">
        <is>
          <t>Föryngringsavverkning</t>
        </is>
      </c>
      <c r="D103" s="1" t="n">
        <v>44489</v>
      </c>
      <c r="E103" s="1" t="n">
        <v>46313</v>
      </c>
      <c r="F103" t="inlineStr">
        <is>
          <t>VÄRMLANDS LÄN</t>
        </is>
      </c>
      <c r="G103" t="inlineStr">
        <is>
          <t>SUNNE</t>
        </is>
      </c>
      <c r="I103" t="n">
        <v>0.7</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36969-2022</t>
        </is>
      </c>
      <c r="B104" t="inlineStr">
        <is>
          <t>avverkningsanmälan</t>
        </is>
      </c>
      <c r="C104" t="inlineStr">
        <is>
          <t>Föryngringsavverkning</t>
        </is>
      </c>
      <c r="D104" s="1" t="n">
        <v>44805</v>
      </c>
      <c r="E104" s="1" t="n">
        <v>46313</v>
      </c>
      <c r="F104" t="inlineStr">
        <is>
          <t>VÄRMLANDS LÄN</t>
        </is>
      </c>
      <c r="G104" t="inlineStr">
        <is>
          <t>SUNNE</t>
        </is>
      </c>
      <c r="H104" t="inlineStr">
        <is>
          <t>Kyrkan</t>
        </is>
      </c>
      <c r="I104" t="n">
        <v>3.9</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37338-2022</t>
        </is>
      </c>
      <c r="B105" t="inlineStr">
        <is>
          <t>avverkningsanmälan</t>
        </is>
      </c>
      <c r="C105" t="inlineStr">
        <is>
          <t>Föryngringsavverkning</t>
        </is>
      </c>
      <c r="D105" s="1" t="n">
        <v>44809</v>
      </c>
      <c r="E105" s="1" t="n">
        <v>46313</v>
      </c>
      <c r="F105" t="inlineStr">
        <is>
          <t>VÄRMLANDS LÄN</t>
        </is>
      </c>
      <c r="G105" t="inlineStr">
        <is>
          <t>SUNNE</t>
        </is>
      </c>
      <c r="I105" t="n">
        <v>6.8</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72407-2021</t>
        </is>
      </c>
      <c r="B106" t="inlineStr">
        <is>
          <t>avverkningsanmälan</t>
        </is>
      </c>
      <c r="C106" t="inlineStr">
        <is>
          <t>Föryngringsavverkning</t>
        </is>
      </c>
      <c r="D106" s="1" t="n">
        <v>44545</v>
      </c>
      <c r="E106" s="1" t="n">
        <v>46313</v>
      </c>
      <c r="F106" t="inlineStr">
        <is>
          <t>VÄRMLANDS LÄN</t>
        </is>
      </c>
      <c r="G106" t="inlineStr">
        <is>
          <t>SUNNE</t>
        </is>
      </c>
      <c r="I106" t="n">
        <v>0.5</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74513-2021</t>
        </is>
      </c>
      <c r="B107" t="inlineStr">
        <is>
          <t>avverkningsanmälan</t>
        </is>
      </c>
      <c r="C107" t="inlineStr">
        <is>
          <t>Föryngringsavverkning</t>
        </is>
      </c>
      <c r="D107" s="1" t="n">
        <v>44561</v>
      </c>
      <c r="E107" s="1" t="n">
        <v>46313</v>
      </c>
      <c r="F107" t="inlineStr">
        <is>
          <t>VÄRMLANDS LÄN</t>
        </is>
      </c>
      <c r="G107" t="inlineStr">
        <is>
          <t>SUNNE</t>
        </is>
      </c>
      <c r="I107" t="n">
        <v>0.6</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52494-2022</t>
        </is>
      </c>
      <c r="B108" t="inlineStr">
        <is>
          <t>avverkningsanmälan</t>
        </is>
      </c>
      <c r="C108" t="inlineStr">
        <is>
          <t>Föryngringsavverkning</t>
        </is>
      </c>
      <c r="D108" s="1" t="n">
        <v>44874</v>
      </c>
      <c r="E108" s="1" t="n">
        <v>46313</v>
      </c>
      <c r="F108" t="inlineStr">
        <is>
          <t>VÄRMLANDS LÄN</t>
        </is>
      </c>
      <c r="G108" t="inlineStr">
        <is>
          <t>SUNNE</t>
        </is>
      </c>
      <c r="H108" t="inlineStr">
        <is>
          <t>Bergvik skog väst AB</t>
        </is>
      </c>
      <c r="I108" t="n">
        <v>2.8</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2985-2022</t>
        </is>
      </c>
      <c r="B109" t="inlineStr">
        <is>
          <t>avverkningsanmälan</t>
        </is>
      </c>
      <c r="C109" t="inlineStr">
        <is>
          <t>Föryngringsavverkning</t>
        </is>
      </c>
      <c r="D109" s="1" t="n">
        <v>44581</v>
      </c>
      <c r="E109" s="1" t="n">
        <v>46313</v>
      </c>
      <c r="F109" t="inlineStr">
        <is>
          <t>VÄRMLANDS LÄN</t>
        </is>
      </c>
      <c r="G109" t="inlineStr">
        <is>
          <t>SUNNE</t>
        </is>
      </c>
      <c r="I109" t="n">
        <v>0.5</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2461-2022</t>
        </is>
      </c>
      <c r="B110" t="inlineStr">
        <is>
          <t>avverkningsanmälan</t>
        </is>
      </c>
      <c r="C110" t="inlineStr">
        <is>
          <t>Avverkning för annat ändamål</t>
        </is>
      </c>
      <c r="D110" s="1" t="n">
        <v>44579</v>
      </c>
      <c r="E110" s="1" t="n">
        <v>46313</v>
      </c>
      <c r="F110" t="inlineStr">
        <is>
          <t>VÄRMLANDS LÄN</t>
        </is>
      </c>
      <c r="G110" t="inlineStr">
        <is>
          <t>SUNNE</t>
        </is>
      </c>
      <c r="H110" t="inlineStr">
        <is>
          <t>Kommuner</t>
        </is>
      </c>
      <c r="I110" t="n">
        <v>0.7</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68014-2021</t>
        </is>
      </c>
      <c r="B111" t="inlineStr">
        <is>
          <t>avverkningsanmälan</t>
        </is>
      </c>
      <c r="C111" t="inlineStr">
        <is>
          <t>Föryngringsavverkning</t>
        </is>
      </c>
      <c r="D111" s="1" t="n">
        <v>44525</v>
      </c>
      <c r="E111" s="1" t="n">
        <v>46313</v>
      </c>
      <c r="F111" t="inlineStr">
        <is>
          <t>VÄRMLANDS LÄN</t>
        </is>
      </c>
      <c r="G111" t="inlineStr">
        <is>
          <t>SUNNE</t>
        </is>
      </c>
      <c r="I111" t="n">
        <v>2.7</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82-2022</t>
        </is>
      </c>
      <c r="B112" t="inlineStr">
        <is>
          <t>avverkningsanmälan</t>
        </is>
      </c>
      <c r="C112" t="inlineStr">
        <is>
          <t>Föryngringsavverkning</t>
        </is>
      </c>
      <c r="D112" s="1" t="n">
        <v>44564</v>
      </c>
      <c r="E112" s="1" t="n">
        <v>46313</v>
      </c>
      <c r="F112" t="inlineStr">
        <is>
          <t>VÄRMLANDS LÄN</t>
        </is>
      </c>
      <c r="G112" t="inlineStr">
        <is>
          <t>SUNNE</t>
        </is>
      </c>
      <c r="I112" t="n">
        <v>7.1</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675-2022</t>
        </is>
      </c>
      <c r="B113" t="inlineStr">
        <is>
          <t>avverkningsanmälan</t>
        </is>
      </c>
      <c r="C113" t="inlineStr">
        <is>
          <t>Föryngringsavverkning</t>
        </is>
      </c>
      <c r="D113" s="1" t="n">
        <v>44568</v>
      </c>
      <c r="E113" s="1" t="n">
        <v>46313</v>
      </c>
      <c r="F113" t="inlineStr">
        <is>
          <t>VÄRMLANDS LÄN</t>
        </is>
      </c>
      <c r="G113" t="inlineStr">
        <is>
          <t>SUNNE</t>
        </is>
      </c>
      <c r="I113" t="n">
        <v>1.4</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259-2022</t>
        </is>
      </c>
      <c r="B114" t="inlineStr">
        <is>
          <t>avverkningsanmälan</t>
        </is>
      </c>
      <c r="C114" t="inlineStr">
        <is>
          <t>Föryngringsavverkning</t>
        </is>
      </c>
      <c r="D114" s="1" t="n">
        <v>44565</v>
      </c>
      <c r="E114" s="1" t="n">
        <v>46313</v>
      </c>
      <c r="F114" t="inlineStr">
        <is>
          <t>VÄRMLANDS LÄN</t>
        </is>
      </c>
      <c r="G114" t="inlineStr">
        <is>
          <t>SUNNE</t>
        </is>
      </c>
      <c r="I114" t="n">
        <v>1.6</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40411-2022</t>
        </is>
      </c>
      <c r="B115" t="inlineStr">
        <is>
          <t>avverkningsanmälan</t>
        </is>
      </c>
      <c r="C115" t="inlineStr">
        <is>
          <t>Föryngringsavverkning</t>
        </is>
      </c>
      <c r="D115" s="1" t="n">
        <v>44823</v>
      </c>
      <c r="E115" s="1" t="n">
        <v>46313</v>
      </c>
      <c r="F115" t="inlineStr">
        <is>
          <t>VÄRMLANDS LÄN</t>
        </is>
      </c>
      <c r="G115" t="inlineStr">
        <is>
          <t>SUNNE</t>
        </is>
      </c>
      <c r="I115" t="n">
        <v>2.3</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20041-2022</t>
        </is>
      </c>
      <c r="B116" t="inlineStr">
        <is>
          <t>avverkningsanmälan</t>
        </is>
      </c>
      <c r="C116" t="inlineStr">
        <is>
          <t>Föryngringsavverkning</t>
        </is>
      </c>
      <c r="D116" s="1" t="n">
        <v>44697</v>
      </c>
      <c r="E116" s="1" t="n">
        <v>46313</v>
      </c>
      <c r="F116" t="inlineStr">
        <is>
          <t>VÄRMLANDS LÄN</t>
        </is>
      </c>
      <c r="G116" t="inlineStr">
        <is>
          <t>SUNNE</t>
        </is>
      </c>
      <c r="I116" t="n">
        <v>5.2</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25616-2022</t>
        </is>
      </c>
      <c r="B117" t="inlineStr">
        <is>
          <t>avverkningsanmälan</t>
        </is>
      </c>
      <c r="C117" t="inlineStr">
        <is>
          <t>Föryngringsavverkning</t>
        </is>
      </c>
      <c r="D117" s="1" t="n">
        <v>44732</v>
      </c>
      <c r="E117" s="1" t="n">
        <v>46313</v>
      </c>
      <c r="F117" t="inlineStr">
        <is>
          <t>VÄRMLANDS LÄN</t>
        </is>
      </c>
      <c r="G117" t="inlineStr">
        <is>
          <t>SUNNE</t>
        </is>
      </c>
      <c r="I117" t="n">
        <v>3.1</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37334-2022</t>
        </is>
      </c>
      <c r="B118" t="inlineStr">
        <is>
          <t>avverkningsanmälan</t>
        </is>
      </c>
      <c r="C118" t="inlineStr">
        <is>
          <t>Föryngringsavverkning</t>
        </is>
      </c>
      <c r="D118" s="1" t="n">
        <v>44809</v>
      </c>
      <c r="E118" s="1" t="n">
        <v>46313</v>
      </c>
      <c r="F118" t="inlineStr">
        <is>
          <t>VÄRMLANDS LÄN</t>
        </is>
      </c>
      <c r="G118" t="inlineStr">
        <is>
          <t>SUNNE</t>
        </is>
      </c>
      <c r="I118" t="n">
        <v>1.4</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9894-2022</t>
        </is>
      </c>
      <c r="B119" t="inlineStr">
        <is>
          <t>avverkningsanmälan</t>
        </is>
      </c>
      <c r="C119" t="inlineStr">
        <is>
          <t>Föryngringsavverkning</t>
        </is>
      </c>
      <c r="D119" s="1" t="n">
        <v>44620</v>
      </c>
      <c r="E119" s="1" t="n">
        <v>46313</v>
      </c>
      <c r="F119" t="inlineStr">
        <is>
          <t>VÄRMLANDS LÄN</t>
        </is>
      </c>
      <c r="G119" t="inlineStr">
        <is>
          <t>SUNNE</t>
        </is>
      </c>
      <c r="I119" t="n">
        <v>0.7</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31611-2022</t>
        </is>
      </c>
      <c r="B120" t="inlineStr">
        <is>
          <t>avverkningsanmälan</t>
        </is>
      </c>
      <c r="C120" t="inlineStr">
        <is>
          <t>Föryngringsavverkning</t>
        </is>
      </c>
      <c r="D120" s="1" t="n">
        <v>44775</v>
      </c>
      <c r="E120" s="1" t="n">
        <v>46313</v>
      </c>
      <c r="F120" t="inlineStr">
        <is>
          <t>VÄRMLANDS LÄN</t>
        </is>
      </c>
      <c r="G120" t="inlineStr">
        <is>
          <t>SUNNE</t>
        </is>
      </c>
      <c r="I120" t="n">
        <v>0.9</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71818-2021</t>
        </is>
      </c>
      <c r="B121" t="inlineStr">
        <is>
          <t>avverkningsanmälan</t>
        </is>
      </c>
      <c r="C121" t="inlineStr">
        <is>
          <t>Föryngringsavverkning</t>
        </is>
      </c>
      <c r="D121" s="1" t="n">
        <v>44543</v>
      </c>
      <c r="E121" s="1" t="n">
        <v>46313</v>
      </c>
      <c r="F121" t="inlineStr">
        <is>
          <t>VÄRMLANDS LÄN</t>
        </is>
      </c>
      <c r="G121" t="inlineStr">
        <is>
          <t>SUNNE</t>
        </is>
      </c>
      <c r="I121" t="n">
        <v>3.2</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43839-2022</t>
        </is>
      </c>
      <c r="B122" t="inlineStr">
        <is>
          <t>avverkningsanmälan</t>
        </is>
      </c>
      <c r="C122" t="inlineStr">
        <is>
          <t>Föryngringsavverkning</t>
        </is>
      </c>
      <c r="D122" s="1" t="n">
        <v>44838</v>
      </c>
      <c r="E122" s="1" t="n">
        <v>46313</v>
      </c>
      <c r="F122" t="inlineStr">
        <is>
          <t>VÄRMLANDS LÄN</t>
        </is>
      </c>
      <c r="G122" t="inlineStr">
        <is>
          <t>SUNNE</t>
        </is>
      </c>
      <c r="I122" t="n">
        <v>6</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36632-2022</t>
        </is>
      </c>
      <c r="B123" t="inlineStr">
        <is>
          <t>avverkningsanmälan</t>
        </is>
      </c>
      <c r="C123" t="inlineStr">
        <is>
          <t>Föryngringsavverkning</t>
        </is>
      </c>
      <c r="D123" s="1" t="n">
        <v>44804</v>
      </c>
      <c r="E123" s="1" t="n">
        <v>46313</v>
      </c>
      <c r="F123" t="inlineStr">
        <is>
          <t>VÄRMLANDS LÄN</t>
        </is>
      </c>
      <c r="G123" t="inlineStr">
        <is>
          <t>SUNNE</t>
        </is>
      </c>
      <c r="I123" t="n">
        <v>0.6</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65910-2021</t>
        </is>
      </c>
      <c r="B124" t="inlineStr">
        <is>
          <t>avverkningsanmälan</t>
        </is>
      </c>
      <c r="C124" t="inlineStr">
        <is>
          <t>Föryngringsavverkning</t>
        </is>
      </c>
      <c r="D124" s="1" t="n">
        <v>44517</v>
      </c>
      <c r="E124" s="1" t="n">
        <v>46313</v>
      </c>
      <c r="F124" t="inlineStr">
        <is>
          <t>VÄRMLANDS LÄN</t>
        </is>
      </c>
      <c r="G124" t="inlineStr">
        <is>
          <t>SUNNE</t>
        </is>
      </c>
      <c r="I124" t="n">
        <v>1.9</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72658-2021</t>
        </is>
      </c>
      <c r="B125" t="inlineStr">
        <is>
          <t>avverkningsanmälan</t>
        </is>
      </c>
      <c r="C125" t="inlineStr">
        <is>
          <t>Föryngringsavverkning</t>
        </is>
      </c>
      <c r="D125" s="1" t="n">
        <v>44546</v>
      </c>
      <c r="E125" s="1" t="n">
        <v>46313</v>
      </c>
      <c r="F125" t="inlineStr">
        <is>
          <t>VÄRMLANDS LÄN</t>
        </is>
      </c>
      <c r="G125" t="inlineStr">
        <is>
          <t>SUNNE</t>
        </is>
      </c>
      <c r="I125" t="n">
        <v>1.5</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24600-2022</t>
        </is>
      </c>
      <c r="B126" t="inlineStr">
        <is>
          <t>avverkningsanmälan</t>
        </is>
      </c>
      <c r="C126" t="inlineStr">
        <is>
          <t>Föryngringsavverkning</t>
        </is>
      </c>
      <c r="D126" s="1" t="n">
        <v>44727</v>
      </c>
      <c r="E126" s="1" t="n">
        <v>46313</v>
      </c>
      <c r="F126" t="inlineStr">
        <is>
          <t>VÄRMLANDS LÄN</t>
        </is>
      </c>
      <c r="G126" t="inlineStr">
        <is>
          <t>SUNNE</t>
        </is>
      </c>
      <c r="I126" t="n">
        <v>3.5</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37331-2022</t>
        </is>
      </c>
      <c r="B127" t="inlineStr">
        <is>
          <t>avverkningsanmälan</t>
        </is>
      </c>
      <c r="C127" t="inlineStr">
        <is>
          <t>Föryngringsavverkning</t>
        </is>
      </c>
      <c r="D127" s="1" t="n">
        <v>44809</v>
      </c>
      <c r="E127" s="1" t="n">
        <v>46313</v>
      </c>
      <c r="F127" t="inlineStr">
        <is>
          <t>VÄRMLANDS LÄN</t>
        </is>
      </c>
      <c r="G127" t="inlineStr">
        <is>
          <t>SUNNE</t>
        </is>
      </c>
      <c r="I127" t="n">
        <v>9.199999999999999</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49732-2022</t>
        </is>
      </c>
      <c r="B128" t="inlineStr">
        <is>
          <t>avverkningsanmälan</t>
        </is>
      </c>
      <c r="C128" t="inlineStr">
        <is>
          <t>Föryngringsavverkning</t>
        </is>
      </c>
      <c r="D128" s="1" t="n">
        <v>44862</v>
      </c>
      <c r="E128" s="1" t="n">
        <v>46313</v>
      </c>
      <c r="F128" t="inlineStr">
        <is>
          <t>VÄRMLANDS LÄN</t>
        </is>
      </c>
      <c r="G128" t="inlineStr">
        <is>
          <t>SUNNE</t>
        </is>
      </c>
      <c r="I128" t="n">
        <v>4.3</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14481-2022</t>
        </is>
      </c>
      <c r="B129" t="inlineStr">
        <is>
          <t>avverkningsanmälan</t>
        </is>
      </c>
      <c r="C129" t="inlineStr">
        <is>
          <t>Föryngringsavverkning</t>
        </is>
      </c>
      <c r="D129" s="1" t="n">
        <v>44655</v>
      </c>
      <c r="E129" s="1" t="n">
        <v>46313</v>
      </c>
      <c r="F129" t="inlineStr">
        <is>
          <t>VÄRMLANDS LÄN</t>
        </is>
      </c>
      <c r="G129" t="inlineStr">
        <is>
          <t>SUNNE</t>
        </is>
      </c>
      <c r="I129" t="n">
        <v>7.7</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48134-2022</t>
        </is>
      </c>
      <c r="B130" t="inlineStr">
        <is>
          <t>avverkningsanmälan</t>
        </is>
      </c>
      <c r="C130" t="inlineStr">
        <is>
          <t>Föryngringsavverkning</t>
        </is>
      </c>
      <c r="D130" s="1" t="n">
        <v>44857</v>
      </c>
      <c r="E130" s="1" t="n">
        <v>46313</v>
      </c>
      <c r="F130" t="inlineStr">
        <is>
          <t>VÄRMLANDS LÄN</t>
        </is>
      </c>
      <c r="G130" t="inlineStr">
        <is>
          <t>SUNNE</t>
        </is>
      </c>
      <c r="I130" t="n">
        <v>0.5</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22491-2022</t>
        </is>
      </c>
      <c r="B131" t="inlineStr">
        <is>
          <t>avverkningsanmälan</t>
        </is>
      </c>
      <c r="C131" t="inlineStr">
        <is>
          <t>Avverkning för annat ändamål</t>
        </is>
      </c>
      <c r="D131" s="1" t="n">
        <v>44713</v>
      </c>
      <c r="E131" s="1" t="n">
        <v>46313</v>
      </c>
      <c r="F131" t="inlineStr">
        <is>
          <t>VÄRMLANDS LÄN</t>
        </is>
      </c>
      <c r="G131" t="inlineStr">
        <is>
          <t>SUNNE</t>
        </is>
      </c>
      <c r="I131" t="n">
        <v>1.7</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13644-2022</t>
        </is>
      </c>
      <c r="B132" t="inlineStr">
        <is>
          <t>avverkningsanmälan</t>
        </is>
      </c>
      <c r="C132" t="inlineStr">
        <is>
          <t>Föryngringsavverkning</t>
        </is>
      </c>
      <c r="D132" s="1" t="n">
        <v>44648</v>
      </c>
      <c r="E132" s="1" t="n">
        <v>46313</v>
      </c>
      <c r="F132" t="inlineStr">
        <is>
          <t>VÄRMLANDS LÄN</t>
        </is>
      </c>
      <c r="G132" t="inlineStr">
        <is>
          <t>SUNNE</t>
        </is>
      </c>
      <c r="I132" t="n">
        <v>1.5</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62334-2021</t>
        </is>
      </c>
      <c r="B133" t="inlineStr">
        <is>
          <t>avverkningsanmälan</t>
        </is>
      </c>
      <c r="C133" t="inlineStr">
        <is>
          <t>Föryngringsavverkning</t>
        </is>
      </c>
      <c r="D133" s="1" t="n">
        <v>44501</v>
      </c>
      <c r="E133" s="1" t="n">
        <v>46313</v>
      </c>
      <c r="F133" t="inlineStr">
        <is>
          <t>VÄRMLANDS LÄN</t>
        </is>
      </c>
      <c r="G133" t="inlineStr">
        <is>
          <t>SUNNE</t>
        </is>
      </c>
      <c r="I133" t="n">
        <v>2.3</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65074-2021</t>
        </is>
      </c>
      <c r="B134" t="inlineStr">
        <is>
          <t>avverkningsanmälan</t>
        </is>
      </c>
      <c r="C134" t="inlineStr">
        <is>
          <t>Föryngringsavverkning</t>
        </is>
      </c>
      <c r="D134" s="1" t="n">
        <v>44515</v>
      </c>
      <c r="E134" s="1" t="n">
        <v>46313</v>
      </c>
      <c r="F134" t="inlineStr">
        <is>
          <t>VÄRMLANDS LÄN</t>
        </is>
      </c>
      <c r="G134" t="inlineStr">
        <is>
          <t>SUNNE</t>
        </is>
      </c>
      <c r="I134" t="n">
        <v>0.9</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73470-2021</t>
        </is>
      </c>
      <c r="B135" t="inlineStr">
        <is>
          <t>avverkningsanmälan</t>
        </is>
      </c>
      <c r="C135" t="inlineStr">
        <is>
          <t>Föryngringsavverkning</t>
        </is>
      </c>
      <c r="D135" s="1" t="n">
        <v>44551</v>
      </c>
      <c r="E135" s="1" t="n">
        <v>46313</v>
      </c>
      <c r="F135" t="inlineStr">
        <is>
          <t>VÄRMLANDS LÄN</t>
        </is>
      </c>
      <c r="G135" t="inlineStr">
        <is>
          <t>SUNNE</t>
        </is>
      </c>
      <c r="I135" t="n">
        <v>6.1</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62310-2021</t>
        </is>
      </c>
      <c r="B136" t="inlineStr">
        <is>
          <t>avverkningsanmälan</t>
        </is>
      </c>
      <c r="C136" t="inlineStr">
        <is>
          <t>Föryngringsavverkning</t>
        </is>
      </c>
      <c r="D136" s="1" t="n">
        <v>44501</v>
      </c>
      <c r="E136" s="1" t="n">
        <v>46313</v>
      </c>
      <c r="F136" t="inlineStr">
        <is>
          <t>VÄRMLANDS LÄN</t>
        </is>
      </c>
      <c r="G136" t="inlineStr">
        <is>
          <t>SUNNE</t>
        </is>
      </c>
      <c r="I136" t="n">
        <v>8.800000000000001</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35349-2022</t>
        </is>
      </c>
      <c r="B137" t="inlineStr">
        <is>
          <t>avverkningsanmälan</t>
        </is>
      </c>
      <c r="C137" t="inlineStr">
        <is>
          <t>Föryngringsavverkning</t>
        </is>
      </c>
      <c r="D137" s="1" t="n">
        <v>44798</v>
      </c>
      <c r="E137" s="1" t="n">
        <v>46313</v>
      </c>
      <c r="F137" t="inlineStr">
        <is>
          <t>VÄRMLANDS LÄN</t>
        </is>
      </c>
      <c r="G137" t="inlineStr">
        <is>
          <t>SUNNE</t>
        </is>
      </c>
      <c r="I137" t="n">
        <v>6</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35973-2022</t>
        </is>
      </c>
      <c r="B138" t="inlineStr">
        <is>
          <t>avverkningsanmälan</t>
        </is>
      </c>
      <c r="C138" t="inlineStr">
        <is>
          <t>Föryngringsavverkning</t>
        </is>
      </c>
      <c r="D138" s="1" t="n">
        <v>44802</v>
      </c>
      <c r="E138" s="1" t="n">
        <v>46313</v>
      </c>
      <c r="F138" t="inlineStr">
        <is>
          <t>VÄRMLANDS LÄN</t>
        </is>
      </c>
      <c r="G138" t="inlineStr">
        <is>
          <t>SUNNE</t>
        </is>
      </c>
      <c r="I138" t="n">
        <v>1.3</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45928-2022</t>
        </is>
      </c>
      <c r="B139" t="inlineStr">
        <is>
          <t>avverkningsanmälan</t>
        </is>
      </c>
      <c r="C139" t="inlineStr">
        <is>
          <t>Föryngringsavverkning</t>
        </is>
      </c>
      <c r="D139" s="1" t="n">
        <v>44846</v>
      </c>
      <c r="E139" s="1" t="n">
        <v>46313</v>
      </c>
      <c r="F139" t="inlineStr">
        <is>
          <t>VÄRMLANDS LÄN</t>
        </is>
      </c>
      <c r="G139" t="inlineStr">
        <is>
          <t>SUNNE</t>
        </is>
      </c>
      <c r="I139" t="n">
        <v>0.5</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6692-2022</t>
        </is>
      </c>
      <c r="B140" t="inlineStr">
        <is>
          <t>avverkningsanmälan</t>
        </is>
      </c>
      <c r="C140" t="inlineStr">
        <is>
          <t>Föryngringsavverkning</t>
        </is>
      </c>
      <c r="D140" s="1" t="n">
        <v>44602</v>
      </c>
      <c r="E140" s="1" t="n">
        <v>46313</v>
      </c>
      <c r="F140" t="inlineStr">
        <is>
          <t>VÄRMLANDS LÄN</t>
        </is>
      </c>
      <c r="G140" t="inlineStr">
        <is>
          <t>SUNNE</t>
        </is>
      </c>
      <c r="I140" t="n">
        <v>1.7</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42538-2022</t>
        </is>
      </c>
      <c r="B141" t="inlineStr">
        <is>
          <t>avverkningsanmälan</t>
        </is>
      </c>
      <c r="C141" t="inlineStr">
        <is>
          <t>Föryngringsavverkning</t>
        </is>
      </c>
      <c r="D141" s="1" t="n">
        <v>44831</v>
      </c>
      <c r="E141" s="1" t="n">
        <v>46313</v>
      </c>
      <c r="F141" t="inlineStr">
        <is>
          <t>VÄRMLANDS LÄN</t>
        </is>
      </c>
      <c r="G141" t="inlineStr">
        <is>
          <t>SUNNE</t>
        </is>
      </c>
      <c r="I141" t="n">
        <v>0.9</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23318-2022</t>
        </is>
      </c>
      <c r="B142" t="inlineStr">
        <is>
          <t>avverkningsanmälan</t>
        </is>
      </c>
      <c r="C142" t="inlineStr">
        <is>
          <t>Föryngringsavverkning</t>
        </is>
      </c>
      <c r="D142" s="1" t="n">
        <v>44720</v>
      </c>
      <c r="E142" s="1" t="n">
        <v>46313</v>
      </c>
      <c r="F142" t="inlineStr">
        <is>
          <t>VÄRMLANDS LÄN</t>
        </is>
      </c>
      <c r="G142" t="inlineStr">
        <is>
          <t>SUNNE</t>
        </is>
      </c>
      <c r="I142" t="n">
        <v>2</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A 20042-2022</t>
        </is>
      </c>
      <c r="B143" t="inlineStr">
        <is>
          <t>avverkningsanmälan</t>
        </is>
      </c>
      <c r="C143" t="inlineStr">
        <is>
          <t>Föryngringsavverkning</t>
        </is>
      </c>
      <c r="D143" s="1" t="n">
        <v>44697</v>
      </c>
      <c r="E143" s="1" t="n">
        <v>46313</v>
      </c>
      <c r="F143" t="inlineStr">
        <is>
          <t>VÄRMLANDS LÄN</t>
        </is>
      </c>
      <c r="G143" t="inlineStr">
        <is>
          <t>SUNNE</t>
        </is>
      </c>
      <c r="I143" t="n">
        <v>2.6</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A 73467-2021</t>
        </is>
      </c>
      <c r="B144" t="inlineStr">
        <is>
          <t>avverkningsanmälan</t>
        </is>
      </c>
      <c r="C144" t="inlineStr">
        <is>
          <t>Föryngringsavverkning</t>
        </is>
      </c>
      <c r="D144" s="1" t="n">
        <v>44551</v>
      </c>
      <c r="E144" s="1" t="n">
        <v>46313</v>
      </c>
      <c r="F144" t="inlineStr">
        <is>
          <t>VÄRMLANDS LÄN</t>
        </is>
      </c>
      <c r="G144" t="inlineStr">
        <is>
          <t>SUNNE</t>
        </is>
      </c>
      <c r="I144" t="n">
        <v>0.5</v>
      </c>
      <c r="J144" t="n">
        <v>0</v>
      </c>
      <c r="K144" t="n">
        <v>0</v>
      </c>
      <c r="L144" t="n">
        <v>0</v>
      </c>
      <c r="M144" t="n">
        <v>0</v>
      </c>
      <c r="N144" t="n">
        <v>0</v>
      </c>
      <c r="O144" t="n">
        <v>0</v>
      </c>
      <c r="P144" t="n">
        <v>0</v>
      </c>
      <c r="Q144" t="n">
        <v>0</v>
      </c>
      <c r="R144" t="n">
        <v>0</v>
      </c>
      <c r="S144" t="n">
        <v>0</v>
      </c>
      <c r="T144" t="n">
        <v>0</v>
      </c>
      <c r="U144" t="n">
        <v>0</v>
      </c>
      <c r="V144" s="2" t="inlineStr"/>
    </row>
    <row r="145" ht="15" customHeight="1">
      <c r="A145" t="inlineStr">
        <is>
          <t>A 32543-2022</t>
        </is>
      </c>
      <c r="B145" t="inlineStr">
        <is>
          <t>avverkningsanmälan</t>
        </is>
      </c>
      <c r="C145" t="inlineStr">
        <is>
          <t>Föryngringsavverkning</t>
        </is>
      </c>
      <c r="D145" s="1" t="n">
        <v>44783</v>
      </c>
      <c r="E145" s="1" t="n">
        <v>46313</v>
      </c>
      <c r="F145" t="inlineStr">
        <is>
          <t>VÄRMLANDS LÄN</t>
        </is>
      </c>
      <c r="G145" t="inlineStr">
        <is>
          <t>SUNNE</t>
        </is>
      </c>
      <c r="H145" t="inlineStr">
        <is>
          <t>Kommuner</t>
        </is>
      </c>
      <c r="I145" t="n">
        <v>4.2</v>
      </c>
      <c r="J145" t="n">
        <v>0</v>
      </c>
      <c r="K145" t="n">
        <v>0</v>
      </c>
      <c r="L145" t="n">
        <v>0</v>
      </c>
      <c r="M145" t="n">
        <v>0</v>
      </c>
      <c r="N145" t="n">
        <v>0</v>
      </c>
      <c r="O145" t="n">
        <v>0</v>
      </c>
      <c r="P145" t="n">
        <v>0</v>
      </c>
      <c r="Q145" t="n">
        <v>0</v>
      </c>
      <c r="R145" t="n">
        <v>0</v>
      </c>
      <c r="S145" t="n">
        <v>0</v>
      </c>
      <c r="T145" t="n">
        <v>0</v>
      </c>
      <c r="U145" t="n">
        <v>0</v>
      </c>
      <c r="V145" s="2" t="inlineStr"/>
    </row>
    <row r="146" ht="15" customHeight="1">
      <c r="A146" t="inlineStr">
        <is>
          <t>A 60933-2021</t>
        </is>
      </c>
      <c r="B146" t="inlineStr">
        <is>
          <t>avverkningsanmälan</t>
        </is>
      </c>
      <c r="C146" t="inlineStr">
        <is>
          <t>Föryngringsavverkning</t>
        </is>
      </c>
      <c r="D146" s="1" t="n">
        <v>44497</v>
      </c>
      <c r="E146" s="1" t="n">
        <v>46313</v>
      </c>
      <c r="F146" t="inlineStr">
        <is>
          <t>VÄRMLANDS LÄN</t>
        </is>
      </c>
      <c r="G146" t="inlineStr">
        <is>
          <t>SUNNE</t>
        </is>
      </c>
      <c r="I146" t="n">
        <v>1.5</v>
      </c>
      <c r="J146" t="n">
        <v>0</v>
      </c>
      <c r="K146" t="n">
        <v>0</v>
      </c>
      <c r="L146" t="n">
        <v>0</v>
      </c>
      <c r="M146" t="n">
        <v>0</v>
      </c>
      <c r="N146" t="n">
        <v>0</v>
      </c>
      <c r="O146" t="n">
        <v>0</v>
      </c>
      <c r="P146" t="n">
        <v>0</v>
      </c>
      <c r="Q146" t="n">
        <v>0</v>
      </c>
      <c r="R146" t="n">
        <v>0</v>
      </c>
      <c r="S146" t="n">
        <v>0</v>
      </c>
      <c r="T146" t="n">
        <v>0</v>
      </c>
      <c r="U146" t="n">
        <v>0</v>
      </c>
      <c r="V146" s="2" t="inlineStr"/>
    </row>
    <row r="147" ht="15" customHeight="1">
      <c r="A147" t="inlineStr">
        <is>
          <t>A 1605-2022</t>
        </is>
      </c>
      <c r="B147" t="inlineStr">
        <is>
          <t>avverkningsanmälan</t>
        </is>
      </c>
      <c r="C147" t="inlineStr">
        <is>
          <t>Föryngringsavverkning</t>
        </is>
      </c>
      <c r="D147" s="1" t="n">
        <v>44573</v>
      </c>
      <c r="E147" s="1" t="n">
        <v>46313</v>
      </c>
      <c r="F147" t="inlineStr">
        <is>
          <t>VÄRMLANDS LÄN</t>
        </is>
      </c>
      <c r="G147" t="inlineStr">
        <is>
          <t>SUNNE</t>
        </is>
      </c>
      <c r="I147" t="n">
        <v>1.1</v>
      </c>
      <c r="J147" t="n">
        <v>0</v>
      </c>
      <c r="K147" t="n">
        <v>0</v>
      </c>
      <c r="L147" t="n">
        <v>0</v>
      </c>
      <c r="M147" t="n">
        <v>0</v>
      </c>
      <c r="N147" t="n">
        <v>0</v>
      </c>
      <c r="O147" t="n">
        <v>0</v>
      </c>
      <c r="P147" t="n">
        <v>0</v>
      </c>
      <c r="Q147" t="n">
        <v>0</v>
      </c>
      <c r="R147" t="n">
        <v>0</v>
      </c>
      <c r="S147" t="n">
        <v>0</v>
      </c>
      <c r="T147" t="n">
        <v>0</v>
      </c>
      <c r="U147" t="n">
        <v>0</v>
      </c>
      <c r="V147" s="2" t="inlineStr"/>
    </row>
    <row r="148" ht="15" customHeight="1">
      <c r="A148" t="inlineStr">
        <is>
          <t>A 43923-2022</t>
        </is>
      </c>
      <c r="B148" t="inlineStr">
        <is>
          <t>avverkningsanmälan</t>
        </is>
      </c>
      <c r="C148" t="inlineStr">
        <is>
          <t>Föryngringsavverkning</t>
        </is>
      </c>
      <c r="D148" s="1" t="n">
        <v>44838</v>
      </c>
      <c r="E148" s="1" t="n">
        <v>46313</v>
      </c>
      <c r="F148" t="inlineStr">
        <is>
          <t>VÄRMLANDS LÄN</t>
        </is>
      </c>
      <c r="G148" t="inlineStr">
        <is>
          <t>SUNNE</t>
        </is>
      </c>
      <c r="I148" t="n">
        <v>0.6</v>
      </c>
      <c r="J148" t="n">
        <v>0</v>
      </c>
      <c r="K148" t="n">
        <v>0</v>
      </c>
      <c r="L148" t="n">
        <v>0</v>
      </c>
      <c r="M148" t="n">
        <v>0</v>
      </c>
      <c r="N148" t="n">
        <v>0</v>
      </c>
      <c r="O148" t="n">
        <v>0</v>
      </c>
      <c r="P148" t="n">
        <v>0</v>
      </c>
      <c r="Q148" t="n">
        <v>0</v>
      </c>
      <c r="R148" t="n">
        <v>0</v>
      </c>
      <c r="S148" t="n">
        <v>0</v>
      </c>
      <c r="T148" t="n">
        <v>0</v>
      </c>
      <c r="U148" t="n">
        <v>0</v>
      </c>
      <c r="V148" s="2" t="inlineStr"/>
    </row>
    <row r="149" ht="15" customHeight="1">
      <c r="A149" t="inlineStr">
        <is>
          <t>A 10541-2022</t>
        </is>
      </c>
      <c r="B149" t="inlineStr">
        <is>
          <t>avverkningsanmälan</t>
        </is>
      </c>
      <c r="C149" t="inlineStr">
        <is>
          <t>Föryngringsavverkning</t>
        </is>
      </c>
      <c r="D149" s="1" t="n">
        <v>44623</v>
      </c>
      <c r="E149" s="1" t="n">
        <v>46313</v>
      </c>
      <c r="F149" t="inlineStr">
        <is>
          <t>VÄRMLANDS LÄN</t>
        </is>
      </c>
      <c r="G149" t="inlineStr">
        <is>
          <t>SUNNE</t>
        </is>
      </c>
      <c r="I149" t="n">
        <v>2.2</v>
      </c>
      <c r="J149" t="n">
        <v>0</v>
      </c>
      <c r="K149" t="n">
        <v>0</v>
      </c>
      <c r="L149" t="n">
        <v>0</v>
      </c>
      <c r="M149" t="n">
        <v>0</v>
      </c>
      <c r="N149" t="n">
        <v>0</v>
      </c>
      <c r="O149" t="n">
        <v>0</v>
      </c>
      <c r="P149" t="n">
        <v>0</v>
      </c>
      <c r="Q149" t="n">
        <v>0</v>
      </c>
      <c r="R149" t="n">
        <v>0</v>
      </c>
      <c r="S149" t="n">
        <v>0</v>
      </c>
      <c r="T149" t="n">
        <v>0</v>
      </c>
      <c r="U149" t="n">
        <v>0</v>
      </c>
      <c r="V149" s="2" t="inlineStr"/>
    </row>
    <row r="150" ht="15" customHeight="1">
      <c r="A150" t="inlineStr">
        <is>
          <t>A 1301-2022</t>
        </is>
      </c>
      <c r="B150" t="inlineStr">
        <is>
          <t>avverkningsanmälan</t>
        </is>
      </c>
      <c r="C150" t="inlineStr">
        <is>
          <t>Föryngringsavverkning</t>
        </is>
      </c>
      <c r="D150" s="1" t="n">
        <v>44572</v>
      </c>
      <c r="E150" s="1" t="n">
        <v>46313</v>
      </c>
      <c r="F150" t="inlineStr">
        <is>
          <t>VÄRMLANDS LÄN</t>
        </is>
      </c>
      <c r="G150" t="inlineStr">
        <is>
          <t>SUNNE</t>
        </is>
      </c>
      <c r="I150" t="n">
        <v>1</v>
      </c>
      <c r="J150" t="n">
        <v>0</v>
      </c>
      <c r="K150" t="n">
        <v>0</v>
      </c>
      <c r="L150" t="n">
        <v>0</v>
      </c>
      <c r="M150" t="n">
        <v>0</v>
      </c>
      <c r="N150" t="n">
        <v>0</v>
      </c>
      <c r="O150" t="n">
        <v>0</v>
      </c>
      <c r="P150" t="n">
        <v>0</v>
      </c>
      <c r="Q150" t="n">
        <v>0</v>
      </c>
      <c r="R150" t="n">
        <v>0</v>
      </c>
      <c r="S150" t="n">
        <v>0</v>
      </c>
      <c r="T150" t="n">
        <v>0</v>
      </c>
      <c r="U150" t="n">
        <v>0</v>
      </c>
      <c r="V150" s="2" t="inlineStr"/>
    </row>
    <row r="151" ht="15" customHeight="1">
      <c r="A151" t="inlineStr">
        <is>
          <t>A 17514-2022</t>
        </is>
      </c>
      <c r="B151" t="inlineStr">
        <is>
          <t>avverkningsanmälan</t>
        </is>
      </c>
      <c r="C151" t="inlineStr">
        <is>
          <t>Föryngringsavverkning</t>
        </is>
      </c>
      <c r="D151" s="1" t="n">
        <v>44679</v>
      </c>
      <c r="E151" s="1" t="n">
        <v>46313</v>
      </c>
      <c r="F151" t="inlineStr">
        <is>
          <t>VÄRMLANDS LÄN</t>
        </is>
      </c>
      <c r="G151" t="inlineStr">
        <is>
          <t>SUNNE</t>
        </is>
      </c>
      <c r="I151" t="n">
        <v>0.7</v>
      </c>
      <c r="J151" t="n">
        <v>0</v>
      </c>
      <c r="K151" t="n">
        <v>0</v>
      </c>
      <c r="L151" t="n">
        <v>0</v>
      </c>
      <c r="M151" t="n">
        <v>0</v>
      </c>
      <c r="N151" t="n">
        <v>0</v>
      </c>
      <c r="O151" t="n">
        <v>0</v>
      </c>
      <c r="P151" t="n">
        <v>0</v>
      </c>
      <c r="Q151" t="n">
        <v>0</v>
      </c>
      <c r="R151" t="n">
        <v>0</v>
      </c>
      <c r="S151" t="n">
        <v>0</v>
      </c>
      <c r="T151" t="n">
        <v>0</v>
      </c>
      <c r="U151" t="n">
        <v>0</v>
      </c>
      <c r="V151" s="2" t="inlineStr"/>
    </row>
    <row r="152" ht="15" customHeight="1">
      <c r="A152" t="inlineStr">
        <is>
          <t>A 73322-2021</t>
        </is>
      </c>
      <c r="B152" t="inlineStr">
        <is>
          <t>avverkningsanmälan</t>
        </is>
      </c>
      <c r="C152" t="inlineStr">
        <is>
          <t>Föryngringsavverkning</t>
        </is>
      </c>
      <c r="D152" s="1" t="n">
        <v>44551</v>
      </c>
      <c r="E152" s="1" t="n">
        <v>46313</v>
      </c>
      <c r="F152" t="inlineStr">
        <is>
          <t>VÄRMLANDS LÄN</t>
        </is>
      </c>
      <c r="G152" t="inlineStr">
        <is>
          <t>SUNNE</t>
        </is>
      </c>
      <c r="I152" t="n">
        <v>1.2</v>
      </c>
      <c r="J152" t="n">
        <v>0</v>
      </c>
      <c r="K152" t="n">
        <v>0</v>
      </c>
      <c r="L152" t="n">
        <v>0</v>
      </c>
      <c r="M152" t="n">
        <v>0</v>
      </c>
      <c r="N152" t="n">
        <v>0</v>
      </c>
      <c r="O152" t="n">
        <v>0</v>
      </c>
      <c r="P152" t="n">
        <v>0</v>
      </c>
      <c r="Q152" t="n">
        <v>0</v>
      </c>
      <c r="R152" t="n">
        <v>0</v>
      </c>
      <c r="S152" t="n">
        <v>0</v>
      </c>
      <c r="T152" t="n">
        <v>0</v>
      </c>
      <c r="U152" t="n">
        <v>0</v>
      </c>
      <c r="V152" s="2" t="inlineStr"/>
    </row>
    <row r="153" ht="15" customHeight="1">
      <c r="A153" t="inlineStr">
        <is>
          <t>A 9138-2022</t>
        </is>
      </c>
      <c r="B153" t="inlineStr">
        <is>
          <t>avverkningsanmälan</t>
        </is>
      </c>
      <c r="C153" t="inlineStr">
        <is>
          <t>Föryngringsavverkning</t>
        </is>
      </c>
      <c r="D153" s="1" t="n">
        <v>44615</v>
      </c>
      <c r="E153" s="1" t="n">
        <v>46313</v>
      </c>
      <c r="F153" t="inlineStr">
        <is>
          <t>VÄRMLANDS LÄN</t>
        </is>
      </c>
      <c r="G153" t="inlineStr">
        <is>
          <t>SUNNE</t>
        </is>
      </c>
      <c r="I153" t="n">
        <v>1.2</v>
      </c>
      <c r="J153" t="n">
        <v>0</v>
      </c>
      <c r="K153" t="n">
        <v>0</v>
      </c>
      <c r="L153" t="n">
        <v>0</v>
      </c>
      <c r="M153" t="n">
        <v>0</v>
      </c>
      <c r="N153" t="n">
        <v>0</v>
      </c>
      <c r="O153" t="n">
        <v>0</v>
      </c>
      <c r="P153" t="n">
        <v>0</v>
      </c>
      <c r="Q153" t="n">
        <v>0</v>
      </c>
      <c r="R153" t="n">
        <v>0</v>
      </c>
      <c r="S153" t="n">
        <v>0</v>
      </c>
      <c r="T153" t="n">
        <v>0</v>
      </c>
      <c r="U153" t="n">
        <v>0</v>
      </c>
      <c r="V153" s="2" t="inlineStr"/>
    </row>
    <row r="154" ht="15" customHeight="1">
      <c r="A154" t="inlineStr">
        <is>
          <t>A 10029-2022</t>
        </is>
      </c>
      <c r="B154" t="inlineStr">
        <is>
          <t>avverkningsanmälan</t>
        </is>
      </c>
      <c r="C154" t="inlineStr">
        <is>
          <t>Föryngringsavverkning</t>
        </is>
      </c>
      <c r="D154" s="1" t="n">
        <v>44621</v>
      </c>
      <c r="E154" s="1" t="n">
        <v>46313</v>
      </c>
      <c r="F154" t="inlineStr">
        <is>
          <t>VÄRMLANDS LÄN</t>
        </is>
      </c>
      <c r="G154" t="inlineStr">
        <is>
          <t>SUNNE</t>
        </is>
      </c>
      <c r="I154" t="n">
        <v>0.8</v>
      </c>
      <c r="J154" t="n">
        <v>0</v>
      </c>
      <c r="K154" t="n">
        <v>0</v>
      </c>
      <c r="L154" t="n">
        <v>0</v>
      </c>
      <c r="M154" t="n">
        <v>0</v>
      </c>
      <c r="N154" t="n">
        <v>0</v>
      </c>
      <c r="O154" t="n">
        <v>0</v>
      </c>
      <c r="P154" t="n">
        <v>0</v>
      </c>
      <c r="Q154" t="n">
        <v>0</v>
      </c>
      <c r="R154" t="n">
        <v>0</v>
      </c>
      <c r="S154" t="n">
        <v>0</v>
      </c>
      <c r="T154" t="n">
        <v>0</v>
      </c>
      <c r="U154" t="n">
        <v>0</v>
      </c>
      <c r="V154" s="2" t="inlineStr"/>
    </row>
    <row r="155" ht="15" customHeight="1">
      <c r="A155" t="inlineStr">
        <is>
          <t>A 63356-2021</t>
        </is>
      </c>
      <c r="B155" t="inlineStr">
        <is>
          <t>avverkningsanmälan</t>
        </is>
      </c>
      <c r="C155" t="inlineStr">
        <is>
          <t>Föryngringsavverkning</t>
        </is>
      </c>
      <c r="D155" s="1" t="n">
        <v>44508</v>
      </c>
      <c r="E155" s="1" t="n">
        <v>46313</v>
      </c>
      <c r="F155" t="inlineStr">
        <is>
          <t>VÄRMLANDS LÄN</t>
        </is>
      </c>
      <c r="G155" t="inlineStr">
        <is>
          <t>SUNNE</t>
        </is>
      </c>
      <c r="I155" t="n">
        <v>1.4</v>
      </c>
      <c r="J155" t="n">
        <v>0</v>
      </c>
      <c r="K155" t="n">
        <v>0</v>
      </c>
      <c r="L155" t="n">
        <v>0</v>
      </c>
      <c r="M155" t="n">
        <v>0</v>
      </c>
      <c r="N155" t="n">
        <v>0</v>
      </c>
      <c r="O155" t="n">
        <v>0</v>
      </c>
      <c r="P155" t="n">
        <v>0</v>
      </c>
      <c r="Q155" t="n">
        <v>0</v>
      </c>
      <c r="R155" t="n">
        <v>0</v>
      </c>
      <c r="S155" t="n">
        <v>0</v>
      </c>
      <c r="T155" t="n">
        <v>0</v>
      </c>
      <c r="U155" t="n">
        <v>0</v>
      </c>
      <c r="V155" s="2" t="inlineStr"/>
    </row>
    <row r="156" ht="15" customHeight="1">
      <c r="A156" t="inlineStr">
        <is>
          <t>A 18406-2022</t>
        </is>
      </c>
      <c r="B156" t="inlineStr">
        <is>
          <t>avverkningsanmälan</t>
        </is>
      </c>
      <c r="C156" t="inlineStr">
        <is>
          <t>Föryngringsavverkning</t>
        </is>
      </c>
      <c r="D156" s="1" t="n">
        <v>44686</v>
      </c>
      <c r="E156" s="1" t="n">
        <v>46313</v>
      </c>
      <c r="F156" t="inlineStr">
        <is>
          <t>VÄRMLANDS LÄN</t>
        </is>
      </c>
      <c r="G156" t="inlineStr">
        <is>
          <t>SUNNE</t>
        </is>
      </c>
      <c r="I156" t="n">
        <v>0.4</v>
      </c>
      <c r="J156" t="n">
        <v>0</v>
      </c>
      <c r="K156" t="n">
        <v>0</v>
      </c>
      <c r="L156" t="n">
        <v>0</v>
      </c>
      <c r="M156" t="n">
        <v>0</v>
      </c>
      <c r="N156" t="n">
        <v>0</v>
      </c>
      <c r="O156" t="n">
        <v>0</v>
      </c>
      <c r="P156" t="n">
        <v>0</v>
      </c>
      <c r="Q156" t="n">
        <v>0</v>
      </c>
      <c r="R156" t="n">
        <v>0</v>
      </c>
      <c r="S156" t="n">
        <v>0</v>
      </c>
      <c r="T156" t="n">
        <v>0</v>
      </c>
      <c r="U156" t="n">
        <v>0</v>
      </c>
      <c r="V156" s="2" t="inlineStr"/>
    </row>
    <row r="157" ht="15" customHeight="1">
      <c r="A157" t="inlineStr">
        <is>
          <t>A 17033-2022</t>
        </is>
      </c>
      <c r="B157" t="inlineStr">
        <is>
          <t>avverkningsanmälan</t>
        </is>
      </c>
      <c r="C157" t="inlineStr">
        <is>
          <t>Avverkning för annat ändamål</t>
        </is>
      </c>
      <c r="D157" s="1" t="n">
        <v>44676</v>
      </c>
      <c r="E157" s="1" t="n">
        <v>46313</v>
      </c>
      <c r="F157" t="inlineStr">
        <is>
          <t>VÄRMLANDS LÄN</t>
        </is>
      </c>
      <c r="G157" t="inlineStr">
        <is>
          <t>SUNNE</t>
        </is>
      </c>
      <c r="I157" t="n">
        <v>1.1</v>
      </c>
      <c r="J157" t="n">
        <v>0</v>
      </c>
      <c r="K157" t="n">
        <v>0</v>
      </c>
      <c r="L157" t="n">
        <v>0</v>
      </c>
      <c r="M157" t="n">
        <v>0</v>
      </c>
      <c r="N157" t="n">
        <v>0</v>
      </c>
      <c r="O157" t="n">
        <v>0</v>
      </c>
      <c r="P157" t="n">
        <v>0</v>
      </c>
      <c r="Q157" t="n">
        <v>0</v>
      </c>
      <c r="R157" t="n">
        <v>0</v>
      </c>
      <c r="S157" t="n">
        <v>0</v>
      </c>
      <c r="T157" t="n">
        <v>0</v>
      </c>
      <c r="U157" t="n">
        <v>0</v>
      </c>
      <c r="V157" s="2" t="inlineStr"/>
    </row>
    <row r="158" ht="15" customHeight="1">
      <c r="A158" t="inlineStr">
        <is>
          <t>A 34909-2022</t>
        </is>
      </c>
      <c r="B158" t="inlineStr">
        <is>
          <t>avverkningsanmälan</t>
        </is>
      </c>
      <c r="C158" t="inlineStr">
        <is>
          <t>Föryngringsavverkning</t>
        </is>
      </c>
      <c r="D158" s="1" t="n">
        <v>44796</v>
      </c>
      <c r="E158" s="1" t="n">
        <v>46313</v>
      </c>
      <c r="F158" t="inlineStr">
        <is>
          <t>VÄRMLANDS LÄN</t>
        </is>
      </c>
      <c r="G158" t="inlineStr">
        <is>
          <t>SUNNE</t>
        </is>
      </c>
      <c r="I158" t="n">
        <v>2.3</v>
      </c>
      <c r="J158" t="n">
        <v>0</v>
      </c>
      <c r="K158" t="n">
        <v>0</v>
      </c>
      <c r="L158" t="n">
        <v>0</v>
      </c>
      <c r="M158" t="n">
        <v>0</v>
      </c>
      <c r="N158" t="n">
        <v>0</v>
      </c>
      <c r="O158" t="n">
        <v>0</v>
      </c>
      <c r="P158" t="n">
        <v>0</v>
      </c>
      <c r="Q158" t="n">
        <v>0</v>
      </c>
      <c r="R158" t="n">
        <v>0</v>
      </c>
      <c r="S158" t="n">
        <v>0</v>
      </c>
      <c r="T158" t="n">
        <v>0</v>
      </c>
      <c r="U158" t="n">
        <v>0</v>
      </c>
      <c r="V158" s="2" t="inlineStr"/>
    </row>
    <row r="159" ht="15" customHeight="1">
      <c r="A159" t="inlineStr">
        <is>
          <t>A 22121-2022</t>
        </is>
      </c>
      <c r="B159" t="inlineStr">
        <is>
          <t>avverkningsanmälan</t>
        </is>
      </c>
      <c r="C159" t="inlineStr">
        <is>
          <t>Föryngringsavverkning</t>
        </is>
      </c>
      <c r="D159" s="1" t="n">
        <v>44712</v>
      </c>
      <c r="E159" s="1" t="n">
        <v>46313</v>
      </c>
      <c r="F159" t="inlineStr">
        <is>
          <t>VÄRMLANDS LÄN</t>
        </is>
      </c>
      <c r="G159" t="inlineStr">
        <is>
          <t>SUNNE</t>
        </is>
      </c>
      <c r="I159" t="n">
        <v>5.8</v>
      </c>
      <c r="J159" t="n">
        <v>0</v>
      </c>
      <c r="K159" t="n">
        <v>0</v>
      </c>
      <c r="L159" t="n">
        <v>0</v>
      </c>
      <c r="M159" t="n">
        <v>0</v>
      </c>
      <c r="N159" t="n">
        <v>0</v>
      </c>
      <c r="O159" t="n">
        <v>0</v>
      </c>
      <c r="P159" t="n">
        <v>0</v>
      </c>
      <c r="Q159" t="n">
        <v>0</v>
      </c>
      <c r="R159" t="n">
        <v>0</v>
      </c>
      <c r="S159" t="n">
        <v>0</v>
      </c>
      <c r="T159" t="n">
        <v>0</v>
      </c>
      <c r="U159" t="n">
        <v>0</v>
      </c>
      <c r="V159" s="2" t="inlineStr"/>
    </row>
    <row r="160" ht="15" customHeight="1">
      <c r="A160" t="inlineStr">
        <is>
          <t>A 72410-2021</t>
        </is>
      </c>
      <c r="B160" t="inlineStr">
        <is>
          <t>avverkningsanmälan</t>
        </is>
      </c>
      <c r="C160" t="inlineStr">
        <is>
          <t>Föryngringsavverkning</t>
        </is>
      </c>
      <c r="D160" s="1" t="n">
        <v>44545</v>
      </c>
      <c r="E160" s="1" t="n">
        <v>46313</v>
      </c>
      <c r="F160" t="inlineStr">
        <is>
          <t>VÄRMLANDS LÄN</t>
        </is>
      </c>
      <c r="G160" t="inlineStr">
        <is>
          <t>SUNNE</t>
        </is>
      </c>
      <c r="I160" t="n">
        <v>2.2</v>
      </c>
      <c r="J160" t="n">
        <v>0</v>
      </c>
      <c r="K160" t="n">
        <v>0</v>
      </c>
      <c r="L160" t="n">
        <v>0</v>
      </c>
      <c r="M160" t="n">
        <v>0</v>
      </c>
      <c r="N160" t="n">
        <v>0</v>
      </c>
      <c r="O160" t="n">
        <v>0</v>
      </c>
      <c r="P160" t="n">
        <v>0</v>
      </c>
      <c r="Q160" t="n">
        <v>0</v>
      </c>
      <c r="R160" t="n">
        <v>0</v>
      </c>
      <c r="S160" t="n">
        <v>0</v>
      </c>
      <c r="T160" t="n">
        <v>0</v>
      </c>
      <c r="U160" t="n">
        <v>0</v>
      </c>
      <c r="V160" s="2" t="inlineStr"/>
    </row>
    <row r="161" ht="15" customHeight="1">
      <c r="A161" t="inlineStr">
        <is>
          <t>A 17512-2022</t>
        </is>
      </c>
      <c r="B161" t="inlineStr">
        <is>
          <t>avverkningsanmälan</t>
        </is>
      </c>
      <c r="C161" t="inlineStr">
        <is>
          <t>Föryngringsavverkning</t>
        </is>
      </c>
      <c r="D161" s="1" t="n">
        <v>44679</v>
      </c>
      <c r="E161" s="1" t="n">
        <v>46313</v>
      </c>
      <c r="F161" t="inlineStr">
        <is>
          <t>VÄRMLANDS LÄN</t>
        </is>
      </c>
      <c r="G161" t="inlineStr">
        <is>
          <t>SUNNE</t>
        </is>
      </c>
      <c r="I161" t="n">
        <v>0.5</v>
      </c>
      <c r="J161" t="n">
        <v>0</v>
      </c>
      <c r="K161" t="n">
        <v>0</v>
      </c>
      <c r="L161" t="n">
        <v>0</v>
      </c>
      <c r="M161" t="n">
        <v>0</v>
      </c>
      <c r="N161" t="n">
        <v>0</v>
      </c>
      <c r="O161" t="n">
        <v>0</v>
      </c>
      <c r="P161" t="n">
        <v>0</v>
      </c>
      <c r="Q161" t="n">
        <v>0</v>
      </c>
      <c r="R161" t="n">
        <v>0</v>
      </c>
      <c r="S161" t="n">
        <v>0</v>
      </c>
      <c r="T161" t="n">
        <v>0</v>
      </c>
      <c r="U161" t="n">
        <v>0</v>
      </c>
      <c r="V161" s="2" t="inlineStr"/>
    </row>
    <row r="162" ht="15" customHeight="1">
      <c r="A162" t="inlineStr">
        <is>
          <t>A 61373-2021</t>
        </is>
      </c>
      <c r="B162" t="inlineStr">
        <is>
          <t>avverkningsanmälan</t>
        </is>
      </c>
      <c r="C162" t="inlineStr">
        <is>
          <t>Föryngringsavverkning</t>
        </is>
      </c>
      <c r="D162" s="1" t="n">
        <v>44499</v>
      </c>
      <c r="E162" s="1" t="n">
        <v>46313</v>
      </c>
      <c r="F162" t="inlineStr">
        <is>
          <t>VÄRMLANDS LÄN</t>
        </is>
      </c>
      <c r="G162" t="inlineStr">
        <is>
          <t>SUNNE</t>
        </is>
      </c>
      <c r="I162" t="n">
        <v>0.4</v>
      </c>
      <c r="J162" t="n">
        <v>0</v>
      </c>
      <c r="K162" t="n">
        <v>0</v>
      </c>
      <c r="L162" t="n">
        <v>0</v>
      </c>
      <c r="M162" t="n">
        <v>0</v>
      </c>
      <c r="N162" t="n">
        <v>0</v>
      </c>
      <c r="O162" t="n">
        <v>0</v>
      </c>
      <c r="P162" t="n">
        <v>0</v>
      </c>
      <c r="Q162" t="n">
        <v>0</v>
      </c>
      <c r="R162" t="n">
        <v>0</v>
      </c>
      <c r="S162" t="n">
        <v>0</v>
      </c>
      <c r="T162" t="n">
        <v>0</v>
      </c>
      <c r="U162" t="n">
        <v>0</v>
      </c>
      <c r="V162" s="2" t="inlineStr"/>
    </row>
    <row r="163" ht="15" customHeight="1">
      <c r="A163" t="inlineStr">
        <is>
          <t>A 31430-2022</t>
        </is>
      </c>
      <c r="B163" t="inlineStr">
        <is>
          <t>avverkningsanmälan</t>
        </is>
      </c>
      <c r="C163" t="inlineStr">
        <is>
          <t>Föryngringsavverkning</t>
        </is>
      </c>
      <c r="D163" s="1" t="n">
        <v>44774</v>
      </c>
      <c r="E163" s="1" t="n">
        <v>46313</v>
      </c>
      <c r="F163" t="inlineStr">
        <is>
          <t>VÄRMLANDS LÄN</t>
        </is>
      </c>
      <c r="G163" t="inlineStr">
        <is>
          <t>SUNNE</t>
        </is>
      </c>
      <c r="I163" t="n">
        <v>0.7</v>
      </c>
      <c r="J163" t="n">
        <v>0</v>
      </c>
      <c r="K163" t="n">
        <v>0</v>
      </c>
      <c r="L163" t="n">
        <v>0</v>
      </c>
      <c r="M163" t="n">
        <v>0</v>
      </c>
      <c r="N163" t="n">
        <v>0</v>
      </c>
      <c r="O163" t="n">
        <v>0</v>
      </c>
      <c r="P163" t="n">
        <v>0</v>
      </c>
      <c r="Q163" t="n">
        <v>0</v>
      </c>
      <c r="R163" t="n">
        <v>0</v>
      </c>
      <c r="S163" t="n">
        <v>0</v>
      </c>
      <c r="T163" t="n">
        <v>0</v>
      </c>
      <c r="U163" t="n">
        <v>0</v>
      </c>
      <c r="V163" s="2" t="inlineStr"/>
    </row>
    <row r="164" ht="15" customHeight="1">
      <c r="A164" t="inlineStr">
        <is>
          <t>A 11424-2022</t>
        </is>
      </c>
      <c r="B164" t="inlineStr">
        <is>
          <t>avverkningsanmälan</t>
        </is>
      </c>
      <c r="C164" t="inlineStr">
        <is>
          <t>Föryngringsavverkning</t>
        </is>
      </c>
      <c r="D164" s="1" t="n">
        <v>44630</v>
      </c>
      <c r="E164" s="1" t="n">
        <v>46313</v>
      </c>
      <c r="F164" t="inlineStr">
        <is>
          <t>VÄRMLANDS LÄN</t>
        </is>
      </c>
      <c r="G164" t="inlineStr">
        <is>
          <t>SUNNE</t>
        </is>
      </c>
      <c r="I164" t="n">
        <v>0.7</v>
      </c>
      <c r="J164" t="n">
        <v>0</v>
      </c>
      <c r="K164" t="n">
        <v>0</v>
      </c>
      <c r="L164" t="n">
        <v>0</v>
      </c>
      <c r="M164" t="n">
        <v>0</v>
      </c>
      <c r="N164" t="n">
        <v>0</v>
      </c>
      <c r="O164" t="n">
        <v>0</v>
      </c>
      <c r="P164" t="n">
        <v>0</v>
      </c>
      <c r="Q164" t="n">
        <v>0</v>
      </c>
      <c r="R164" t="n">
        <v>0</v>
      </c>
      <c r="S164" t="n">
        <v>0</v>
      </c>
      <c r="T164" t="n">
        <v>0</v>
      </c>
      <c r="U164" t="n">
        <v>0</v>
      </c>
      <c r="V164" s="2" t="inlineStr"/>
    </row>
    <row r="165" ht="15" customHeight="1">
      <c r="A165" t="inlineStr">
        <is>
          <t>A 28876-2022</t>
        </is>
      </c>
      <c r="B165" t="inlineStr">
        <is>
          <t>avverkningsanmälan</t>
        </is>
      </c>
      <c r="C165" t="inlineStr">
        <is>
          <t>Föryngringsavverkning</t>
        </is>
      </c>
      <c r="D165" s="1" t="n">
        <v>44749</v>
      </c>
      <c r="E165" s="1" t="n">
        <v>46313</v>
      </c>
      <c r="F165" t="inlineStr">
        <is>
          <t>VÄRMLANDS LÄN</t>
        </is>
      </c>
      <c r="G165" t="inlineStr">
        <is>
          <t>SUNNE</t>
        </is>
      </c>
      <c r="I165" t="n">
        <v>1.3</v>
      </c>
      <c r="J165" t="n">
        <v>0</v>
      </c>
      <c r="K165" t="n">
        <v>0</v>
      </c>
      <c r="L165" t="n">
        <v>0</v>
      </c>
      <c r="M165" t="n">
        <v>0</v>
      </c>
      <c r="N165" t="n">
        <v>0</v>
      </c>
      <c r="O165" t="n">
        <v>0</v>
      </c>
      <c r="P165" t="n">
        <v>0</v>
      </c>
      <c r="Q165" t="n">
        <v>0</v>
      </c>
      <c r="R165" t="n">
        <v>0</v>
      </c>
      <c r="S165" t="n">
        <v>0</v>
      </c>
      <c r="T165" t="n">
        <v>0</v>
      </c>
      <c r="U165" t="n">
        <v>0</v>
      </c>
      <c r="V165" s="2" t="inlineStr"/>
    </row>
    <row r="166" ht="15" customHeight="1">
      <c r="A166" t="inlineStr">
        <is>
          <t>A 7749-2025</t>
        </is>
      </c>
      <c r="B166" t="inlineStr">
        <is>
          <t>avverkningsanmälan</t>
        </is>
      </c>
      <c r="C166" t="inlineStr">
        <is>
          <t>Föryngringsavverkning</t>
        </is>
      </c>
      <c r="D166" s="1" t="n">
        <v>45706</v>
      </c>
      <c r="E166" s="1" t="n">
        <v>46313</v>
      </c>
      <c r="F166" t="inlineStr">
        <is>
          <t>VÄRMLANDS LÄN</t>
        </is>
      </c>
      <c r="G166" t="inlineStr">
        <is>
          <t>SUNNE</t>
        </is>
      </c>
      <c r="I166" t="n">
        <v>0.6</v>
      </c>
      <c r="J166" t="n">
        <v>0</v>
      </c>
      <c r="K166" t="n">
        <v>0</v>
      </c>
      <c r="L166" t="n">
        <v>0</v>
      </c>
      <c r="M166" t="n">
        <v>0</v>
      </c>
      <c r="N166" t="n">
        <v>0</v>
      </c>
      <c r="O166" t="n">
        <v>0</v>
      </c>
      <c r="P166" t="n">
        <v>0</v>
      </c>
      <c r="Q166" t="n">
        <v>0</v>
      </c>
      <c r="R166" t="n">
        <v>0</v>
      </c>
      <c r="S166" t="n">
        <v>0</v>
      </c>
      <c r="T166" t="n">
        <v>0</v>
      </c>
      <c r="U166" t="n">
        <v>0</v>
      </c>
      <c r="V166" s="2" t="inlineStr"/>
    </row>
    <row r="167" ht="15" customHeight="1">
      <c r="A167" t="inlineStr">
        <is>
          <t>A 40485-2022</t>
        </is>
      </c>
      <c r="B167" t="inlineStr">
        <is>
          <t>avverkningsanmälan</t>
        </is>
      </c>
      <c r="C167" t="inlineStr">
        <is>
          <t>Föryngringsavverkning</t>
        </is>
      </c>
      <c r="D167" s="1" t="n">
        <v>44823</v>
      </c>
      <c r="E167" s="1" t="n">
        <v>46313</v>
      </c>
      <c r="F167" t="inlineStr">
        <is>
          <t>VÄRMLANDS LÄN</t>
        </is>
      </c>
      <c r="G167" t="inlineStr">
        <is>
          <t>SUNNE</t>
        </is>
      </c>
      <c r="I167" t="n">
        <v>2</v>
      </c>
      <c r="J167" t="n">
        <v>0</v>
      </c>
      <c r="K167" t="n">
        <v>0</v>
      </c>
      <c r="L167" t="n">
        <v>0</v>
      </c>
      <c r="M167" t="n">
        <v>0</v>
      </c>
      <c r="N167" t="n">
        <v>0</v>
      </c>
      <c r="O167" t="n">
        <v>0</v>
      </c>
      <c r="P167" t="n">
        <v>0</v>
      </c>
      <c r="Q167" t="n">
        <v>0</v>
      </c>
      <c r="R167" t="n">
        <v>0</v>
      </c>
      <c r="S167" t="n">
        <v>0</v>
      </c>
      <c r="T167" t="n">
        <v>0</v>
      </c>
      <c r="U167" t="n">
        <v>0</v>
      </c>
      <c r="V167" s="2" t="inlineStr"/>
    </row>
    <row r="168" ht="15" customHeight="1">
      <c r="A168" t="inlineStr">
        <is>
          <t>A 63090-2023</t>
        </is>
      </c>
      <c r="B168" t="inlineStr">
        <is>
          <t>avverkningsanmälan</t>
        </is>
      </c>
      <c r="C168" t="inlineStr">
        <is>
          <t>Föryngringsavverkning</t>
        </is>
      </c>
      <c r="D168" s="1" t="n">
        <v>45273</v>
      </c>
      <c r="E168" s="1" t="n">
        <v>46313</v>
      </c>
      <c r="F168" t="inlineStr">
        <is>
          <t>VÄRMLANDS LÄN</t>
        </is>
      </c>
      <c r="G168" t="inlineStr">
        <is>
          <t>SUNNE</t>
        </is>
      </c>
      <c r="I168" t="n">
        <v>4.5</v>
      </c>
      <c r="J168" t="n">
        <v>0</v>
      </c>
      <c r="K168" t="n">
        <v>0</v>
      </c>
      <c r="L168" t="n">
        <v>0</v>
      </c>
      <c r="M168" t="n">
        <v>0</v>
      </c>
      <c r="N168" t="n">
        <v>0</v>
      </c>
      <c r="O168" t="n">
        <v>0</v>
      </c>
      <c r="P168" t="n">
        <v>0</v>
      </c>
      <c r="Q168" t="n">
        <v>0</v>
      </c>
      <c r="R168" t="n">
        <v>0</v>
      </c>
      <c r="S168" t="n">
        <v>0</v>
      </c>
      <c r="T168" t="n">
        <v>0</v>
      </c>
      <c r="U168" t="n">
        <v>0</v>
      </c>
      <c r="V168" s="2" t="inlineStr"/>
    </row>
    <row r="169" ht="15" customHeight="1">
      <c r="A169" t="inlineStr">
        <is>
          <t>A 48853-2022</t>
        </is>
      </c>
      <c r="B169" t="inlineStr">
        <is>
          <t>avverkningsanmälan</t>
        </is>
      </c>
      <c r="C169" t="inlineStr">
        <is>
          <t>Föryngringsavverkning</t>
        </is>
      </c>
      <c r="D169" s="1" t="n">
        <v>44859</v>
      </c>
      <c r="E169" s="1" t="n">
        <v>46313</v>
      </c>
      <c r="F169" t="inlineStr">
        <is>
          <t>VÄRMLANDS LÄN</t>
        </is>
      </c>
      <c r="G169" t="inlineStr">
        <is>
          <t>SUNNE</t>
        </is>
      </c>
      <c r="I169" t="n">
        <v>1.1</v>
      </c>
      <c r="J169" t="n">
        <v>0</v>
      </c>
      <c r="K169" t="n">
        <v>0</v>
      </c>
      <c r="L169" t="n">
        <v>0</v>
      </c>
      <c r="M169" t="n">
        <v>0</v>
      </c>
      <c r="N169" t="n">
        <v>0</v>
      </c>
      <c r="O169" t="n">
        <v>0</v>
      </c>
      <c r="P169" t="n">
        <v>0</v>
      </c>
      <c r="Q169" t="n">
        <v>0</v>
      </c>
      <c r="R169" t="n">
        <v>0</v>
      </c>
      <c r="S169" t="n">
        <v>0</v>
      </c>
      <c r="T169" t="n">
        <v>0</v>
      </c>
      <c r="U169" t="n">
        <v>0</v>
      </c>
      <c r="V169" s="2" t="inlineStr"/>
    </row>
    <row r="170" ht="15" customHeight="1">
      <c r="A170" t="inlineStr">
        <is>
          <t>A 10232-2024</t>
        </is>
      </c>
      <c r="B170" t="inlineStr">
        <is>
          <t>avverkningsanmälan</t>
        </is>
      </c>
      <c r="C170" t="inlineStr">
        <is>
          <t>Föryngringsavverkning</t>
        </is>
      </c>
      <c r="D170" s="1" t="n">
        <v>45365</v>
      </c>
      <c r="E170" s="1" t="n">
        <v>46313</v>
      </c>
      <c r="F170" t="inlineStr">
        <is>
          <t>VÄRMLANDS LÄN</t>
        </is>
      </c>
      <c r="G170" t="inlineStr">
        <is>
          <t>SUNNE</t>
        </is>
      </c>
      <c r="I170" t="n">
        <v>1.9</v>
      </c>
      <c r="J170" t="n">
        <v>0</v>
      </c>
      <c r="K170" t="n">
        <v>0</v>
      </c>
      <c r="L170" t="n">
        <v>0</v>
      </c>
      <c r="M170" t="n">
        <v>0</v>
      </c>
      <c r="N170" t="n">
        <v>0</v>
      </c>
      <c r="O170" t="n">
        <v>0</v>
      </c>
      <c r="P170" t="n">
        <v>0</v>
      </c>
      <c r="Q170" t="n">
        <v>0</v>
      </c>
      <c r="R170" t="n">
        <v>0</v>
      </c>
      <c r="S170" t="n">
        <v>0</v>
      </c>
      <c r="T170" t="n">
        <v>0</v>
      </c>
      <c r="U170" t="n">
        <v>0</v>
      </c>
      <c r="V170" s="2" t="inlineStr"/>
    </row>
    <row r="171" ht="15" customHeight="1">
      <c r="A171" t="inlineStr">
        <is>
          <t>A 14050-2025</t>
        </is>
      </c>
      <c r="B171" t="inlineStr">
        <is>
          <t>avverkningsanmälan</t>
        </is>
      </c>
      <c r="C171" t="inlineStr">
        <is>
          <t>Föryngringsavverkning</t>
        </is>
      </c>
      <c r="D171" s="1" t="n">
        <v>45738</v>
      </c>
      <c r="E171" s="1" t="n">
        <v>46313</v>
      </c>
      <c r="F171" t="inlineStr">
        <is>
          <t>VÄRMLANDS LÄN</t>
        </is>
      </c>
      <c r="G171" t="inlineStr">
        <is>
          <t>SUNNE</t>
        </is>
      </c>
      <c r="I171" t="n">
        <v>1.4</v>
      </c>
      <c r="J171" t="n">
        <v>0</v>
      </c>
      <c r="K171" t="n">
        <v>0</v>
      </c>
      <c r="L171" t="n">
        <v>0</v>
      </c>
      <c r="M171" t="n">
        <v>0</v>
      </c>
      <c r="N171" t="n">
        <v>0</v>
      </c>
      <c r="O171" t="n">
        <v>0</v>
      </c>
      <c r="P171" t="n">
        <v>0</v>
      </c>
      <c r="Q171" t="n">
        <v>0</v>
      </c>
      <c r="R171" t="n">
        <v>0</v>
      </c>
      <c r="S171" t="n">
        <v>0</v>
      </c>
      <c r="T171" t="n">
        <v>0</v>
      </c>
      <c r="U171" t="n">
        <v>0</v>
      </c>
      <c r="V171" s="2" t="inlineStr"/>
    </row>
    <row r="172" ht="15" customHeight="1">
      <c r="A172" t="inlineStr">
        <is>
          <t>A 7051-2023</t>
        </is>
      </c>
      <c r="B172" t="inlineStr">
        <is>
          <t>avverkningsanmälan</t>
        </is>
      </c>
      <c r="C172" t="inlineStr">
        <is>
          <t>Föryngringsavverkning</t>
        </is>
      </c>
      <c r="D172" s="1" t="n">
        <v>44969</v>
      </c>
      <c r="E172" s="1" t="n">
        <v>46313</v>
      </c>
      <c r="F172" t="inlineStr">
        <is>
          <t>VÄRMLANDS LÄN</t>
        </is>
      </c>
      <c r="G172" t="inlineStr">
        <is>
          <t>SUNNE</t>
        </is>
      </c>
      <c r="I172" t="n">
        <v>6.3</v>
      </c>
      <c r="J172" t="n">
        <v>0</v>
      </c>
      <c r="K172" t="n">
        <v>0</v>
      </c>
      <c r="L172" t="n">
        <v>0</v>
      </c>
      <c r="M172" t="n">
        <v>0</v>
      </c>
      <c r="N172" t="n">
        <v>0</v>
      </c>
      <c r="O172" t="n">
        <v>0</v>
      </c>
      <c r="P172" t="n">
        <v>0</v>
      </c>
      <c r="Q172" t="n">
        <v>0</v>
      </c>
      <c r="R172" t="n">
        <v>0</v>
      </c>
      <c r="S172" t="n">
        <v>0</v>
      </c>
      <c r="T172" t="n">
        <v>0</v>
      </c>
      <c r="U172" t="n">
        <v>0</v>
      </c>
      <c r="V172" s="2" t="inlineStr"/>
    </row>
    <row r="173" ht="15" customHeight="1">
      <c r="A173" t="inlineStr">
        <is>
          <t>A 7052-2023</t>
        </is>
      </c>
      <c r="B173" t="inlineStr">
        <is>
          <t>avverkningsanmälan</t>
        </is>
      </c>
      <c r="C173" t="inlineStr">
        <is>
          <t>Föryngringsavverkning</t>
        </is>
      </c>
      <c r="D173" s="1" t="n">
        <v>44969</v>
      </c>
      <c r="E173" s="1" t="n">
        <v>46313</v>
      </c>
      <c r="F173" t="inlineStr">
        <is>
          <t>VÄRMLANDS LÄN</t>
        </is>
      </c>
      <c r="G173" t="inlineStr">
        <is>
          <t>SUNNE</t>
        </is>
      </c>
      <c r="I173" t="n">
        <v>1.6</v>
      </c>
      <c r="J173" t="n">
        <v>0</v>
      </c>
      <c r="K173" t="n">
        <v>0</v>
      </c>
      <c r="L173" t="n">
        <v>0</v>
      </c>
      <c r="M173" t="n">
        <v>0</v>
      </c>
      <c r="N173" t="n">
        <v>0</v>
      </c>
      <c r="O173" t="n">
        <v>0</v>
      </c>
      <c r="P173" t="n">
        <v>0</v>
      </c>
      <c r="Q173" t="n">
        <v>0</v>
      </c>
      <c r="R173" t="n">
        <v>0</v>
      </c>
      <c r="S173" t="n">
        <v>0</v>
      </c>
      <c r="T173" t="n">
        <v>0</v>
      </c>
      <c r="U173" t="n">
        <v>0</v>
      </c>
      <c r="V173" s="2" t="inlineStr"/>
    </row>
    <row r="174" ht="15" customHeight="1">
      <c r="A174" t="inlineStr">
        <is>
          <t>A 46683-2022</t>
        </is>
      </c>
      <c r="B174" t="inlineStr">
        <is>
          <t>avverkningsanmälan</t>
        </is>
      </c>
      <c r="C174" t="inlineStr">
        <is>
          <t>Föryngringsavverkning</t>
        </is>
      </c>
      <c r="D174" s="1" t="n">
        <v>44851</v>
      </c>
      <c r="E174" s="1" t="n">
        <v>46313</v>
      </c>
      <c r="F174" t="inlineStr">
        <is>
          <t>VÄRMLANDS LÄN</t>
        </is>
      </c>
      <c r="G174" t="inlineStr">
        <is>
          <t>SUNNE</t>
        </is>
      </c>
      <c r="I174" t="n">
        <v>0.9</v>
      </c>
      <c r="J174" t="n">
        <v>0</v>
      </c>
      <c r="K174" t="n">
        <v>0</v>
      </c>
      <c r="L174" t="n">
        <v>0</v>
      </c>
      <c r="M174" t="n">
        <v>0</v>
      </c>
      <c r="N174" t="n">
        <v>0</v>
      </c>
      <c r="O174" t="n">
        <v>0</v>
      </c>
      <c r="P174" t="n">
        <v>0</v>
      </c>
      <c r="Q174" t="n">
        <v>0</v>
      </c>
      <c r="R174" t="n">
        <v>0</v>
      </c>
      <c r="S174" t="n">
        <v>0</v>
      </c>
      <c r="T174" t="n">
        <v>0</v>
      </c>
      <c r="U174" t="n">
        <v>0</v>
      </c>
      <c r="V174" s="2" t="inlineStr"/>
    </row>
    <row r="175" ht="15" customHeight="1">
      <c r="A175" t="inlineStr">
        <is>
          <t>A 20435-2024</t>
        </is>
      </c>
      <c r="B175" t="inlineStr">
        <is>
          <t>avverkningsanmälan</t>
        </is>
      </c>
      <c r="C175" t="inlineStr">
        <is>
          <t>Föryngringsavverkning</t>
        </is>
      </c>
      <c r="D175" s="1" t="n">
        <v>45435</v>
      </c>
      <c r="E175" s="1" t="n">
        <v>46313</v>
      </c>
      <c r="F175" t="inlineStr">
        <is>
          <t>VÄRMLANDS LÄN</t>
        </is>
      </c>
      <c r="G175" t="inlineStr">
        <is>
          <t>SUNNE</t>
        </is>
      </c>
      <c r="I175" t="n">
        <v>11.9</v>
      </c>
      <c r="J175" t="n">
        <v>0</v>
      </c>
      <c r="K175" t="n">
        <v>0</v>
      </c>
      <c r="L175" t="n">
        <v>0</v>
      </c>
      <c r="M175" t="n">
        <v>0</v>
      </c>
      <c r="N175" t="n">
        <v>0</v>
      </c>
      <c r="O175" t="n">
        <v>0</v>
      </c>
      <c r="P175" t="n">
        <v>0</v>
      </c>
      <c r="Q175" t="n">
        <v>0</v>
      </c>
      <c r="R175" t="n">
        <v>0</v>
      </c>
      <c r="S175" t="n">
        <v>0</v>
      </c>
      <c r="T175" t="n">
        <v>0</v>
      </c>
      <c r="U175" t="n">
        <v>0</v>
      </c>
      <c r="V175" s="2" t="inlineStr"/>
    </row>
    <row r="176" ht="15" customHeight="1">
      <c r="A176" t="inlineStr">
        <is>
          <t>A 50872-2024</t>
        </is>
      </c>
      <c r="B176" t="inlineStr">
        <is>
          <t>avverkningsanmälan</t>
        </is>
      </c>
      <c r="C176" t="inlineStr">
        <is>
          <t>Föryngringsavverkning</t>
        </is>
      </c>
      <c r="D176" s="1" t="n">
        <v>45602</v>
      </c>
      <c r="E176" s="1" t="n">
        <v>46313</v>
      </c>
      <c r="F176" t="inlineStr">
        <is>
          <t>VÄRMLANDS LÄN</t>
        </is>
      </c>
      <c r="G176" t="inlineStr">
        <is>
          <t>SUNNE</t>
        </is>
      </c>
      <c r="I176" t="n">
        <v>1.6</v>
      </c>
      <c r="J176" t="n">
        <v>0</v>
      </c>
      <c r="K176" t="n">
        <v>0</v>
      </c>
      <c r="L176" t="n">
        <v>0</v>
      </c>
      <c r="M176" t="n">
        <v>0</v>
      </c>
      <c r="N176" t="n">
        <v>0</v>
      </c>
      <c r="O176" t="n">
        <v>0</v>
      </c>
      <c r="P176" t="n">
        <v>0</v>
      </c>
      <c r="Q176" t="n">
        <v>0</v>
      </c>
      <c r="R176" t="n">
        <v>0</v>
      </c>
      <c r="S176" t="n">
        <v>0</v>
      </c>
      <c r="T176" t="n">
        <v>0</v>
      </c>
      <c r="U176" t="n">
        <v>0</v>
      </c>
      <c r="V176" s="2" t="inlineStr"/>
    </row>
    <row r="177" ht="15" customHeight="1">
      <c r="A177" t="inlineStr">
        <is>
          <t>A 15453-2024</t>
        </is>
      </c>
      <c r="B177" t="inlineStr">
        <is>
          <t>avverkningsanmälan</t>
        </is>
      </c>
      <c r="C177" t="inlineStr">
        <is>
          <t>Föryngringsavverkning</t>
        </is>
      </c>
      <c r="D177" s="1" t="n">
        <v>45401</v>
      </c>
      <c r="E177" s="1" t="n">
        <v>46313</v>
      </c>
      <c r="F177" t="inlineStr">
        <is>
          <t>VÄRMLANDS LÄN</t>
        </is>
      </c>
      <c r="G177" t="inlineStr">
        <is>
          <t>SUNNE</t>
        </is>
      </c>
      <c r="I177" t="n">
        <v>1.4</v>
      </c>
      <c r="J177" t="n">
        <v>0</v>
      </c>
      <c r="K177" t="n">
        <v>0</v>
      </c>
      <c r="L177" t="n">
        <v>0</v>
      </c>
      <c r="M177" t="n">
        <v>0</v>
      </c>
      <c r="N177" t="n">
        <v>0</v>
      </c>
      <c r="O177" t="n">
        <v>0</v>
      </c>
      <c r="P177" t="n">
        <v>0</v>
      </c>
      <c r="Q177" t="n">
        <v>0</v>
      </c>
      <c r="R177" t="n">
        <v>0</v>
      </c>
      <c r="S177" t="n">
        <v>0</v>
      </c>
      <c r="T177" t="n">
        <v>0</v>
      </c>
      <c r="U177" t="n">
        <v>0</v>
      </c>
      <c r="V177" s="2" t="inlineStr"/>
    </row>
    <row r="178" ht="15" customHeight="1">
      <c r="A178" t="inlineStr">
        <is>
          <t>A 48052-2023</t>
        </is>
      </c>
      <c r="B178" t="inlineStr">
        <is>
          <t>avverkningsanmälan</t>
        </is>
      </c>
      <c r="C178" t="inlineStr">
        <is>
          <t>Föryngringsavverkning</t>
        </is>
      </c>
      <c r="D178" s="1" t="n">
        <v>45204</v>
      </c>
      <c r="E178" s="1" t="n">
        <v>46313</v>
      </c>
      <c r="F178" t="inlineStr">
        <is>
          <t>VÄRMLANDS LÄN</t>
        </is>
      </c>
      <c r="G178" t="inlineStr">
        <is>
          <t>SUNNE</t>
        </is>
      </c>
      <c r="I178" t="n">
        <v>11.9</v>
      </c>
      <c r="J178" t="n">
        <v>0</v>
      </c>
      <c r="K178" t="n">
        <v>0</v>
      </c>
      <c r="L178" t="n">
        <v>0</v>
      </c>
      <c r="M178" t="n">
        <v>0</v>
      </c>
      <c r="N178" t="n">
        <v>0</v>
      </c>
      <c r="O178" t="n">
        <v>0</v>
      </c>
      <c r="P178" t="n">
        <v>0</v>
      </c>
      <c r="Q178" t="n">
        <v>0</v>
      </c>
      <c r="R178" t="n">
        <v>0</v>
      </c>
      <c r="S178" t="n">
        <v>0</v>
      </c>
      <c r="T178" t="n">
        <v>0</v>
      </c>
      <c r="U178" t="n">
        <v>0</v>
      </c>
      <c r="V178" s="2" t="inlineStr"/>
    </row>
    <row r="179" ht="15" customHeight="1">
      <c r="A179" t="inlineStr">
        <is>
          <t>A 44433-2023</t>
        </is>
      </c>
      <c r="B179" t="inlineStr">
        <is>
          <t>avverkningsanmälan</t>
        </is>
      </c>
      <c r="C179" t="inlineStr">
        <is>
          <t>Föryngringsavverkning</t>
        </is>
      </c>
      <c r="D179" s="1" t="n">
        <v>45183</v>
      </c>
      <c r="E179" s="1" t="n">
        <v>46313</v>
      </c>
      <c r="F179" t="inlineStr">
        <is>
          <t>VÄRMLANDS LÄN</t>
        </is>
      </c>
      <c r="G179" t="inlineStr">
        <is>
          <t>SUNNE</t>
        </is>
      </c>
      <c r="I179" t="n">
        <v>0.9</v>
      </c>
      <c r="J179" t="n">
        <v>0</v>
      </c>
      <c r="K179" t="n">
        <v>0</v>
      </c>
      <c r="L179" t="n">
        <v>0</v>
      </c>
      <c r="M179" t="n">
        <v>0</v>
      </c>
      <c r="N179" t="n">
        <v>0</v>
      </c>
      <c r="O179" t="n">
        <v>0</v>
      </c>
      <c r="P179" t="n">
        <v>0</v>
      </c>
      <c r="Q179" t="n">
        <v>0</v>
      </c>
      <c r="R179" t="n">
        <v>0</v>
      </c>
      <c r="S179" t="n">
        <v>0</v>
      </c>
      <c r="T179" t="n">
        <v>0</v>
      </c>
      <c r="U179" t="n">
        <v>0</v>
      </c>
      <c r="V179" s="2" t="inlineStr"/>
    </row>
    <row r="180" ht="15" customHeight="1">
      <c r="A180" t="inlineStr">
        <is>
          <t>A 32093-2022</t>
        </is>
      </c>
      <c r="B180" t="inlineStr">
        <is>
          <t>avverkningsanmälan</t>
        </is>
      </c>
      <c r="C180" t="inlineStr">
        <is>
          <t>Föryngringsavverkning</t>
        </is>
      </c>
      <c r="D180" s="1" t="n">
        <v>44778</v>
      </c>
      <c r="E180" s="1" t="n">
        <v>46313</v>
      </c>
      <c r="F180" t="inlineStr">
        <is>
          <t>VÄRMLANDS LÄN</t>
        </is>
      </c>
      <c r="G180" t="inlineStr">
        <is>
          <t>SUNNE</t>
        </is>
      </c>
      <c r="I180" t="n">
        <v>8.5</v>
      </c>
      <c r="J180" t="n">
        <v>0</v>
      </c>
      <c r="K180" t="n">
        <v>0</v>
      </c>
      <c r="L180" t="n">
        <v>0</v>
      </c>
      <c r="M180" t="n">
        <v>0</v>
      </c>
      <c r="N180" t="n">
        <v>0</v>
      </c>
      <c r="O180" t="n">
        <v>0</v>
      </c>
      <c r="P180" t="n">
        <v>0</v>
      </c>
      <c r="Q180" t="n">
        <v>0</v>
      </c>
      <c r="R180" t="n">
        <v>0</v>
      </c>
      <c r="S180" t="n">
        <v>0</v>
      </c>
      <c r="T180" t="n">
        <v>0</v>
      </c>
      <c r="U180" t="n">
        <v>0</v>
      </c>
      <c r="V180" s="2" t="inlineStr"/>
    </row>
    <row r="181" ht="15" customHeight="1">
      <c r="A181" t="inlineStr">
        <is>
          <t>A 40714-2022</t>
        </is>
      </c>
      <c r="B181" t="inlineStr">
        <is>
          <t>avverkningsanmälan</t>
        </is>
      </c>
      <c r="C181" t="inlineStr">
        <is>
          <t>Föryngringsavverkning</t>
        </is>
      </c>
      <c r="D181" s="1" t="n">
        <v>44824</v>
      </c>
      <c r="E181" s="1" t="n">
        <v>46313</v>
      </c>
      <c r="F181" t="inlineStr">
        <is>
          <t>VÄRMLANDS LÄN</t>
        </is>
      </c>
      <c r="G181" t="inlineStr">
        <is>
          <t>SUNNE</t>
        </is>
      </c>
      <c r="I181" t="n">
        <v>7.3</v>
      </c>
      <c r="J181" t="n">
        <v>0</v>
      </c>
      <c r="K181" t="n">
        <v>0</v>
      </c>
      <c r="L181" t="n">
        <v>0</v>
      </c>
      <c r="M181" t="n">
        <v>0</v>
      </c>
      <c r="N181" t="n">
        <v>0</v>
      </c>
      <c r="O181" t="n">
        <v>0</v>
      </c>
      <c r="P181" t="n">
        <v>0</v>
      </c>
      <c r="Q181" t="n">
        <v>0</v>
      </c>
      <c r="R181" t="n">
        <v>0</v>
      </c>
      <c r="S181" t="n">
        <v>0</v>
      </c>
      <c r="T181" t="n">
        <v>0</v>
      </c>
      <c r="U181" t="n">
        <v>0</v>
      </c>
      <c r="V181" s="2" t="inlineStr"/>
    </row>
    <row r="182" ht="15" customHeight="1">
      <c r="A182" t="inlineStr">
        <is>
          <t>A 46138-2023</t>
        </is>
      </c>
      <c r="B182" t="inlineStr">
        <is>
          <t>avverkningsanmälan</t>
        </is>
      </c>
      <c r="C182" t="inlineStr">
        <is>
          <t>Föryngringsavverkning</t>
        </is>
      </c>
      <c r="D182" s="1" t="n">
        <v>45196</v>
      </c>
      <c r="E182" s="1" t="n">
        <v>46313</v>
      </c>
      <c r="F182" t="inlineStr">
        <is>
          <t>VÄRMLANDS LÄN</t>
        </is>
      </c>
      <c r="G182" t="inlineStr">
        <is>
          <t>SUNNE</t>
        </is>
      </c>
      <c r="I182" t="n">
        <v>0.6</v>
      </c>
      <c r="J182" t="n">
        <v>0</v>
      </c>
      <c r="K182" t="n">
        <v>0</v>
      </c>
      <c r="L182" t="n">
        <v>0</v>
      </c>
      <c r="M182" t="n">
        <v>0</v>
      </c>
      <c r="N182" t="n">
        <v>0</v>
      </c>
      <c r="O182" t="n">
        <v>0</v>
      </c>
      <c r="P182" t="n">
        <v>0</v>
      </c>
      <c r="Q182" t="n">
        <v>0</v>
      </c>
      <c r="R182" t="n">
        <v>0</v>
      </c>
      <c r="S182" t="n">
        <v>0</v>
      </c>
      <c r="T182" t="n">
        <v>0</v>
      </c>
      <c r="U182" t="n">
        <v>0</v>
      </c>
      <c r="V182" s="2" t="inlineStr"/>
    </row>
    <row r="183" ht="15" customHeight="1">
      <c r="A183" t="inlineStr">
        <is>
          <t>A 29958-2024</t>
        </is>
      </c>
      <c r="B183" t="inlineStr">
        <is>
          <t>avverkningsanmälan</t>
        </is>
      </c>
      <c r="C183" t="inlineStr">
        <is>
          <t>Föryngringsavverkning</t>
        </is>
      </c>
      <c r="D183" s="1" t="n">
        <v>45488</v>
      </c>
      <c r="E183" s="1" t="n">
        <v>46313</v>
      </c>
      <c r="F183" t="inlineStr">
        <is>
          <t>VÄRMLANDS LÄN</t>
        </is>
      </c>
      <c r="G183" t="inlineStr">
        <is>
          <t>SUNNE</t>
        </is>
      </c>
      <c r="I183" t="n">
        <v>0.9</v>
      </c>
      <c r="J183" t="n">
        <v>0</v>
      </c>
      <c r="K183" t="n">
        <v>0</v>
      </c>
      <c r="L183" t="n">
        <v>0</v>
      </c>
      <c r="M183" t="n">
        <v>0</v>
      </c>
      <c r="N183" t="n">
        <v>0</v>
      </c>
      <c r="O183" t="n">
        <v>0</v>
      </c>
      <c r="P183" t="n">
        <v>0</v>
      </c>
      <c r="Q183" t="n">
        <v>0</v>
      </c>
      <c r="R183" t="n">
        <v>0</v>
      </c>
      <c r="S183" t="n">
        <v>0</v>
      </c>
      <c r="T183" t="n">
        <v>0</v>
      </c>
      <c r="U183" t="n">
        <v>0</v>
      </c>
      <c r="V183" s="2" t="inlineStr"/>
    </row>
    <row r="184" ht="15" customHeight="1">
      <c r="A184" t="inlineStr">
        <is>
          <t>A 16403-2024</t>
        </is>
      </c>
      <c r="B184" t="inlineStr">
        <is>
          <t>avverkningsanmälan</t>
        </is>
      </c>
      <c r="C184" t="inlineStr">
        <is>
          <t>Föryngringsavverkning</t>
        </is>
      </c>
      <c r="D184" s="1" t="n">
        <v>45407</v>
      </c>
      <c r="E184" s="1" t="n">
        <v>46313</v>
      </c>
      <c r="F184" t="inlineStr">
        <is>
          <t>VÄRMLANDS LÄN</t>
        </is>
      </c>
      <c r="G184" t="inlineStr">
        <is>
          <t>SUNNE</t>
        </is>
      </c>
      <c r="H184" t="inlineStr">
        <is>
          <t>Bergvik skog väst AB</t>
        </is>
      </c>
      <c r="I184" t="n">
        <v>0.6</v>
      </c>
      <c r="J184" t="n">
        <v>0</v>
      </c>
      <c r="K184" t="n">
        <v>0</v>
      </c>
      <c r="L184" t="n">
        <v>0</v>
      </c>
      <c r="M184" t="n">
        <v>0</v>
      </c>
      <c r="N184" t="n">
        <v>0</v>
      </c>
      <c r="O184" t="n">
        <v>0</v>
      </c>
      <c r="P184" t="n">
        <v>0</v>
      </c>
      <c r="Q184" t="n">
        <v>0</v>
      </c>
      <c r="R184" t="n">
        <v>0</v>
      </c>
      <c r="S184" t="n">
        <v>0</v>
      </c>
      <c r="T184" t="n">
        <v>0</v>
      </c>
      <c r="U184" t="n">
        <v>0</v>
      </c>
      <c r="V184" s="2" t="inlineStr"/>
    </row>
    <row r="185" ht="15" customHeight="1">
      <c r="A185" t="inlineStr">
        <is>
          <t>A 17031-2022</t>
        </is>
      </c>
      <c r="B185" t="inlineStr">
        <is>
          <t>avverkningsanmälan</t>
        </is>
      </c>
      <c r="C185" t="inlineStr">
        <is>
          <t>Avverkning för annat ändamål</t>
        </is>
      </c>
      <c r="D185" s="1" t="n">
        <v>44676</v>
      </c>
      <c r="E185" s="1" t="n">
        <v>46313</v>
      </c>
      <c r="F185" t="inlineStr">
        <is>
          <t>VÄRMLANDS LÄN</t>
        </is>
      </c>
      <c r="G185" t="inlineStr">
        <is>
          <t>SUNNE</t>
        </is>
      </c>
      <c r="I185" t="n">
        <v>1.7</v>
      </c>
      <c r="J185" t="n">
        <v>0</v>
      </c>
      <c r="K185" t="n">
        <v>0</v>
      </c>
      <c r="L185" t="n">
        <v>0</v>
      </c>
      <c r="M185" t="n">
        <v>0</v>
      </c>
      <c r="N185" t="n">
        <v>0</v>
      </c>
      <c r="O185" t="n">
        <v>0</v>
      </c>
      <c r="P185" t="n">
        <v>0</v>
      </c>
      <c r="Q185" t="n">
        <v>0</v>
      </c>
      <c r="R185" t="n">
        <v>0</v>
      </c>
      <c r="S185" t="n">
        <v>0</v>
      </c>
      <c r="T185" t="n">
        <v>0</v>
      </c>
      <c r="U185" t="n">
        <v>0</v>
      </c>
      <c r="V185" s="2" t="inlineStr"/>
    </row>
    <row r="186" ht="15" customHeight="1">
      <c r="A186" t="inlineStr">
        <is>
          <t>A 73050-2021</t>
        </is>
      </c>
      <c r="B186" t="inlineStr">
        <is>
          <t>avverkningsanmälan</t>
        </is>
      </c>
      <c r="C186" t="inlineStr">
        <is>
          <t>Föryngringsavverkning</t>
        </is>
      </c>
      <c r="D186" s="1" t="n">
        <v>44550</v>
      </c>
      <c r="E186" s="1" t="n">
        <v>46313</v>
      </c>
      <c r="F186" t="inlineStr">
        <is>
          <t>VÄRMLANDS LÄN</t>
        </is>
      </c>
      <c r="G186" t="inlineStr">
        <is>
          <t>SUNNE</t>
        </is>
      </c>
      <c r="I186" t="n">
        <v>1.4</v>
      </c>
      <c r="J186" t="n">
        <v>0</v>
      </c>
      <c r="K186" t="n">
        <v>0</v>
      </c>
      <c r="L186" t="n">
        <v>0</v>
      </c>
      <c r="M186" t="n">
        <v>0</v>
      </c>
      <c r="N186" t="n">
        <v>0</v>
      </c>
      <c r="O186" t="n">
        <v>0</v>
      </c>
      <c r="P186" t="n">
        <v>0</v>
      </c>
      <c r="Q186" t="n">
        <v>0</v>
      </c>
      <c r="R186" t="n">
        <v>0</v>
      </c>
      <c r="S186" t="n">
        <v>0</v>
      </c>
      <c r="T186" t="n">
        <v>0</v>
      </c>
      <c r="U186" t="n">
        <v>0</v>
      </c>
      <c r="V186" s="2" t="inlineStr"/>
    </row>
    <row r="187" ht="15" customHeight="1">
      <c r="A187" t="inlineStr">
        <is>
          <t>A 13198-2023</t>
        </is>
      </c>
      <c r="B187" t="inlineStr">
        <is>
          <t>avverkningsanmälan</t>
        </is>
      </c>
      <c r="C187" t="inlineStr">
        <is>
          <t>Föryngringsavverkning</t>
        </is>
      </c>
      <c r="D187" s="1" t="n">
        <v>45002</v>
      </c>
      <c r="E187" s="1" t="n">
        <v>46313</v>
      </c>
      <c r="F187" t="inlineStr">
        <is>
          <t>VÄRMLANDS LÄN</t>
        </is>
      </c>
      <c r="G187" t="inlineStr">
        <is>
          <t>SUNNE</t>
        </is>
      </c>
      <c r="I187" t="n">
        <v>0.9</v>
      </c>
      <c r="J187" t="n">
        <v>0</v>
      </c>
      <c r="K187" t="n">
        <v>0</v>
      </c>
      <c r="L187" t="n">
        <v>0</v>
      </c>
      <c r="M187" t="n">
        <v>0</v>
      </c>
      <c r="N187" t="n">
        <v>0</v>
      </c>
      <c r="O187" t="n">
        <v>0</v>
      </c>
      <c r="P187" t="n">
        <v>0</v>
      </c>
      <c r="Q187" t="n">
        <v>0</v>
      </c>
      <c r="R187" t="n">
        <v>0</v>
      </c>
      <c r="S187" t="n">
        <v>0</v>
      </c>
      <c r="T187" t="n">
        <v>0</v>
      </c>
      <c r="U187" t="n">
        <v>0</v>
      </c>
      <c r="V187" s="2" t="inlineStr"/>
    </row>
    <row r="188" ht="15" customHeight="1">
      <c r="A188" t="inlineStr">
        <is>
          <t>A 13397-2024</t>
        </is>
      </c>
      <c r="B188" t="inlineStr">
        <is>
          <t>avverkningsanmälan</t>
        </is>
      </c>
      <c r="C188" t="inlineStr">
        <is>
          <t>Föryngringsavverkning</t>
        </is>
      </c>
      <c r="D188" s="1" t="n">
        <v>45387</v>
      </c>
      <c r="E188" s="1" t="n">
        <v>46313</v>
      </c>
      <c r="F188" t="inlineStr">
        <is>
          <t>VÄRMLANDS LÄN</t>
        </is>
      </c>
      <c r="G188" t="inlineStr">
        <is>
          <t>SUNNE</t>
        </is>
      </c>
      <c r="I188" t="n">
        <v>1.9</v>
      </c>
      <c r="J188" t="n">
        <v>0</v>
      </c>
      <c r="K188" t="n">
        <v>0</v>
      </c>
      <c r="L188" t="n">
        <v>0</v>
      </c>
      <c r="M188" t="n">
        <v>0</v>
      </c>
      <c r="N188" t="n">
        <v>0</v>
      </c>
      <c r="O188" t="n">
        <v>0</v>
      </c>
      <c r="P188" t="n">
        <v>0</v>
      </c>
      <c r="Q188" t="n">
        <v>0</v>
      </c>
      <c r="R188" t="n">
        <v>0</v>
      </c>
      <c r="S188" t="n">
        <v>0</v>
      </c>
      <c r="T188" t="n">
        <v>0</v>
      </c>
      <c r="U188" t="n">
        <v>0</v>
      </c>
      <c r="V188" s="2" t="inlineStr"/>
    </row>
    <row r="189" ht="15" customHeight="1">
      <c r="A189" t="inlineStr">
        <is>
          <t>A 31020-2024</t>
        </is>
      </c>
      <c r="B189" t="inlineStr">
        <is>
          <t>avverkningsanmälan</t>
        </is>
      </c>
      <c r="C189" t="inlineStr">
        <is>
          <t>Föryngringsavverkning</t>
        </is>
      </c>
      <c r="D189" s="1" t="n">
        <v>45499</v>
      </c>
      <c r="E189" s="1" t="n">
        <v>46313</v>
      </c>
      <c r="F189" t="inlineStr">
        <is>
          <t>VÄRMLANDS LÄN</t>
        </is>
      </c>
      <c r="G189" t="inlineStr">
        <is>
          <t>SUNNE</t>
        </is>
      </c>
      <c r="I189" t="n">
        <v>5</v>
      </c>
      <c r="J189" t="n">
        <v>0</v>
      </c>
      <c r="K189" t="n">
        <v>0</v>
      </c>
      <c r="L189" t="n">
        <v>0</v>
      </c>
      <c r="M189" t="n">
        <v>0</v>
      </c>
      <c r="N189" t="n">
        <v>0</v>
      </c>
      <c r="O189" t="n">
        <v>0</v>
      </c>
      <c r="P189" t="n">
        <v>0</v>
      </c>
      <c r="Q189" t="n">
        <v>0</v>
      </c>
      <c r="R189" t="n">
        <v>0</v>
      </c>
      <c r="S189" t="n">
        <v>0</v>
      </c>
      <c r="T189" t="n">
        <v>0</v>
      </c>
      <c r="U189" t="n">
        <v>0</v>
      </c>
      <c r="V189" s="2" t="inlineStr"/>
    </row>
    <row r="190" ht="15" customHeight="1">
      <c r="A190" t="inlineStr">
        <is>
          <t>A 6926-2024</t>
        </is>
      </c>
      <c r="B190" t="inlineStr">
        <is>
          <t>avverkningsanmälan</t>
        </is>
      </c>
      <c r="C190" t="inlineStr">
        <is>
          <t>Föryngringsavverkning</t>
        </is>
      </c>
      <c r="D190" s="1" t="n">
        <v>45343</v>
      </c>
      <c r="E190" s="1" t="n">
        <v>46313</v>
      </c>
      <c r="F190" t="inlineStr">
        <is>
          <t>VÄRMLANDS LÄN</t>
        </is>
      </c>
      <c r="G190" t="inlineStr">
        <is>
          <t>SUNNE</t>
        </is>
      </c>
      <c r="I190" t="n">
        <v>7.4</v>
      </c>
      <c r="J190" t="n">
        <v>0</v>
      </c>
      <c r="K190" t="n">
        <v>0</v>
      </c>
      <c r="L190" t="n">
        <v>0</v>
      </c>
      <c r="M190" t="n">
        <v>0</v>
      </c>
      <c r="N190" t="n">
        <v>0</v>
      </c>
      <c r="O190" t="n">
        <v>0</v>
      </c>
      <c r="P190" t="n">
        <v>0</v>
      </c>
      <c r="Q190" t="n">
        <v>0</v>
      </c>
      <c r="R190" t="n">
        <v>0</v>
      </c>
      <c r="S190" t="n">
        <v>0</v>
      </c>
      <c r="T190" t="n">
        <v>0</v>
      </c>
      <c r="U190" t="n">
        <v>0</v>
      </c>
      <c r="V190" s="2" t="inlineStr"/>
    </row>
    <row r="191" ht="15" customHeight="1">
      <c r="A191" t="inlineStr">
        <is>
          <t>A 2691-2022</t>
        </is>
      </c>
      <c r="B191" t="inlineStr">
        <is>
          <t>avverkningsanmälan</t>
        </is>
      </c>
      <c r="C191" t="inlineStr">
        <is>
          <t>Avverkning för annat ändamål</t>
        </is>
      </c>
      <c r="D191" s="1" t="n">
        <v>44580</v>
      </c>
      <c r="E191" s="1" t="n">
        <v>46313</v>
      </c>
      <c r="F191" t="inlineStr">
        <is>
          <t>VÄRMLANDS LÄN</t>
        </is>
      </c>
      <c r="G191" t="inlineStr">
        <is>
          <t>SUNNE</t>
        </is>
      </c>
      <c r="H191" t="inlineStr">
        <is>
          <t>Övriga Aktiebolag</t>
        </is>
      </c>
      <c r="I191" t="n">
        <v>0.8</v>
      </c>
      <c r="J191" t="n">
        <v>0</v>
      </c>
      <c r="K191" t="n">
        <v>0</v>
      </c>
      <c r="L191" t="n">
        <v>0</v>
      </c>
      <c r="M191" t="n">
        <v>0</v>
      </c>
      <c r="N191" t="n">
        <v>0</v>
      </c>
      <c r="O191" t="n">
        <v>0</v>
      </c>
      <c r="P191" t="n">
        <v>0</v>
      </c>
      <c r="Q191" t="n">
        <v>0</v>
      </c>
      <c r="R191" t="n">
        <v>0</v>
      </c>
      <c r="S191" t="n">
        <v>0</v>
      </c>
      <c r="T191" t="n">
        <v>0</v>
      </c>
      <c r="U191" t="n">
        <v>0</v>
      </c>
      <c r="V191" s="2" t="inlineStr"/>
    </row>
    <row r="192" ht="15" customHeight="1">
      <c r="A192" t="inlineStr">
        <is>
          <t>A 48265-2022</t>
        </is>
      </c>
      <c r="B192" t="inlineStr">
        <is>
          <t>avverkningsanmälan</t>
        </is>
      </c>
      <c r="C192" t="inlineStr">
        <is>
          <t>Föryngringsavverkning</t>
        </is>
      </c>
      <c r="D192" s="1" t="n">
        <v>44858</v>
      </c>
      <c r="E192" s="1" t="n">
        <v>46313</v>
      </c>
      <c r="F192" t="inlineStr">
        <is>
          <t>VÄRMLANDS LÄN</t>
        </is>
      </c>
      <c r="G192" t="inlineStr">
        <is>
          <t>SUNNE</t>
        </is>
      </c>
      <c r="I192" t="n">
        <v>4.5</v>
      </c>
      <c r="J192" t="n">
        <v>0</v>
      </c>
      <c r="K192" t="n">
        <v>0</v>
      </c>
      <c r="L192" t="n">
        <v>0</v>
      </c>
      <c r="M192" t="n">
        <v>0</v>
      </c>
      <c r="N192" t="n">
        <v>0</v>
      </c>
      <c r="O192" t="n">
        <v>0</v>
      </c>
      <c r="P192" t="n">
        <v>0</v>
      </c>
      <c r="Q192" t="n">
        <v>0</v>
      </c>
      <c r="R192" t="n">
        <v>0</v>
      </c>
      <c r="S192" t="n">
        <v>0</v>
      </c>
      <c r="T192" t="n">
        <v>0</v>
      </c>
      <c r="U192" t="n">
        <v>0</v>
      </c>
      <c r="V192" s="2" t="inlineStr"/>
    </row>
    <row r="193" ht="15" customHeight="1">
      <c r="A193" t="inlineStr">
        <is>
          <t>A 21138-2023</t>
        </is>
      </c>
      <c r="B193" t="inlineStr">
        <is>
          <t>avverkningsanmälan</t>
        </is>
      </c>
      <c r="C193" t="inlineStr">
        <is>
          <t>Föryngringsavverkning</t>
        </is>
      </c>
      <c r="D193" s="1" t="n">
        <v>45062</v>
      </c>
      <c r="E193" s="1" t="n">
        <v>46313</v>
      </c>
      <c r="F193" t="inlineStr">
        <is>
          <t>VÄRMLANDS LÄN</t>
        </is>
      </c>
      <c r="G193" t="inlineStr">
        <is>
          <t>SUNNE</t>
        </is>
      </c>
      <c r="I193" t="n">
        <v>1.7</v>
      </c>
      <c r="J193" t="n">
        <v>0</v>
      </c>
      <c r="K193" t="n">
        <v>0</v>
      </c>
      <c r="L193" t="n">
        <v>0</v>
      </c>
      <c r="M193" t="n">
        <v>0</v>
      </c>
      <c r="N193" t="n">
        <v>0</v>
      </c>
      <c r="O193" t="n">
        <v>0</v>
      </c>
      <c r="P193" t="n">
        <v>0</v>
      </c>
      <c r="Q193" t="n">
        <v>0</v>
      </c>
      <c r="R193" t="n">
        <v>0</v>
      </c>
      <c r="S193" t="n">
        <v>0</v>
      </c>
      <c r="T193" t="n">
        <v>0</v>
      </c>
      <c r="U193" t="n">
        <v>0</v>
      </c>
      <c r="V193" s="2" t="inlineStr"/>
    </row>
    <row r="194" ht="15" customHeight="1">
      <c r="A194" t="inlineStr">
        <is>
          <t>A 1842-2024</t>
        </is>
      </c>
      <c r="B194" t="inlineStr">
        <is>
          <t>avverkningsanmälan</t>
        </is>
      </c>
      <c r="C194" t="inlineStr">
        <is>
          <t>Föryngringsavverkning</t>
        </is>
      </c>
      <c r="D194" s="1" t="n">
        <v>45307</v>
      </c>
      <c r="E194" s="1" t="n">
        <v>46313</v>
      </c>
      <c r="F194" t="inlineStr">
        <is>
          <t>VÄRMLANDS LÄN</t>
        </is>
      </c>
      <c r="G194" t="inlineStr">
        <is>
          <t>SUNNE</t>
        </is>
      </c>
      <c r="I194" t="n">
        <v>0.8</v>
      </c>
      <c r="J194" t="n">
        <v>0</v>
      </c>
      <c r="K194" t="n">
        <v>0</v>
      </c>
      <c r="L194" t="n">
        <v>0</v>
      </c>
      <c r="M194" t="n">
        <v>0</v>
      </c>
      <c r="N194" t="n">
        <v>0</v>
      </c>
      <c r="O194" t="n">
        <v>0</v>
      </c>
      <c r="P194" t="n">
        <v>0</v>
      </c>
      <c r="Q194" t="n">
        <v>0</v>
      </c>
      <c r="R194" t="n">
        <v>0</v>
      </c>
      <c r="S194" t="n">
        <v>0</v>
      </c>
      <c r="T194" t="n">
        <v>0</v>
      </c>
      <c r="U194" t="n">
        <v>0</v>
      </c>
      <c r="V194" s="2" t="inlineStr"/>
    </row>
    <row r="195" ht="15" customHeight="1">
      <c r="A195" t="inlineStr">
        <is>
          <t>A 29216-2023</t>
        </is>
      </c>
      <c r="B195" t="inlineStr">
        <is>
          <t>avverkningsanmälan</t>
        </is>
      </c>
      <c r="C195" t="inlineStr">
        <is>
          <t>Föryngringsavverkning</t>
        </is>
      </c>
      <c r="D195" s="1" t="n">
        <v>45105</v>
      </c>
      <c r="E195" s="1" t="n">
        <v>46313</v>
      </c>
      <c r="F195" t="inlineStr">
        <is>
          <t>VÄRMLANDS LÄN</t>
        </is>
      </c>
      <c r="G195" t="inlineStr">
        <is>
          <t>SUNNE</t>
        </is>
      </c>
      <c r="I195" t="n">
        <v>6.8</v>
      </c>
      <c r="J195" t="n">
        <v>0</v>
      </c>
      <c r="K195" t="n">
        <v>0</v>
      </c>
      <c r="L195" t="n">
        <v>0</v>
      </c>
      <c r="M195" t="n">
        <v>0</v>
      </c>
      <c r="N195" t="n">
        <v>0</v>
      </c>
      <c r="O195" t="n">
        <v>0</v>
      </c>
      <c r="P195" t="n">
        <v>0</v>
      </c>
      <c r="Q195" t="n">
        <v>0</v>
      </c>
      <c r="R195" t="n">
        <v>0</v>
      </c>
      <c r="S195" t="n">
        <v>0</v>
      </c>
      <c r="T195" t="n">
        <v>0</v>
      </c>
      <c r="U195" t="n">
        <v>0</v>
      </c>
      <c r="V195" s="2" t="inlineStr"/>
    </row>
    <row r="196" ht="15" customHeight="1">
      <c r="A196" t="inlineStr">
        <is>
          <t>A 2397-2022</t>
        </is>
      </c>
      <c r="B196" t="inlineStr">
        <is>
          <t>avverkningsanmälan</t>
        </is>
      </c>
      <c r="C196" t="inlineStr">
        <is>
          <t>Föryngringsavverkning</t>
        </is>
      </c>
      <c r="D196" s="1" t="n">
        <v>44579</v>
      </c>
      <c r="E196" s="1" t="n">
        <v>46313</v>
      </c>
      <c r="F196" t="inlineStr">
        <is>
          <t>VÄRMLANDS LÄN</t>
        </is>
      </c>
      <c r="G196" t="inlineStr">
        <is>
          <t>SUNNE</t>
        </is>
      </c>
      <c r="I196" t="n">
        <v>9.5</v>
      </c>
      <c r="J196" t="n">
        <v>0</v>
      </c>
      <c r="K196" t="n">
        <v>0</v>
      </c>
      <c r="L196" t="n">
        <v>0</v>
      </c>
      <c r="M196" t="n">
        <v>0</v>
      </c>
      <c r="N196" t="n">
        <v>0</v>
      </c>
      <c r="O196" t="n">
        <v>0</v>
      </c>
      <c r="P196" t="n">
        <v>0</v>
      </c>
      <c r="Q196" t="n">
        <v>0</v>
      </c>
      <c r="R196" t="n">
        <v>0</v>
      </c>
      <c r="S196" t="n">
        <v>0</v>
      </c>
      <c r="T196" t="n">
        <v>0</v>
      </c>
      <c r="U196" t="n">
        <v>0</v>
      </c>
      <c r="V196" s="2" t="inlineStr"/>
    </row>
    <row r="197" ht="15" customHeight="1">
      <c r="A197" t="inlineStr">
        <is>
          <t>A 28191-2022</t>
        </is>
      </c>
      <c r="B197" t="inlineStr">
        <is>
          <t>avverkningsanmälan</t>
        </is>
      </c>
      <c r="C197" t="inlineStr">
        <is>
          <t>Föryngringsavverkning</t>
        </is>
      </c>
      <c r="D197" s="1" t="n">
        <v>44746</v>
      </c>
      <c r="E197" s="1" t="n">
        <v>46313</v>
      </c>
      <c r="F197" t="inlineStr">
        <is>
          <t>VÄRMLANDS LÄN</t>
        </is>
      </c>
      <c r="G197" t="inlineStr">
        <is>
          <t>SUNNE</t>
        </is>
      </c>
      <c r="I197" t="n">
        <v>1.1</v>
      </c>
      <c r="J197" t="n">
        <v>0</v>
      </c>
      <c r="K197" t="n">
        <v>0</v>
      </c>
      <c r="L197" t="n">
        <v>0</v>
      </c>
      <c r="M197" t="n">
        <v>0</v>
      </c>
      <c r="N197" t="n">
        <v>0</v>
      </c>
      <c r="O197" t="n">
        <v>0</v>
      </c>
      <c r="P197" t="n">
        <v>0</v>
      </c>
      <c r="Q197" t="n">
        <v>0</v>
      </c>
      <c r="R197" t="n">
        <v>0</v>
      </c>
      <c r="S197" t="n">
        <v>0</v>
      </c>
      <c r="T197" t="n">
        <v>0</v>
      </c>
      <c r="U197" t="n">
        <v>0</v>
      </c>
      <c r="V197" s="2" t="inlineStr"/>
    </row>
    <row r="198" ht="15" customHeight="1">
      <c r="A198" t="inlineStr">
        <is>
          <t>A 53755-2022</t>
        </is>
      </c>
      <c r="B198" t="inlineStr">
        <is>
          <t>avverkningsanmälan</t>
        </is>
      </c>
      <c r="C198" t="inlineStr">
        <is>
          <t>Föryngringsavverkning</t>
        </is>
      </c>
      <c r="D198" s="1" t="n">
        <v>44880</v>
      </c>
      <c r="E198" s="1" t="n">
        <v>46313</v>
      </c>
      <c r="F198" t="inlineStr">
        <is>
          <t>VÄRMLANDS LÄN</t>
        </is>
      </c>
      <c r="G198" t="inlineStr">
        <is>
          <t>SUNNE</t>
        </is>
      </c>
      <c r="I198" t="n">
        <v>2.8</v>
      </c>
      <c r="J198" t="n">
        <v>0</v>
      </c>
      <c r="K198" t="n">
        <v>0</v>
      </c>
      <c r="L198" t="n">
        <v>0</v>
      </c>
      <c r="M198" t="n">
        <v>0</v>
      </c>
      <c r="N198" t="n">
        <v>0</v>
      </c>
      <c r="O198" t="n">
        <v>0</v>
      </c>
      <c r="P198" t="n">
        <v>0</v>
      </c>
      <c r="Q198" t="n">
        <v>0</v>
      </c>
      <c r="R198" t="n">
        <v>0</v>
      </c>
      <c r="S198" t="n">
        <v>0</v>
      </c>
      <c r="T198" t="n">
        <v>0</v>
      </c>
      <c r="U198" t="n">
        <v>0</v>
      </c>
      <c r="V198" s="2" t="inlineStr"/>
    </row>
    <row r="199" ht="15" customHeight="1">
      <c r="A199" t="inlineStr">
        <is>
          <t>A 38953-2024</t>
        </is>
      </c>
      <c r="B199" t="inlineStr">
        <is>
          <t>avverkningsanmälan</t>
        </is>
      </c>
      <c r="C199" t="inlineStr">
        <is>
          <t>Avverkning för annat ändamål</t>
        </is>
      </c>
      <c r="D199" s="1" t="n">
        <v>45548</v>
      </c>
      <c r="E199" s="1" t="n">
        <v>46313</v>
      </c>
      <c r="F199" t="inlineStr">
        <is>
          <t>VÄRMLANDS LÄN</t>
        </is>
      </c>
      <c r="G199" t="inlineStr">
        <is>
          <t>SUNNE</t>
        </is>
      </c>
      <c r="H199" t="inlineStr">
        <is>
          <t>Bergvik skog väst AB</t>
        </is>
      </c>
      <c r="I199" t="n">
        <v>0.5</v>
      </c>
      <c r="J199" t="n">
        <v>0</v>
      </c>
      <c r="K199" t="n">
        <v>0</v>
      </c>
      <c r="L199" t="n">
        <v>0</v>
      </c>
      <c r="M199" t="n">
        <v>0</v>
      </c>
      <c r="N199" t="n">
        <v>0</v>
      </c>
      <c r="O199" t="n">
        <v>0</v>
      </c>
      <c r="P199" t="n">
        <v>0</v>
      </c>
      <c r="Q199" t="n">
        <v>0</v>
      </c>
      <c r="R199" t="n">
        <v>0</v>
      </c>
      <c r="S199" t="n">
        <v>0</v>
      </c>
      <c r="T199" t="n">
        <v>0</v>
      </c>
      <c r="U199" t="n">
        <v>0</v>
      </c>
      <c r="V199" s="2" t="inlineStr"/>
    </row>
    <row r="200" ht="15" customHeight="1">
      <c r="A200" t="inlineStr">
        <is>
          <t>A 261-2023</t>
        </is>
      </c>
      <c r="B200" t="inlineStr">
        <is>
          <t>avverkningsanmälan</t>
        </is>
      </c>
      <c r="C200" t="inlineStr">
        <is>
          <t>Föryngringsavverkning</t>
        </is>
      </c>
      <c r="D200" s="1" t="n">
        <v>44928</v>
      </c>
      <c r="E200" s="1" t="n">
        <v>46313</v>
      </c>
      <c r="F200" t="inlineStr">
        <is>
          <t>VÄRMLANDS LÄN</t>
        </is>
      </c>
      <c r="G200" t="inlineStr">
        <is>
          <t>SUNNE</t>
        </is>
      </c>
      <c r="I200" t="n">
        <v>1</v>
      </c>
      <c r="J200" t="n">
        <v>0</v>
      </c>
      <c r="K200" t="n">
        <v>0</v>
      </c>
      <c r="L200" t="n">
        <v>0</v>
      </c>
      <c r="M200" t="n">
        <v>0</v>
      </c>
      <c r="N200" t="n">
        <v>0</v>
      </c>
      <c r="O200" t="n">
        <v>0</v>
      </c>
      <c r="P200" t="n">
        <v>0</v>
      </c>
      <c r="Q200" t="n">
        <v>0</v>
      </c>
      <c r="R200" t="n">
        <v>0</v>
      </c>
      <c r="S200" t="n">
        <v>0</v>
      </c>
      <c r="T200" t="n">
        <v>0</v>
      </c>
      <c r="U200" t="n">
        <v>0</v>
      </c>
      <c r="V200" s="2" t="inlineStr"/>
    </row>
    <row r="201" ht="15" customHeight="1">
      <c r="A201" t="inlineStr">
        <is>
          <t>A 28499-2023</t>
        </is>
      </c>
      <c r="B201" t="inlineStr">
        <is>
          <t>avverkningsanmälan</t>
        </is>
      </c>
      <c r="C201" t="inlineStr">
        <is>
          <t>Föryngringsavverkning</t>
        </is>
      </c>
      <c r="D201" s="1" t="n">
        <v>45103</v>
      </c>
      <c r="E201" s="1" t="n">
        <v>46313</v>
      </c>
      <c r="F201" t="inlineStr">
        <is>
          <t>VÄRMLANDS LÄN</t>
        </is>
      </c>
      <c r="G201" t="inlineStr">
        <is>
          <t>SUNNE</t>
        </is>
      </c>
      <c r="I201" t="n">
        <v>1.9</v>
      </c>
      <c r="J201" t="n">
        <v>0</v>
      </c>
      <c r="K201" t="n">
        <v>0</v>
      </c>
      <c r="L201" t="n">
        <v>0</v>
      </c>
      <c r="M201" t="n">
        <v>0</v>
      </c>
      <c r="N201" t="n">
        <v>0</v>
      </c>
      <c r="O201" t="n">
        <v>0</v>
      </c>
      <c r="P201" t="n">
        <v>0</v>
      </c>
      <c r="Q201" t="n">
        <v>0</v>
      </c>
      <c r="R201" t="n">
        <v>0</v>
      </c>
      <c r="S201" t="n">
        <v>0</v>
      </c>
      <c r="T201" t="n">
        <v>0</v>
      </c>
      <c r="U201" t="n">
        <v>0</v>
      </c>
      <c r="V201" s="2" t="inlineStr"/>
    </row>
    <row r="202" ht="15" customHeight="1">
      <c r="A202" t="inlineStr">
        <is>
          <t>A 34004-2024</t>
        </is>
      </c>
      <c r="B202" t="inlineStr">
        <is>
          <t>avverkningsanmälan</t>
        </is>
      </c>
      <c r="C202" t="inlineStr">
        <is>
          <t>Föryngringsavverkning</t>
        </is>
      </c>
      <c r="D202" s="1" t="n">
        <v>45523</v>
      </c>
      <c r="E202" s="1" t="n">
        <v>46313</v>
      </c>
      <c r="F202" t="inlineStr">
        <is>
          <t>VÄRMLANDS LÄN</t>
        </is>
      </c>
      <c r="G202" t="inlineStr">
        <is>
          <t>SUNNE</t>
        </is>
      </c>
      <c r="I202" t="n">
        <v>0.4</v>
      </c>
      <c r="J202" t="n">
        <v>0</v>
      </c>
      <c r="K202" t="n">
        <v>0</v>
      </c>
      <c r="L202" t="n">
        <v>0</v>
      </c>
      <c r="M202" t="n">
        <v>0</v>
      </c>
      <c r="N202" t="n">
        <v>0</v>
      </c>
      <c r="O202" t="n">
        <v>0</v>
      </c>
      <c r="P202" t="n">
        <v>0</v>
      </c>
      <c r="Q202" t="n">
        <v>0</v>
      </c>
      <c r="R202" t="n">
        <v>0</v>
      </c>
      <c r="S202" t="n">
        <v>0</v>
      </c>
      <c r="T202" t="n">
        <v>0</v>
      </c>
      <c r="U202" t="n">
        <v>0</v>
      </c>
      <c r="V202" s="2" t="inlineStr"/>
    </row>
    <row r="203" ht="15" customHeight="1">
      <c r="A203" t="inlineStr">
        <is>
          <t>A 64425-2023</t>
        </is>
      </c>
      <c r="B203" t="inlineStr">
        <is>
          <t>avverkningsanmälan</t>
        </is>
      </c>
      <c r="C203" t="inlineStr">
        <is>
          <t>Föryngringsavverkning</t>
        </is>
      </c>
      <c r="D203" s="1" t="n">
        <v>45280</v>
      </c>
      <c r="E203" s="1" t="n">
        <v>46313</v>
      </c>
      <c r="F203" t="inlineStr">
        <is>
          <t>VÄRMLANDS LÄN</t>
        </is>
      </c>
      <c r="G203" t="inlineStr">
        <is>
          <t>SUNNE</t>
        </is>
      </c>
      <c r="I203" t="n">
        <v>2.1</v>
      </c>
      <c r="J203" t="n">
        <v>0</v>
      </c>
      <c r="K203" t="n">
        <v>0</v>
      </c>
      <c r="L203" t="n">
        <v>0</v>
      </c>
      <c r="M203" t="n">
        <v>0</v>
      </c>
      <c r="N203" t="n">
        <v>0</v>
      </c>
      <c r="O203" t="n">
        <v>0</v>
      </c>
      <c r="P203" t="n">
        <v>0</v>
      </c>
      <c r="Q203" t="n">
        <v>0</v>
      </c>
      <c r="R203" t="n">
        <v>0</v>
      </c>
      <c r="S203" t="n">
        <v>0</v>
      </c>
      <c r="T203" t="n">
        <v>0</v>
      </c>
      <c r="U203" t="n">
        <v>0</v>
      </c>
      <c r="V203" s="2" t="inlineStr"/>
    </row>
    <row r="204" ht="15" customHeight="1">
      <c r="A204" t="inlineStr">
        <is>
          <t>A 61403-2023</t>
        </is>
      </c>
      <c r="B204" t="inlineStr">
        <is>
          <t>avverkningsanmälan</t>
        </is>
      </c>
      <c r="C204" t="inlineStr">
        <is>
          <t>Avverkning för annat ändamål</t>
        </is>
      </c>
      <c r="D204" s="1" t="n">
        <v>45264</v>
      </c>
      <c r="E204" s="1" t="n">
        <v>46313</v>
      </c>
      <c r="F204" t="inlineStr">
        <is>
          <t>VÄRMLANDS LÄN</t>
        </is>
      </c>
      <c r="G204" t="inlineStr">
        <is>
          <t>SUNNE</t>
        </is>
      </c>
      <c r="I204" t="n">
        <v>0.5</v>
      </c>
      <c r="J204" t="n">
        <v>0</v>
      </c>
      <c r="K204" t="n">
        <v>0</v>
      </c>
      <c r="L204" t="n">
        <v>0</v>
      </c>
      <c r="M204" t="n">
        <v>0</v>
      </c>
      <c r="N204" t="n">
        <v>0</v>
      </c>
      <c r="O204" t="n">
        <v>0</v>
      </c>
      <c r="P204" t="n">
        <v>0</v>
      </c>
      <c r="Q204" t="n">
        <v>0</v>
      </c>
      <c r="R204" t="n">
        <v>0</v>
      </c>
      <c r="S204" t="n">
        <v>0</v>
      </c>
      <c r="T204" t="n">
        <v>0</v>
      </c>
      <c r="U204" t="n">
        <v>0</v>
      </c>
      <c r="V204" s="2" t="inlineStr"/>
    </row>
    <row r="205" ht="15" customHeight="1">
      <c r="A205" t="inlineStr">
        <is>
          <t>A 57666-2024</t>
        </is>
      </c>
      <c r="B205" t="inlineStr">
        <is>
          <t>avverkningsanmälan</t>
        </is>
      </c>
      <c r="C205" t="inlineStr">
        <is>
          <t>Föryngringsavverkning</t>
        </is>
      </c>
      <c r="D205" s="1" t="n">
        <v>45630</v>
      </c>
      <c r="E205" s="1" t="n">
        <v>46313</v>
      </c>
      <c r="F205" t="inlineStr">
        <is>
          <t>VÄRMLANDS LÄN</t>
        </is>
      </c>
      <c r="G205" t="inlineStr">
        <is>
          <t>SUNNE</t>
        </is>
      </c>
      <c r="H205" t="inlineStr">
        <is>
          <t>Kyrkan</t>
        </is>
      </c>
      <c r="I205" t="n">
        <v>7.5</v>
      </c>
      <c r="J205" t="n">
        <v>0</v>
      </c>
      <c r="K205" t="n">
        <v>0</v>
      </c>
      <c r="L205" t="n">
        <v>0</v>
      </c>
      <c r="M205" t="n">
        <v>0</v>
      </c>
      <c r="N205" t="n">
        <v>0</v>
      </c>
      <c r="O205" t="n">
        <v>0</v>
      </c>
      <c r="P205" t="n">
        <v>0</v>
      </c>
      <c r="Q205" t="n">
        <v>0</v>
      </c>
      <c r="R205" t="n">
        <v>0</v>
      </c>
      <c r="S205" t="n">
        <v>0</v>
      </c>
      <c r="T205" t="n">
        <v>0</v>
      </c>
      <c r="U205" t="n">
        <v>0</v>
      </c>
      <c r="V205" s="2" t="inlineStr"/>
    </row>
    <row r="206" ht="15" customHeight="1">
      <c r="A206" t="inlineStr">
        <is>
          <t>A 34017-2024</t>
        </is>
      </c>
      <c r="B206" t="inlineStr">
        <is>
          <t>avverkningsanmälan</t>
        </is>
      </c>
      <c r="C206" t="inlineStr">
        <is>
          <t>Föryngringsavverkning</t>
        </is>
      </c>
      <c r="D206" s="1" t="n">
        <v>45523</v>
      </c>
      <c r="E206" s="1" t="n">
        <v>46313</v>
      </c>
      <c r="F206" t="inlineStr">
        <is>
          <t>VÄRMLANDS LÄN</t>
        </is>
      </c>
      <c r="G206" t="inlineStr">
        <is>
          <t>SUNNE</t>
        </is>
      </c>
      <c r="I206" t="n">
        <v>0.5</v>
      </c>
      <c r="J206" t="n">
        <v>0</v>
      </c>
      <c r="K206" t="n">
        <v>0</v>
      </c>
      <c r="L206" t="n">
        <v>0</v>
      </c>
      <c r="M206" t="n">
        <v>0</v>
      </c>
      <c r="N206" t="n">
        <v>0</v>
      </c>
      <c r="O206" t="n">
        <v>0</v>
      </c>
      <c r="P206" t="n">
        <v>0</v>
      </c>
      <c r="Q206" t="n">
        <v>0</v>
      </c>
      <c r="R206" t="n">
        <v>0</v>
      </c>
      <c r="S206" t="n">
        <v>0</v>
      </c>
      <c r="T206" t="n">
        <v>0</v>
      </c>
      <c r="U206" t="n">
        <v>0</v>
      </c>
      <c r="V206" s="2" t="inlineStr"/>
    </row>
    <row r="207" ht="15" customHeight="1">
      <c r="A207" t="inlineStr">
        <is>
          <t>A 10562-2022</t>
        </is>
      </c>
      <c r="B207" t="inlineStr">
        <is>
          <t>avverkningsanmälan</t>
        </is>
      </c>
      <c r="C207" t="inlineStr">
        <is>
          <t>Föryngringsavverkning</t>
        </is>
      </c>
      <c r="D207" s="1" t="n">
        <v>44623</v>
      </c>
      <c r="E207" s="1" t="n">
        <v>46313</v>
      </c>
      <c r="F207" t="inlineStr">
        <is>
          <t>VÄRMLANDS LÄN</t>
        </is>
      </c>
      <c r="G207" t="inlineStr">
        <is>
          <t>SUNNE</t>
        </is>
      </c>
      <c r="I207" t="n">
        <v>0.7</v>
      </c>
      <c r="J207" t="n">
        <v>0</v>
      </c>
      <c r="K207" t="n">
        <v>0</v>
      </c>
      <c r="L207" t="n">
        <v>0</v>
      </c>
      <c r="M207" t="n">
        <v>0</v>
      </c>
      <c r="N207" t="n">
        <v>0</v>
      </c>
      <c r="O207" t="n">
        <v>0</v>
      </c>
      <c r="P207" t="n">
        <v>0</v>
      </c>
      <c r="Q207" t="n">
        <v>0</v>
      </c>
      <c r="R207" t="n">
        <v>0</v>
      </c>
      <c r="S207" t="n">
        <v>0</v>
      </c>
      <c r="T207" t="n">
        <v>0</v>
      </c>
      <c r="U207" t="n">
        <v>0</v>
      </c>
      <c r="V207" s="2" t="inlineStr"/>
    </row>
    <row r="208" ht="15" customHeight="1">
      <c r="A208" t="inlineStr">
        <is>
          <t>A 34857-2022</t>
        </is>
      </c>
      <c r="B208" t="inlineStr">
        <is>
          <t>avverkningsanmälan</t>
        </is>
      </c>
      <c r="C208" t="inlineStr">
        <is>
          <t>Föryngringsavverkning</t>
        </is>
      </c>
      <c r="D208" s="1" t="n">
        <v>44796</v>
      </c>
      <c r="E208" s="1" t="n">
        <v>46313</v>
      </c>
      <c r="F208" t="inlineStr">
        <is>
          <t>VÄRMLANDS LÄN</t>
        </is>
      </c>
      <c r="G208" t="inlineStr">
        <is>
          <t>SUNNE</t>
        </is>
      </c>
      <c r="I208" t="n">
        <v>1.5</v>
      </c>
      <c r="J208" t="n">
        <v>0</v>
      </c>
      <c r="K208" t="n">
        <v>0</v>
      </c>
      <c r="L208" t="n">
        <v>0</v>
      </c>
      <c r="M208" t="n">
        <v>0</v>
      </c>
      <c r="N208" t="n">
        <v>0</v>
      </c>
      <c r="O208" t="n">
        <v>0</v>
      </c>
      <c r="P208" t="n">
        <v>0</v>
      </c>
      <c r="Q208" t="n">
        <v>0</v>
      </c>
      <c r="R208" t="n">
        <v>0</v>
      </c>
      <c r="S208" t="n">
        <v>0</v>
      </c>
      <c r="T208" t="n">
        <v>0</v>
      </c>
      <c r="U208" t="n">
        <v>0</v>
      </c>
      <c r="V208" s="2" t="inlineStr"/>
    </row>
    <row r="209" ht="15" customHeight="1">
      <c r="A209" t="inlineStr">
        <is>
          <t>A 32980-2024</t>
        </is>
      </c>
      <c r="B209" t="inlineStr">
        <is>
          <t>avverkningsanmälan</t>
        </is>
      </c>
      <c r="C209" t="inlineStr">
        <is>
          <t>Föryngringsavverkning</t>
        </is>
      </c>
      <c r="D209" s="1" t="n">
        <v>45517</v>
      </c>
      <c r="E209" s="1" t="n">
        <v>46313</v>
      </c>
      <c r="F209" t="inlineStr">
        <is>
          <t>VÄRMLANDS LÄN</t>
        </is>
      </c>
      <c r="G209" t="inlineStr">
        <is>
          <t>SUNNE</t>
        </is>
      </c>
      <c r="I209" t="n">
        <v>5.5</v>
      </c>
      <c r="J209" t="n">
        <v>0</v>
      </c>
      <c r="K209" t="n">
        <v>0</v>
      </c>
      <c r="L209" t="n">
        <v>0</v>
      </c>
      <c r="M209" t="n">
        <v>0</v>
      </c>
      <c r="N209" t="n">
        <v>0</v>
      </c>
      <c r="O209" t="n">
        <v>0</v>
      </c>
      <c r="P209" t="n">
        <v>0</v>
      </c>
      <c r="Q209" t="n">
        <v>0</v>
      </c>
      <c r="R209" t="n">
        <v>0</v>
      </c>
      <c r="S209" t="n">
        <v>0</v>
      </c>
      <c r="T209" t="n">
        <v>0</v>
      </c>
      <c r="U209" t="n">
        <v>0</v>
      </c>
      <c r="V209" s="2" t="inlineStr"/>
    </row>
    <row r="210" ht="15" customHeight="1">
      <c r="A210" t="inlineStr">
        <is>
          <t>A 23793-2023</t>
        </is>
      </c>
      <c r="B210" t="inlineStr">
        <is>
          <t>avverkningsanmälan</t>
        </is>
      </c>
      <c r="C210" t="inlineStr">
        <is>
          <t>Föryngringsavverkning</t>
        </is>
      </c>
      <c r="D210" s="1" t="n">
        <v>45078</v>
      </c>
      <c r="E210" s="1" t="n">
        <v>46313</v>
      </c>
      <c r="F210" t="inlineStr">
        <is>
          <t>VÄRMLANDS LÄN</t>
        </is>
      </c>
      <c r="G210" t="inlineStr">
        <is>
          <t>SUNNE</t>
        </is>
      </c>
      <c r="I210" t="n">
        <v>3.3</v>
      </c>
      <c r="J210" t="n">
        <v>0</v>
      </c>
      <c r="K210" t="n">
        <v>0</v>
      </c>
      <c r="L210" t="n">
        <v>0</v>
      </c>
      <c r="M210" t="n">
        <v>0</v>
      </c>
      <c r="N210" t="n">
        <v>0</v>
      </c>
      <c r="O210" t="n">
        <v>0</v>
      </c>
      <c r="P210" t="n">
        <v>0</v>
      </c>
      <c r="Q210" t="n">
        <v>0</v>
      </c>
      <c r="R210" t="n">
        <v>0</v>
      </c>
      <c r="S210" t="n">
        <v>0</v>
      </c>
      <c r="T210" t="n">
        <v>0</v>
      </c>
      <c r="U210" t="n">
        <v>0</v>
      </c>
      <c r="V210" s="2" t="inlineStr"/>
    </row>
    <row r="211" ht="15" customHeight="1">
      <c r="A211" t="inlineStr">
        <is>
          <t>A 47166-2024</t>
        </is>
      </c>
      <c r="B211" t="inlineStr">
        <is>
          <t>avverkningsanmälan</t>
        </is>
      </c>
      <c r="C211" t="inlineStr">
        <is>
          <t>Föryngringsavverkning</t>
        </is>
      </c>
      <c r="D211" s="1" t="n">
        <v>45586</v>
      </c>
      <c r="E211" s="1" t="n">
        <v>46313</v>
      </c>
      <c r="F211" t="inlineStr">
        <is>
          <t>VÄRMLANDS LÄN</t>
        </is>
      </c>
      <c r="G211" t="inlineStr">
        <is>
          <t>SUNNE</t>
        </is>
      </c>
      <c r="H211" t="inlineStr">
        <is>
          <t>Kommuner</t>
        </is>
      </c>
      <c r="I211" t="n">
        <v>0.7</v>
      </c>
      <c r="J211" t="n">
        <v>0</v>
      </c>
      <c r="K211" t="n">
        <v>0</v>
      </c>
      <c r="L211" t="n">
        <v>0</v>
      </c>
      <c r="M211" t="n">
        <v>0</v>
      </c>
      <c r="N211" t="n">
        <v>0</v>
      </c>
      <c r="O211" t="n">
        <v>0</v>
      </c>
      <c r="P211" t="n">
        <v>0</v>
      </c>
      <c r="Q211" t="n">
        <v>0</v>
      </c>
      <c r="R211" t="n">
        <v>0</v>
      </c>
      <c r="S211" t="n">
        <v>0</v>
      </c>
      <c r="T211" t="n">
        <v>0</v>
      </c>
      <c r="U211" t="n">
        <v>0</v>
      </c>
      <c r="V211" s="2" t="inlineStr"/>
    </row>
    <row r="212" ht="15" customHeight="1">
      <c r="A212" t="inlineStr">
        <is>
          <t>A 42377-2023</t>
        </is>
      </c>
      <c r="B212" t="inlineStr">
        <is>
          <t>avverkningsanmälan</t>
        </is>
      </c>
      <c r="C212" t="inlineStr">
        <is>
          <t>Föryngringsavverkning</t>
        </is>
      </c>
      <c r="D212" s="1" t="n">
        <v>45180</v>
      </c>
      <c r="E212" s="1" t="n">
        <v>46313</v>
      </c>
      <c r="F212" t="inlineStr">
        <is>
          <t>VÄRMLANDS LÄN</t>
        </is>
      </c>
      <c r="G212" t="inlineStr">
        <is>
          <t>SUNNE</t>
        </is>
      </c>
      <c r="I212" t="n">
        <v>2.6</v>
      </c>
      <c r="J212" t="n">
        <v>0</v>
      </c>
      <c r="K212" t="n">
        <v>0</v>
      </c>
      <c r="L212" t="n">
        <v>0</v>
      </c>
      <c r="M212" t="n">
        <v>0</v>
      </c>
      <c r="N212" t="n">
        <v>0</v>
      </c>
      <c r="O212" t="n">
        <v>0</v>
      </c>
      <c r="P212" t="n">
        <v>0</v>
      </c>
      <c r="Q212" t="n">
        <v>0</v>
      </c>
      <c r="R212" t="n">
        <v>0</v>
      </c>
      <c r="S212" t="n">
        <v>0</v>
      </c>
      <c r="T212" t="n">
        <v>0</v>
      </c>
      <c r="U212" t="n">
        <v>0</v>
      </c>
      <c r="V212" s="2" t="inlineStr"/>
    </row>
    <row r="213" ht="15" customHeight="1">
      <c r="A213" t="inlineStr">
        <is>
          <t>A 11428-2023</t>
        </is>
      </c>
      <c r="B213" t="inlineStr">
        <is>
          <t>avverkningsanmälan</t>
        </is>
      </c>
      <c r="C213" t="inlineStr">
        <is>
          <t>Föryngringsavverkning</t>
        </is>
      </c>
      <c r="D213" s="1" t="n">
        <v>44993</v>
      </c>
      <c r="E213" s="1" t="n">
        <v>46313</v>
      </c>
      <c r="F213" t="inlineStr">
        <is>
          <t>VÄRMLANDS LÄN</t>
        </is>
      </c>
      <c r="G213" t="inlineStr">
        <is>
          <t>SUNNE</t>
        </is>
      </c>
      <c r="I213" t="n">
        <v>2.1</v>
      </c>
      <c r="J213" t="n">
        <v>0</v>
      </c>
      <c r="K213" t="n">
        <v>0</v>
      </c>
      <c r="L213" t="n">
        <v>0</v>
      </c>
      <c r="M213" t="n">
        <v>0</v>
      </c>
      <c r="N213" t="n">
        <v>0</v>
      </c>
      <c r="O213" t="n">
        <v>0</v>
      </c>
      <c r="P213" t="n">
        <v>0</v>
      </c>
      <c r="Q213" t="n">
        <v>0</v>
      </c>
      <c r="R213" t="n">
        <v>0</v>
      </c>
      <c r="S213" t="n">
        <v>0</v>
      </c>
      <c r="T213" t="n">
        <v>0</v>
      </c>
      <c r="U213" t="n">
        <v>0</v>
      </c>
      <c r="V213" s="2" t="inlineStr"/>
    </row>
    <row r="214" ht="15" customHeight="1">
      <c r="A214" t="inlineStr">
        <is>
          <t>A 8714-2025</t>
        </is>
      </c>
      <c r="B214" t="inlineStr">
        <is>
          <t>avverkningsanmälan</t>
        </is>
      </c>
      <c r="C214" t="inlineStr">
        <is>
          <t>Föryngringsavverkning</t>
        </is>
      </c>
      <c r="D214" s="1" t="n">
        <v>45712</v>
      </c>
      <c r="E214" s="1" t="n">
        <v>46313</v>
      </c>
      <c r="F214" t="inlineStr">
        <is>
          <t>VÄRMLANDS LÄN</t>
        </is>
      </c>
      <c r="G214" t="inlineStr">
        <is>
          <t>SUNNE</t>
        </is>
      </c>
      <c r="I214" t="n">
        <v>0.5</v>
      </c>
      <c r="J214" t="n">
        <v>0</v>
      </c>
      <c r="K214" t="n">
        <v>0</v>
      </c>
      <c r="L214" t="n">
        <v>0</v>
      </c>
      <c r="M214" t="n">
        <v>0</v>
      </c>
      <c r="N214" t="n">
        <v>0</v>
      </c>
      <c r="O214" t="n">
        <v>0</v>
      </c>
      <c r="P214" t="n">
        <v>0</v>
      </c>
      <c r="Q214" t="n">
        <v>0</v>
      </c>
      <c r="R214" t="n">
        <v>0</v>
      </c>
      <c r="S214" t="n">
        <v>0</v>
      </c>
      <c r="T214" t="n">
        <v>0</v>
      </c>
      <c r="U214" t="n">
        <v>0</v>
      </c>
      <c r="V214" s="2" t="inlineStr"/>
    </row>
    <row r="215" ht="15" customHeight="1">
      <c r="A215" t="inlineStr">
        <is>
          <t>A 46880-2024</t>
        </is>
      </c>
      <c r="B215" t="inlineStr">
        <is>
          <t>avverkningsanmälan</t>
        </is>
      </c>
      <c r="C215" t="inlineStr">
        <is>
          <t>Föryngringsavverkning</t>
        </is>
      </c>
      <c r="D215" s="1" t="n">
        <v>45583</v>
      </c>
      <c r="E215" s="1" t="n">
        <v>46313</v>
      </c>
      <c r="F215" t="inlineStr">
        <is>
          <t>VÄRMLANDS LÄN</t>
        </is>
      </c>
      <c r="G215" t="inlineStr">
        <is>
          <t>SUNNE</t>
        </is>
      </c>
      <c r="H215" t="inlineStr">
        <is>
          <t>Kommuner</t>
        </is>
      </c>
      <c r="I215" t="n">
        <v>4.1</v>
      </c>
      <c r="J215" t="n">
        <v>0</v>
      </c>
      <c r="K215" t="n">
        <v>0</v>
      </c>
      <c r="L215" t="n">
        <v>0</v>
      </c>
      <c r="M215" t="n">
        <v>0</v>
      </c>
      <c r="N215" t="n">
        <v>0</v>
      </c>
      <c r="O215" t="n">
        <v>0</v>
      </c>
      <c r="P215" t="n">
        <v>0</v>
      </c>
      <c r="Q215" t="n">
        <v>0</v>
      </c>
      <c r="R215" t="n">
        <v>0</v>
      </c>
      <c r="S215" t="n">
        <v>0</v>
      </c>
      <c r="T215" t="n">
        <v>0</v>
      </c>
      <c r="U215" t="n">
        <v>0</v>
      </c>
      <c r="V215" s="2" t="inlineStr"/>
    </row>
    <row r="216" ht="15" customHeight="1">
      <c r="A216" t="inlineStr">
        <is>
          <t>A 57898-2023</t>
        </is>
      </c>
      <c r="B216" t="inlineStr">
        <is>
          <t>avverkningsanmälan</t>
        </is>
      </c>
      <c r="C216" t="inlineStr">
        <is>
          <t>Föryngringsavverkning</t>
        </is>
      </c>
      <c r="D216" s="1" t="n">
        <v>45247</v>
      </c>
      <c r="E216" s="1" t="n">
        <v>46313</v>
      </c>
      <c r="F216" t="inlineStr">
        <is>
          <t>VÄRMLANDS LÄN</t>
        </is>
      </c>
      <c r="G216" t="inlineStr">
        <is>
          <t>SUNNE</t>
        </is>
      </c>
      <c r="I216" t="n">
        <v>3.1</v>
      </c>
      <c r="J216" t="n">
        <v>0</v>
      </c>
      <c r="K216" t="n">
        <v>0</v>
      </c>
      <c r="L216" t="n">
        <v>0</v>
      </c>
      <c r="M216" t="n">
        <v>0</v>
      </c>
      <c r="N216" t="n">
        <v>0</v>
      </c>
      <c r="O216" t="n">
        <v>0</v>
      </c>
      <c r="P216" t="n">
        <v>0</v>
      </c>
      <c r="Q216" t="n">
        <v>0</v>
      </c>
      <c r="R216" t="n">
        <v>0</v>
      </c>
      <c r="S216" t="n">
        <v>0</v>
      </c>
      <c r="T216" t="n">
        <v>0</v>
      </c>
      <c r="U216" t="n">
        <v>0</v>
      </c>
      <c r="V216" s="2" t="inlineStr"/>
    </row>
    <row r="217" ht="15" customHeight="1">
      <c r="A217" t="inlineStr">
        <is>
          <t>A 41954-2023</t>
        </is>
      </c>
      <c r="B217" t="inlineStr">
        <is>
          <t>avverkningsanmälan</t>
        </is>
      </c>
      <c r="C217" t="inlineStr">
        <is>
          <t>Föryngringsavverkning</t>
        </is>
      </c>
      <c r="D217" s="1" t="n">
        <v>45177</v>
      </c>
      <c r="E217" s="1" t="n">
        <v>46313</v>
      </c>
      <c r="F217" t="inlineStr">
        <is>
          <t>VÄRMLANDS LÄN</t>
        </is>
      </c>
      <c r="G217" t="inlineStr">
        <is>
          <t>SUNNE</t>
        </is>
      </c>
      <c r="I217" t="n">
        <v>1.2</v>
      </c>
      <c r="J217" t="n">
        <v>0</v>
      </c>
      <c r="K217" t="n">
        <v>0</v>
      </c>
      <c r="L217" t="n">
        <v>0</v>
      </c>
      <c r="M217" t="n">
        <v>0</v>
      </c>
      <c r="N217" t="n">
        <v>0</v>
      </c>
      <c r="O217" t="n">
        <v>0</v>
      </c>
      <c r="P217" t="n">
        <v>0</v>
      </c>
      <c r="Q217" t="n">
        <v>0</v>
      </c>
      <c r="R217" t="n">
        <v>0</v>
      </c>
      <c r="S217" t="n">
        <v>0</v>
      </c>
      <c r="T217" t="n">
        <v>0</v>
      </c>
      <c r="U217" t="n">
        <v>0</v>
      </c>
      <c r="V217" s="2" t="inlineStr"/>
    </row>
    <row r="218" ht="15" customHeight="1">
      <c r="A218" t="inlineStr">
        <is>
          <t>A 18736-2024</t>
        </is>
      </c>
      <c r="B218" t="inlineStr">
        <is>
          <t>avverkningsanmälan</t>
        </is>
      </c>
      <c r="C218" t="inlineStr">
        <is>
          <t>Föryngringsavverkning</t>
        </is>
      </c>
      <c r="D218" s="1" t="n">
        <v>45426</v>
      </c>
      <c r="E218" s="1" t="n">
        <v>46313</v>
      </c>
      <c r="F218" t="inlineStr">
        <is>
          <t>VÄRMLANDS LÄN</t>
        </is>
      </c>
      <c r="G218" t="inlineStr">
        <is>
          <t>SUNNE</t>
        </is>
      </c>
      <c r="I218" t="n">
        <v>0.7</v>
      </c>
      <c r="J218" t="n">
        <v>0</v>
      </c>
      <c r="K218" t="n">
        <v>0</v>
      </c>
      <c r="L218" t="n">
        <v>0</v>
      </c>
      <c r="M218" t="n">
        <v>0</v>
      </c>
      <c r="N218" t="n">
        <v>0</v>
      </c>
      <c r="O218" t="n">
        <v>0</v>
      </c>
      <c r="P218" t="n">
        <v>0</v>
      </c>
      <c r="Q218" t="n">
        <v>0</v>
      </c>
      <c r="R218" t="n">
        <v>0</v>
      </c>
      <c r="S218" t="n">
        <v>0</v>
      </c>
      <c r="T218" t="n">
        <v>0</v>
      </c>
      <c r="U218" t="n">
        <v>0</v>
      </c>
      <c r="V218" s="2" t="inlineStr"/>
    </row>
    <row r="219" ht="15" customHeight="1">
      <c r="A219" t="inlineStr">
        <is>
          <t>A 52226-2024</t>
        </is>
      </c>
      <c r="B219" t="inlineStr">
        <is>
          <t>avverkningsanmälan</t>
        </is>
      </c>
      <c r="C219" t="inlineStr">
        <is>
          <t>Föryngringsavverkning</t>
        </is>
      </c>
      <c r="D219" s="1" t="n">
        <v>45607</v>
      </c>
      <c r="E219" s="1" t="n">
        <v>46313</v>
      </c>
      <c r="F219" t="inlineStr">
        <is>
          <t>VÄRMLANDS LÄN</t>
        </is>
      </c>
      <c r="G219" t="inlineStr">
        <is>
          <t>SUNNE</t>
        </is>
      </c>
      <c r="I219" t="n">
        <v>1.8</v>
      </c>
      <c r="J219" t="n">
        <v>0</v>
      </c>
      <c r="K219" t="n">
        <v>0</v>
      </c>
      <c r="L219" t="n">
        <v>0</v>
      </c>
      <c r="M219" t="n">
        <v>0</v>
      </c>
      <c r="N219" t="n">
        <v>0</v>
      </c>
      <c r="O219" t="n">
        <v>0</v>
      </c>
      <c r="P219" t="n">
        <v>0</v>
      </c>
      <c r="Q219" t="n">
        <v>0</v>
      </c>
      <c r="R219" t="n">
        <v>0</v>
      </c>
      <c r="S219" t="n">
        <v>0</v>
      </c>
      <c r="T219" t="n">
        <v>0</v>
      </c>
      <c r="U219" t="n">
        <v>0</v>
      </c>
      <c r="V219" s="2" t="inlineStr"/>
    </row>
    <row r="220" ht="15" customHeight="1">
      <c r="A220" t="inlineStr">
        <is>
          <t>A 14571-2025</t>
        </is>
      </c>
      <c r="B220" t="inlineStr">
        <is>
          <t>avverkningsanmälan</t>
        </is>
      </c>
      <c r="C220" t="inlineStr">
        <is>
          <t>Föryngringsavverkning</t>
        </is>
      </c>
      <c r="D220" s="1" t="n">
        <v>45741</v>
      </c>
      <c r="E220" s="1" t="n">
        <v>46313</v>
      </c>
      <c r="F220" t="inlineStr">
        <is>
          <t>VÄRMLANDS LÄN</t>
        </is>
      </c>
      <c r="G220" t="inlineStr">
        <is>
          <t>SUNNE</t>
        </is>
      </c>
      <c r="I220" t="n">
        <v>6.7</v>
      </c>
      <c r="J220" t="n">
        <v>0</v>
      </c>
      <c r="K220" t="n">
        <v>0</v>
      </c>
      <c r="L220" t="n">
        <v>0</v>
      </c>
      <c r="M220" t="n">
        <v>0</v>
      </c>
      <c r="N220" t="n">
        <v>0</v>
      </c>
      <c r="O220" t="n">
        <v>0</v>
      </c>
      <c r="P220" t="n">
        <v>0</v>
      </c>
      <c r="Q220" t="n">
        <v>0</v>
      </c>
      <c r="R220" t="n">
        <v>0</v>
      </c>
      <c r="S220" t="n">
        <v>0</v>
      </c>
      <c r="T220" t="n">
        <v>0</v>
      </c>
      <c r="U220" t="n">
        <v>0</v>
      </c>
      <c r="V220" s="2" t="inlineStr"/>
    </row>
    <row r="221" ht="15" customHeight="1">
      <c r="A221" t="inlineStr">
        <is>
          <t>A 74268-2021</t>
        </is>
      </c>
      <c r="B221" t="inlineStr">
        <is>
          <t>avverkningsanmälan</t>
        </is>
      </c>
      <c r="C221" t="inlineStr">
        <is>
          <t>Föryngringsavverkning</t>
        </is>
      </c>
      <c r="D221" s="1" t="n">
        <v>44558</v>
      </c>
      <c r="E221" s="1" t="n">
        <v>46313</v>
      </c>
      <c r="F221" t="inlineStr">
        <is>
          <t>VÄRMLANDS LÄN</t>
        </is>
      </c>
      <c r="G221" t="inlineStr">
        <is>
          <t>SUNNE</t>
        </is>
      </c>
      <c r="I221" t="n">
        <v>3.2</v>
      </c>
      <c r="J221" t="n">
        <v>0</v>
      </c>
      <c r="K221" t="n">
        <v>0</v>
      </c>
      <c r="L221" t="n">
        <v>0</v>
      </c>
      <c r="M221" t="n">
        <v>0</v>
      </c>
      <c r="N221" t="n">
        <v>0</v>
      </c>
      <c r="O221" t="n">
        <v>0</v>
      </c>
      <c r="P221" t="n">
        <v>0</v>
      </c>
      <c r="Q221" t="n">
        <v>0</v>
      </c>
      <c r="R221" t="n">
        <v>0</v>
      </c>
      <c r="S221" t="n">
        <v>0</v>
      </c>
      <c r="T221" t="n">
        <v>0</v>
      </c>
      <c r="U221" t="n">
        <v>0</v>
      </c>
      <c r="V221" s="2" t="inlineStr"/>
    </row>
    <row r="222" ht="15" customHeight="1">
      <c r="A222" t="inlineStr">
        <is>
          <t>A 11732-2022</t>
        </is>
      </c>
      <c r="B222" t="inlineStr">
        <is>
          <t>avverkningsanmälan</t>
        </is>
      </c>
      <c r="C222" t="inlineStr">
        <is>
          <t>Föryngringsavverkning</t>
        </is>
      </c>
      <c r="D222" s="1" t="n">
        <v>44634</v>
      </c>
      <c r="E222" s="1" t="n">
        <v>46313</v>
      </c>
      <c r="F222" t="inlineStr">
        <is>
          <t>VÄRMLANDS LÄN</t>
        </is>
      </c>
      <c r="G222" t="inlineStr">
        <is>
          <t>SUNNE</t>
        </is>
      </c>
      <c r="I222" t="n">
        <v>2.4</v>
      </c>
      <c r="J222" t="n">
        <v>0</v>
      </c>
      <c r="K222" t="n">
        <v>0</v>
      </c>
      <c r="L222" t="n">
        <v>0</v>
      </c>
      <c r="M222" t="n">
        <v>0</v>
      </c>
      <c r="N222" t="n">
        <v>0</v>
      </c>
      <c r="O222" t="n">
        <v>0</v>
      </c>
      <c r="P222" t="n">
        <v>0</v>
      </c>
      <c r="Q222" t="n">
        <v>0</v>
      </c>
      <c r="R222" t="n">
        <v>0</v>
      </c>
      <c r="S222" t="n">
        <v>0</v>
      </c>
      <c r="T222" t="n">
        <v>0</v>
      </c>
      <c r="U222" t="n">
        <v>0</v>
      </c>
      <c r="V222" s="2" t="inlineStr"/>
    </row>
    <row r="223" ht="15" customHeight="1">
      <c r="A223" t="inlineStr">
        <is>
          <t>A 31896-2022</t>
        </is>
      </c>
      <c r="B223" t="inlineStr">
        <is>
          <t>avverkningsanmälan</t>
        </is>
      </c>
      <c r="C223" t="inlineStr">
        <is>
          <t>Föryngringsavverkning</t>
        </is>
      </c>
      <c r="D223" s="1" t="n">
        <v>44777</v>
      </c>
      <c r="E223" s="1" t="n">
        <v>46313</v>
      </c>
      <c r="F223" t="inlineStr">
        <is>
          <t>VÄRMLANDS LÄN</t>
        </is>
      </c>
      <c r="G223" t="inlineStr">
        <is>
          <t>SUNNE</t>
        </is>
      </c>
      <c r="I223" t="n">
        <v>3.8</v>
      </c>
      <c r="J223" t="n">
        <v>0</v>
      </c>
      <c r="K223" t="n">
        <v>0</v>
      </c>
      <c r="L223" t="n">
        <v>0</v>
      </c>
      <c r="M223" t="n">
        <v>0</v>
      </c>
      <c r="N223" t="n">
        <v>0</v>
      </c>
      <c r="O223" t="n">
        <v>0</v>
      </c>
      <c r="P223" t="n">
        <v>0</v>
      </c>
      <c r="Q223" t="n">
        <v>0</v>
      </c>
      <c r="R223" t="n">
        <v>0</v>
      </c>
      <c r="S223" t="n">
        <v>0</v>
      </c>
      <c r="T223" t="n">
        <v>0</v>
      </c>
      <c r="U223" t="n">
        <v>0</v>
      </c>
      <c r="V223" s="2" t="inlineStr"/>
    </row>
    <row r="224" ht="15" customHeight="1">
      <c r="A224" t="inlineStr">
        <is>
          <t>A 7360-2022</t>
        </is>
      </c>
      <c r="B224" t="inlineStr">
        <is>
          <t>avverkningsanmälan</t>
        </is>
      </c>
      <c r="C224" t="inlineStr">
        <is>
          <t>Föryngringsavverkning</t>
        </is>
      </c>
      <c r="D224" s="1" t="n">
        <v>44606</v>
      </c>
      <c r="E224" s="1" t="n">
        <v>46313</v>
      </c>
      <c r="F224" t="inlineStr">
        <is>
          <t>VÄRMLANDS LÄN</t>
        </is>
      </c>
      <c r="G224" t="inlineStr">
        <is>
          <t>SUNNE</t>
        </is>
      </c>
      <c r="I224" t="n">
        <v>1.3</v>
      </c>
      <c r="J224" t="n">
        <v>0</v>
      </c>
      <c r="K224" t="n">
        <v>0</v>
      </c>
      <c r="L224" t="n">
        <v>0</v>
      </c>
      <c r="M224" t="n">
        <v>0</v>
      </c>
      <c r="N224" t="n">
        <v>0</v>
      </c>
      <c r="O224" t="n">
        <v>0</v>
      </c>
      <c r="P224" t="n">
        <v>0</v>
      </c>
      <c r="Q224" t="n">
        <v>0</v>
      </c>
      <c r="R224" t="n">
        <v>0</v>
      </c>
      <c r="S224" t="n">
        <v>0</v>
      </c>
      <c r="T224" t="n">
        <v>0</v>
      </c>
      <c r="U224" t="n">
        <v>0</v>
      </c>
      <c r="V224" s="2" t="inlineStr"/>
    </row>
    <row r="225" ht="15" customHeight="1">
      <c r="A225" t="inlineStr">
        <is>
          <t>A 46804-2024</t>
        </is>
      </c>
      <c r="B225" t="inlineStr">
        <is>
          <t>avverkningsanmälan</t>
        </is>
      </c>
      <c r="C225" t="inlineStr">
        <is>
          <t>Föryngringsavverkning</t>
        </is>
      </c>
      <c r="D225" s="1" t="n">
        <v>45583</v>
      </c>
      <c r="E225" s="1" t="n">
        <v>46313</v>
      </c>
      <c r="F225" t="inlineStr">
        <is>
          <t>VÄRMLANDS LÄN</t>
        </is>
      </c>
      <c r="G225" t="inlineStr">
        <is>
          <t>SUNNE</t>
        </is>
      </c>
      <c r="H225" t="inlineStr">
        <is>
          <t>Kommuner</t>
        </is>
      </c>
      <c r="I225" t="n">
        <v>0.8</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55390-2024</t>
        </is>
      </c>
      <c r="B226" t="inlineStr">
        <is>
          <t>avverkningsanmälan</t>
        </is>
      </c>
      <c r="C226" t="inlineStr">
        <is>
          <t>Föryngringsavverkning</t>
        </is>
      </c>
      <c r="D226" s="1" t="n">
        <v>45622</v>
      </c>
      <c r="E226" s="1" t="n">
        <v>46313</v>
      </c>
      <c r="F226" t="inlineStr">
        <is>
          <t>VÄRMLANDS LÄN</t>
        </is>
      </c>
      <c r="G226" t="inlineStr">
        <is>
          <t>SUNNE</t>
        </is>
      </c>
      <c r="I226" t="n">
        <v>0.7</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15912-2025</t>
        </is>
      </c>
      <c r="B227" t="inlineStr">
        <is>
          <t>avverkningsanmälan</t>
        </is>
      </c>
      <c r="C227" t="inlineStr">
        <is>
          <t>Föryngringsavverkning</t>
        </is>
      </c>
      <c r="D227" s="1" t="n">
        <v>45749</v>
      </c>
      <c r="E227" s="1" t="n">
        <v>46313</v>
      </c>
      <c r="F227" t="inlineStr">
        <is>
          <t>VÄRMLANDS LÄN</t>
        </is>
      </c>
      <c r="G227" t="inlineStr">
        <is>
          <t>SUNNE</t>
        </is>
      </c>
      <c r="I227" t="n">
        <v>0.6</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47278-2024</t>
        </is>
      </c>
      <c r="B228" t="inlineStr">
        <is>
          <t>avverkningsanmälan</t>
        </is>
      </c>
      <c r="C228" t="inlineStr">
        <is>
          <t>Föryngringsavverkning</t>
        </is>
      </c>
      <c r="D228" s="1" t="n">
        <v>45586</v>
      </c>
      <c r="E228" s="1" t="n">
        <v>46313</v>
      </c>
      <c r="F228" t="inlineStr">
        <is>
          <t>VÄRMLANDS LÄN</t>
        </is>
      </c>
      <c r="G228" t="inlineStr">
        <is>
          <t>SUNNE</t>
        </is>
      </c>
      <c r="I228" t="n">
        <v>2</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15716-2024</t>
        </is>
      </c>
      <c r="B229" t="inlineStr">
        <is>
          <t>avverkningsanmälan</t>
        </is>
      </c>
      <c r="C229" t="inlineStr">
        <is>
          <t>Föryngringsavverkning</t>
        </is>
      </c>
      <c r="D229" s="1" t="n">
        <v>45404</v>
      </c>
      <c r="E229" s="1" t="n">
        <v>46313</v>
      </c>
      <c r="F229" t="inlineStr">
        <is>
          <t>VÄRMLANDS LÄN</t>
        </is>
      </c>
      <c r="G229" t="inlineStr">
        <is>
          <t>SUNNE</t>
        </is>
      </c>
      <c r="I229" t="n">
        <v>2.4</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31038-2023</t>
        </is>
      </c>
      <c r="B230" t="inlineStr">
        <is>
          <t>avverkningsanmälan</t>
        </is>
      </c>
      <c r="C230" t="inlineStr">
        <is>
          <t>Föryngringsavverkning</t>
        </is>
      </c>
      <c r="D230" s="1" t="n">
        <v>45113</v>
      </c>
      <c r="E230" s="1" t="n">
        <v>46313</v>
      </c>
      <c r="F230" t="inlineStr">
        <is>
          <t>VÄRMLANDS LÄN</t>
        </is>
      </c>
      <c r="G230" t="inlineStr">
        <is>
          <t>SUNNE</t>
        </is>
      </c>
      <c r="I230" t="n">
        <v>3.2</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42792-2024</t>
        </is>
      </c>
      <c r="B231" t="inlineStr">
        <is>
          <t>avverkningsanmälan</t>
        </is>
      </c>
      <c r="C231" t="inlineStr">
        <is>
          <t>Föryngringsavverkning</t>
        </is>
      </c>
      <c r="D231" s="1" t="n">
        <v>45566</v>
      </c>
      <c r="E231" s="1" t="n">
        <v>46313</v>
      </c>
      <c r="F231" t="inlineStr">
        <is>
          <t>VÄRMLANDS LÄN</t>
        </is>
      </c>
      <c r="G231" t="inlineStr">
        <is>
          <t>SUNNE</t>
        </is>
      </c>
      <c r="I231" t="n">
        <v>2.8</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67818-2021</t>
        </is>
      </c>
      <c r="B232" t="inlineStr">
        <is>
          <t>avverkningsanmälan</t>
        </is>
      </c>
      <c r="C232" t="inlineStr">
        <is>
          <t>Föryngringsavverkning</t>
        </is>
      </c>
      <c r="D232" s="1" t="n">
        <v>44525</v>
      </c>
      <c r="E232" s="1" t="n">
        <v>46313</v>
      </c>
      <c r="F232" t="inlineStr">
        <is>
          <t>VÄRMLANDS LÄN</t>
        </is>
      </c>
      <c r="G232" t="inlineStr">
        <is>
          <t>SUNNE</t>
        </is>
      </c>
      <c r="I232" t="n">
        <v>8.699999999999999</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25217-2023</t>
        </is>
      </c>
      <c r="B233" t="inlineStr">
        <is>
          <t>avverkningsanmälan</t>
        </is>
      </c>
      <c r="C233" t="inlineStr">
        <is>
          <t>Föryngringsavverkning</t>
        </is>
      </c>
      <c r="D233" s="1" t="n">
        <v>45086</v>
      </c>
      <c r="E233" s="1" t="n">
        <v>46313</v>
      </c>
      <c r="F233" t="inlineStr">
        <is>
          <t>VÄRMLANDS LÄN</t>
        </is>
      </c>
      <c r="G233" t="inlineStr">
        <is>
          <t>SUNNE</t>
        </is>
      </c>
      <c r="I233" t="n">
        <v>0.6</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13880-2025</t>
        </is>
      </c>
      <c r="B234" t="inlineStr">
        <is>
          <t>avverkningsanmälan</t>
        </is>
      </c>
      <c r="C234" t="inlineStr">
        <is>
          <t>Föryngringsavverkning</t>
        </is>
      </c>
      <c r="D234" s="1" t="n">
        <v>45737</v>
      </c>
      <c r="E234" s="1" t="n">
        <v>46313</v>
      </c>
      <c r="F234" t="inlineStr">
        <is>
          <t>VÄRMLANDS LÄN</t>
        </is>
      </c>
      <c r="G234" t="inlineStr">
        <is>
          <t>SUNNE</t>
        </is>
      </c>
      <c r="H234" t="inlineStr">
        <is>
          <t>Kommuner</t>
        </is>
      </c>
      <c r="I234" t="n">
        <v>2.2</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23061-2024</t>
        </is>
      </c>
      <c r="B235" t="inlineStr">
        <is>
          <t>avverkningsanmälan</t>
        </is>
      </c>
      <c r="C235" t="inlineStr">
        <is>
          <t>Föryngringsavverkning</t>
        </is>
      </c>
      <c r="D235" s="1" t="n">
        <v>45449</v>
      </c>
      <c r="E235" s="1" t="n">
        <v>46313</v>
      </c>
      <c r="F235" t="inlineStr">
        <is>
          <t>VÄRMLANDS LÄN</t>
        </is>
      </c>
      <c r="G235" t="inlineStr">
        <is>
          <t>SUNNE</t>
        </is>
      </c>
      <c r="I235" t="n">
        <v>0.9</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74230-2021</t>
        </is>
      </c>
      <c r="B236" t="inlineStr">
        <is>
          <t>avverkningsanmälan</t>
        </is>
      </c>
      <c r="C236" t="inlineStr">
        <is>
          <t>Föryngringsavverkning</t>
        </is>
      </c>
      <c r="D236" s="1" t="n">
        <v>44558</v>
      </c>
      <c r="E236" s="1" t="n">
        <v>46313</v>
      </c>
      <c r="F236" t="inlineStr">
        <is>
          <t>VÄRMLANDS LÄN</t>
        </is>
      </c>
      <c r="G236" t="inlineStr">
        <is>
          <t>SUNNE</t>
        </is>
      </c>
      <c r="I236" t="n">
        <v>1.9</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16492-2023</t>
        </is>
      </c>
      <c r="B237" t="inlineStr">
        <is>
          <t>avverkningsanmälan</t>
        </is>
      </c>
      <c r="C237" t="inlineStr">
        <is>
          <t>Föryngringsavverkning</t>
        </is>
      </c>
      <c r="D237" s="1" t="n">
        <v>45029</v>
      </c>
      <c r="E237" s="1" t="n">
        <v>46313</v>
      </c>
      <c r="F237" t="inlineStr">
        <is>
          <t>VÄRMLANDS LÄN</t>
        </is>
      </c>
      <c r="G237" t="inlineStr">
        <is>
          <t>SUNNE</t>
        </is>
      </c>
      <c r="I237" t="n">
        <v>2.8</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58623-2022</t>
        </is>
      </c>
      <c r="B238" t="inlineStr">
        <is>
          <t>avverkningsanmälan</t>
        </is>
      </c>
      <c r="C238" t="inlineStr">
        <is>
          <t>Föryngringsavverkning</t>
        </is>
      </c>
      <c r="D238" s="1" t="n">
        <v>44902</v>
      </c>
      <c r="E238" s="1" t="n">
        <v>46313</v>
      </c>
      <c r="F238" t="inlineStr">
        <is>
          <t>VÄRMLANDS LÄN</t>
        </is>
      </c>
      <c r="G238" t="inlineStr">
        <is>
          <t>SUNNE</t>
        </is>
      </c>
      <c r="I238" t="n">
        <v>0.5</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49030-2022</t>
        </is>
      </c>
      <c r="B239" t="inlineStr">
        <is>
          <t>avverkningsanmälan</t>
        </is>
      </c>
      <c r="C239" t="inlineStr">
        <is>
          <t>Avverkning för annat ändamål</t>
        </is>
      </c>
      <c r="D239" s="1" t="n">
        <v>44860</v>
      </c>
      <c r="E239" s="1" t="n">
        <v>46313</v>
      </c>
      <c r="F239" t="inlineStr">
        <is>
          <t>VÄRMLANDS LÄN</t>
        </is>
      </c>
      <c r="G239" t="inlineStr">
        <is>
          <t>SUNNE</t>
        </is>
      </c>
      <c r="I239" t="n">
        <v>0.3</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32405-2022</t>
        </is>
      </c>
      <c r="B240" t="inlineStr">
        <is>
          <t>avverkningsanmälan</t>
        </is>
      </c>
      <c r="C240" t="inlineStr">
        <is>
          <t>Föryngringsavverkning</t>
        </is>
      </c>
      <c r="D240" s="1" t="n">
        <v>44782</v>
      </c>
      <c r="E240" s="1" t="n">
        <v>46313</v>
      </c>
      <c r="F240" t="inlineStr">
        <is>
          <t>VÄRMLANDS LÄN</t>
        </is>
      </c>
      <c r="G240" t="inlineStr">
        <is>
          <t>SUNNE</t>
        </is>
      </c>
      <c r="I240" t="n">
        <v>4.1</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8285-2023</t>
        </is>
      </c>
      <c r="B241" t="inlineStr">
        <is>
          <t>avverkningsanmälan</t>
        </is>
      </c>
      <c r="C241" t="inlineStr">
        <is>
          <t>Föryngringsavverkning</t>
        </is>
      </c>
      <c r="D241" s="1" t="n">
        <v>44974</v>
      </c>
      <c r="E241" s="1" t="n">
        <v>46313</v>
      </c>
      <c r="F241" t="inlineStr">
        <is>
          <t>VÄRMLANDS LÄN</t>
        </is>
      </c>
      <c r="G241" t="inlineStr">
        <is>
          <t>SUNNE</t>
        </is>
      </c>
      <c r="I241" t="n">
        <v>1.7</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36310-2022</t>
        </is>
      </c>
      <c r="B242" t="inlineStr">
        <is>
          <t>avverkningsanmälan</t>
        </is>
      </c>
      <c r="C242" t="inlineStr">
        <is>
          <t>Föryngringsavverkning</t>
        </is>
      </c>
      <c r="D242" s="1" t="n">
        <v>44803</v>
      </c>
      <c r="E242" s="1" t="n">
        <v>46313</v>
      </c>
      <c r="F242" t="inlineStr">
        <is>
          <t>VÄRMLANDS LÄN</t>
        </is>
      </c>
      <c r="G242" t="inlineStr">
        <is>
          <t>SUNNE</t>
        </is>
      </c>
      <c r="I242" t="n">
        <v>3.1</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18115-2022</t>
        </is>
      </c>
      <c r="B243" t="inlineStr">
        <is>
          <t>avverkningsanmälan</t>
        </is>
      </c>
      <c r="C243" t="inlineStr">
        <is>
          <t>Föryngringsavverkning</t>
        </is>
      </c>
      <c r="D243" s="1" t="n">
        <v>44684</v>
      </c>
      <c r="E243" s="1" t="n">
        <v>46313</v>
      </c>
      <c r="F243" t="inlineStr">
        <is>
          <t>VÄRMLANDS LÄN</t>
        </is>
      </c>
      <c r="G243" t="inlineStr">
        <is>
          <t>SUNNE</t>
        </is>
      </c>
      <c r="I243" t="n">
        <v>1</v>
      </c>
      <c r="J243" t="n">
        <v>0</v>
      </c>
      <c r="K243" t="n">
        <v>0</v>
      </c>
      <c r="L243" t="n">
        <v>0</v>
      </c>
      <c r="M243" t="n">
        <v>0</v>
      </c>
      <c r="N243" t="n">
        <v>0</v>
      </c>
      <c r="O243" t="n">
        <v>0</v>
      </c>
      <c r="P243" t="n">
        <v>0</v>
      </c>
      <c r="Q243" t="n">
        <v>0</v>
      </c>
      <c r="R243" t="n">
        <v>0</v>
      </c>
      <c r="S243" t="n">
        <v>0</v>
      </c>
      <c r="T243" t="n">
        <v>0</v>
      </c>
      <c r="U243" t="n">
        <v>0</v>
      </c>
      <c r="V243" s="2" t="inlineStr"/>
    </row>
    <row r="244" ht="15" customHeight="1">
      <c r="A244" t="inlineStr">
        <is>
          <t>A 15908-2025</t>
        </is>
      </c>
      <c r="B244" t="inlineStr">
        <is>
          <t>avverkningsanmälan</t>
        </is>
      </c>
      <c r="C244" t="inlineStr">
        <is>
          <t>Föryngringsavverkning</t>
        </is>
      </c>
      <c r="D244" s="1" t="n">
        <v>45749</v>
      </c>
      <c r="E244" s="1" t="n">
        <v>46313</v>
      </c>
      <c r="F244" t="inlineStr">
        <is>
          <t>VÄRMLANDS LÄN</t>
        </is>
      </c>
      <c r="G244" t="inlineStr">
        <is>
          <t>SUNNE</t>
        </is>
      </c>
      <c r="I244" t="n">
        <v>0.6</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11229-2024</t>
        </is>
      </c>
      <c r="B245" t="inlineStr">
        <is>
          <t>avverkningsanmälan</t>
        </is>
      </c>
      <c r="C245" t="inlineStr">
        <is>
          <t>Föryngringsavverkning</t>
        </is>
      </c>
      <c r="D245" s="1" t="n">
        <v>45371</v>
      </c>
      <c r="E245" s="1" t="n">
        <v>46313</v>
      </c>
      <c r="F245" t="inlineStr">
        <is>
          <t>VÄRMLANDS LÄN</t>
        </is>
      </c>
      <c r="G245" t="inlineStr">
        <is>
          <t>SUNNE</t>
        </is>
      </c>
      <c r="I245" t="n">
        <v>0.7</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39175-2022</t>
        </is>
      </c>
      <c r="B246" t="inlineStr">
        <is>
          <t>avverkningsanmälan</t>
        </is>
      </c>
      <c r="C246" t="inlineStr">
        <is>
          <t>Föryngringsavverkning</t>
        </is>
      </c>
      <c r="D246" s="1" t="n">
        <v>44817</v>
      </c>
      <c r="E246" s="1" t="n">
        <v>46313</v>
      </c>
      <c r="F246" t="inlineStr">
        <is>
          <t>VÄRMLANDS LÄN</t>
        </is>
      </c>
      <c r="G246" t="inlineStr">
        <is>
          <t>SUNNE</t>
        </is>
      </c>
      <c r="I246" t="n">
        <v>2.8</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4492-2023</t>
        </is>
      </c>
      <c r="B247" t="inlineStr">
        <is>
          <t>avverkningsanmälan</t>
        </is>
      </c>
      <c r="C247" t="inlineStr">
        <is>
          <t>Föryngringsavverkning</t>
        </is>
      </c>
      <c r="D247" s="1" t="n">
        <v>44956</v>
      </c>
      <c r="E247" s="1" t="n">
        <v>46313</v>
      </c>
      <c r="F247" t="inlineStr">
        <is>
          <t>VÄRMLANDS LÄN</t>
        </is>
      </c>
      <c r="G247" t="inlineStr">
        <is>
          <t>SUNNE</t>
        </is>
      </c>
      <c r="I247" t="n">
        <v>1.1</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16864-2025</t>
        </is>
      </c>
      <c r="B248" t="inlineStr">
        <is>
          <t>avverkningsanmälan</t>
        </is>
      </c>
      <c r="C248" t="inlineStr">
        <is>
          <t>Föryngringsavverkning</t>
        </is>
      </c>
      <c r="D248" s="1" t="n">
        <v>45754</v>
      </c>
      <c r="E248" s="1" t="n">
        <v>46313</v>
      </c>
      <c r="F248" t="inlineStr">
        <is>
          <t>VÄRMLANDS LÄN</t>
        </is>
      </c>
      <c r="G248" t="inlineStr">
        <is>
          <t>SUNNE</t>
        </is>
      </c>
      <c r="I248" t="n">
        <v>0.9</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60539-2023</t>
        </is>
      </c>
      <c r="B249" t="inlineStr">
        <is>
          <t>avverkningsanmälan</t>
        </is>
      </c>
      <c r="C249" t="inlineStr">
        <is>
          <t>Föryngringsavverkning</t>
        </is>
      </c>
      <c r="D249" s="1" t="n">
        <v>45259</v>
      </c>
      <c r="E249" s="1" t="n">
        <v>46313</v>
      </c>
      <c r="F249" t="inlineStr">
        <is>
          <t>VÄRMLANDS LÄN</t>
        </is>
      </c>
      <c r="G249" t="inlineStr">
        <is>
          <t>SUNNE</t>
        </is>
      </c>
      <c r="I249" t="n">
        <v>5.5</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23167-2023</t>
        </is>
      </c>
      <c r="B250" t="inlineStr">
        <is>
          <t>avverkningsanmälan</t>
        </is>
      </c>
      <c r="C250" t="inlineStr">
        <is>
          <t>Föryngringsavverkning</t>
        </is>
      </c>
      <c r="D250" s="1" t="n">
        <v>45075</v>
      </c>
      <c r="E250" s="1" t="n">
        <v>46313</v>
      </c>
      <c r="F250" t="inlineStr">
        <is>
          <t>VÄRMLANDS LÄN</t>
        </is>
      </c>
      <c r="G250" t="inlineStr">
        <is>
          <t>SUNNE</t>
        </is>
      </c>
      <c r="I250" t="n">
        <v>1.2</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5361-2022</t>
        </is>
      </c>
      <c r="B251" t="inlineStr">
        <is>
          <t>avverkningsanmälan</t>
        </is>
      </c>
      <c r="C251" t="inlineStr">
        <is>
          <t>Föryngringsavverkning</t>
        </is>
      </c>
      <c r="D251" s="1" t="n">
        <v>44594</v>
      </c>
      <c r="E251" s="1" t="n">
        <v>46313</v>
      </c>
      <c r="F251" t="inlineStr">
        <is>
          <t>VÄRMLANDS LÄN</t>
        </is>
      </c>
      <c r="G251" t="inlineStr">
        <is>
          <t>SUNNE</t>
        </is>
      </c>
      <c r="I251" t="n">
        <v>3.2</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34265-2023</t>
        </is>
      </c>
      <c r="B252" t="inlineStr">
        <is>
          <t>avverkningsanmälan</t>
        </is>
      </c>
      <c r="C252" t="inlineStr">
        <is>
          <t>Föryngringsavverkning</t>
        </is>
      </c>
      <c r="D252" s="1" t="n">
        <v>45138</v>
      </c>
      <c r="E252" s="1" t="n">
        <v>46313</v>
      </c>
      <c r="F252" t="inlineStr">
        <is>
          <t>VÄRMLANDS LÄN</t>
        </is>
      </c>
      <c r="G252" t="inlineStr">
        <is>
          <t>SUNNE</t>
        </is>
      </c>
      <c r="I252" t="n">
        <v>8.300000000000001</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43868-2023</t>
        </is>
      </c>
      <c r="B253" t="inlineStr">
        <is>
          <t>avverkningsanmälan</t>
        </is>
      </c>
      <c r="C253" t="inlineStr">
        <is>
          <t>Föryngringsavverkning</t>
        </is>
      </c>
      <c r="D253" s="1" t="n">
        <v>45187</v>
      </c>
      <c r="E253" s="1" t="n">
        <v>46313</v>
      </c>
      <c r="F253" t="inlineStr">
        <is>
          <t>VÄRMLANDS LÄN</t>
        </is>
      </c>
      <c r="G253" t="inlineStr">
        <is>
          <t>SUNNE</t>
        </is>
      </c>
      <c r="I253" t="n">
        <v>1.1</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10675-2025</t>
        </is>
      </c>
      <c r="B254" t="inlineStr">
        <is>
          <t>avverkningsanmälan</t>
        </is>
      </c>
      <c r="C254" t="inlineStr">
        <is>
          <t>Föryngringsavverkning</t>
        </is>
      </c>
      <c r="D254" s="1" t="n">
        <v>45721</v>
      </c>
      <c r="E254" s="1" t="n">
        <v>46313</v>
      </c>
      <c r="F254" t="inlineStr">
        <is>
          <t>VÄRMLANDS LÄN</t>
        </is>
      </c>
      <c r="G254" t="inlineStr">
        <is>
          <t>SUNNE</t>
        </is>
      </c>
      <c r="I254" t="n">
        <v>0.7</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73247-2021</t>
        </is>
      </c>
      <c r="B255" t="inlineStr">
        <is>
          <t>avverkningsanmälan</t>
        </is>
      </c>
      <c r="C255" t="inlineStr">
        <is>
          <t>Föryngringsavverkning</t>
        </is>
      </c>
      <c r="D255" s="1" t="n">
        <v>44550</v>
      </c>
      <c r="E255" s="1" t="n">
        <v>46313</v>
      </c>
      <c r="F255" t="inlineStr">
        <is>
          <t>VÄRMLANDS LÄN</t>
        </is>
      </c>
      <c r="G255" t="inlineStr">
        <is>
          <t>SUNNE</t>
        </is>
      </c>
      <c r="I255" t="n">
        <v>24.7</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5347-2022</t>
        </is>
      </c>
      <c r="B256" t="inlineStr">
        <is>
          <t>avverkningsanmälan</t>
        </is>
      </c>
      <c r="C256" t="inlineStr">
        <is>
          <t>Föryngringsavverkning</t>
        </is>
      </c>
      <c r="D256" s="1" t="n">
        <v>44594</v>
      </c>
      <c r="E256" s="1" t="n">
        <v>46313</v>
      </c>
      <c r="F256" t="inlineStr">
        <is>
          <t>VÄRMLANDS LÄN</t>
        </is>
      </c>
      <c r="G256" t="inlineStr">
        <is>
          <t>SUNNE</t>
        </is>
      </c>
      <c r="I256" t="n">
        <v>0.7</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3335-2024</t>
        </is>
      </c>
      <c r="B257" t="inlineStr">
        <is>
          <t>avverkningsanmälan</t>
        </is>
      </c>
      <c r="C257" t="inlineStr">
        <is>
          <t>Föryngringsavverkning</t>
        </is>
      </c>
      <c r="D257" s="1" t="n">
        <v>45317</v>
      </c>
      <c r="E257" s="1" t="n">
        <v>46313</v>
      </c>
      <c r="F257" t="inlineStr">
        <is>
          <t>VÄRMLANDS LÄN</t>
        </is>
      </c>
      <c r="G257" t="inlineStr">
        <is>
          <t>SUNNE</t>
        </is>
      </c>
      <c r="I257" t="n">
        <v>3</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43483-2024</t>
        </is>
      </c>
      <c r="B258" t="inlineStr">
        <is>
          <t>avverkningsanmälan</t>
        </is>
      </c>
      <c r="C258" t="inlineStr">
        <is>
          <t>Föryngringsavverkning</t>
        </is>
      </c>
      <c r="D258" s="1" t="n">
        <v>45568</v>
      </c>
      <c r="E258" s="1" t="n">
        <v>46313</v>
      </c>
      <c r="F258" t="inlineStr">
        <is>
          <t>VÄRMLANDS LÄN</t>
        </is>
      </c>
      <c r="G258" t="inlineStr">
        <is>
          <t>SUNNE</t>
        </is>
      </c>
      <c r="I258" t="n">
        <v>1</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56215-2023</t>
        </is>
      </c>
      <c r="B259" t="inlineStr">
        <is>
          <t>avverkningsanmälan</t>
        </is>
      </c>
      <c r="C259" t="inlineStr">
        <is>
          <t>Föryngringsavverkning</t>
        </is>
      </c>
      <c r="D259" s="1" t="n">
        <v>45240</v>
      </c>
      <c r="E259" s="1" t="n">
        <v>46313</v>
      </c>
      <c r="F259" t="inlineStr">
        <is>
          <t>VÄRMLANDS LÄN</t>
        </is>
      </c>
      <c r="G259" t="inlineStr">
        <is>
          <t>SUNNE</t>
        </is>
      </c>
      <c r="I259" t="n">
        <v>0.6</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57721-2023</t>
        </is>
      </c>
      <c r="B260" t="inlineStr">
        <is>
          <t>avverkningsanmälan</t>
        </is>
      </c>
      <c r="C260" t="inlineStr">
        <is>
          <t>Föryngringsavverkning</t>
        </is>
      </c>
      <c r="D260" s="1" t="n">
        <v>45243</v>
      </c>
      <c r="E260" s="1" t="n">
        <v>46313</v>
      </c>
      <c r="F260" t="inlineStr">
        <is>
          <t>VÄRMLANDS LÄN</t>
        </is>
      </c>
      <c r="G260" t="inlineStr">
        <is>
          <t>SUNNE</t>
        </is>
      </c>
      <c r="I260" t="n">
        <v>2.3</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57728-2023</t>
        </is>
      </c>
      <c r="B261" t="inlineStr">
        <is>
          <t>avverkningsanmälan</t>
        </is>
      </c>
      <c r="C261" t="inlineStr">
        <is>
          <t>Föryngringsavverkning</t>
        </is>
      </c>
      <c r="D261" s="1" t="n">
        <v>45243</v>
      </c>
      <c r="E261" s="1" t="n">
        <v>46313</v>
      </c>
      <c r="F261" t="inlineStr">
        <is>
          <t>VÄRMLANDS LÄN</t>
        </is>
      </c>
      <c r="G261" t="inlineStr">
        <is>
          <t>SUNNE</t>
        </is>
      </c>
      <c r="I261" t="n">
        <v>0.6</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5012-2023</t>
        </is>
      </c>
      <c r="B262" t="inlineStr">
        <is>
          <t>avverkningsanmälan</t>
        </is>
      </c>
      <c r="C262" t="inlineStr">
        <is>
          <t>Avverkning för annat ändamål</t>
        </is>
      </c>
      <c r="D262" s="1" t="n">
        <v>44953</v>
      </c>
      <c r="E262" s="1" t="n">
        <v>46313</v>
      </c>
      <c r="F262" t="inlineStr">
        <is>
          <t>VÄRMLANDS LÄN</t>
        </is>
      </c>
      <c r="G262" t="inlineStr">
        <is>
          <t>SUNNE</t>
        </is>
      </c>
      <c r="I262" t="n">
        <v>2.2</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7496-2024</t>
        </is>
      </c>
      <c r="B263" t="inlineStr">
        <is>
          <t>avverkningsanmälan</t>
        </is>
      </c>
      <c r="C263" t="inlineStr">
        <is>
          <t>Föryngringsavverkning</t>
        </is>
      </c>
      <c r="D263" s="1" t="n">
        <v>45346</v>
      </c>
      <c r="E263" s="1" t="n">
        <v>46313</v>
      </c>
      <c r="F263" t="inlineStr">
        <is>
          <t>VÄRMLANDS LÄN</t>
        </is>
      </c>
      <c r="G263" t="inlineStr">
        <is>
          <t>SUNNE</t>
        </is>
      </c>
      <c r="I263" t="n">
        <v>0.4</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16896-2024</t>
        </is>
      </c>
      <c r="B264" t="inlineStr">
        <is>
          <t>avverkningsanmälan</t>
        </is>
      </c>
      <c r="C264" t="inlineStr">
        <is>
          <t>Föryngringsavverkning</t>
        </is>
      </c>
      <c r="D264" s="1" t="n">
        <v>45411</v>
      </c>
      <c r="E264" s="1" t="n">
        <v>46313</v>
      </c>
      <c r="F264" t="inlineStr">
        <is>
          <t>VÄRMLANDS LÄN</t>
        </is>
      </c>
      <c r="G264" t="inlineStr">
        <is>
          <t>SUNNE</t>
        </is>
      </c>
      <c r="H264" t="inlineStr">
        <is>
          <t>Bergvik skog väst AB</t>
        </is>
      </c>
      <c r="I264" t="n">
        <v>0.7</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35611-2023</t>
        </is>
      </c>
      <c r="B265" t="inlineStr">
        <is>
          <t>avverkningsanmälan</t>
        </is>
      </c>
      <c r="C265" t="inlineStr">
        <is>
          <t>Föryngringsavverkning</t>
        </is>
      </c>
      <c r="D265" s="1" t="n">
        <v>45147</v>
      </c>
      <c r="E265" s="1" t="n">
        <v>46313</v>
      </c>
      <c r="F265" t="inlineStr">
        <is>
          <t>VÄRMLANDS LÄN</t>
        </is>
      </c>
      <c r="G265" t="inlineStr">
        <is>
          <t>SUNNE</t>
        </is>
      </c>
      <c r="I265" t="n">
        <v>3.7</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11427-2022</t>
        </is>
      </c>
      <c r="B266" t="inlineStr">
        <is>
          <t>avverkningsanmälan</t>
        </is>
      </c>
      <c r="C266" t="inlineStr">
        <is>
          <t>Föryngringsavverkning</t>
        </is>
      </c>
      <c r="D266" s="1" t="n">
        <v>44630</v>
      </c>
      <c r="E266" s="1" t="n">
        <v>46313</v>
      </c>
      <c r="F266" t="inlineStr">
        <is>
          <t>VÄRMLANDS LÄN</t>
        </is>
      </c>
      <c r="G266" t="inlineStr">
        <is>
          <t>SUNNE</t>
        </is>
      </c>
      <c r="I266" t="n">
        <v>0.9</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22260-2023</t>
        </is>
      </c>
      <c r="B267" t="inlineStr">
        <is>
          <t>avverkningsanmälan</t>
        </is>
      </c>
      <c r="C267" t="inlineStr">
        <is>
          <t>Föryngringsavverkning</t>
        </is>
      </c>
      <c r="D267" s="1" t="n">
        <v>45070</v>
      </c>
      <c r="E267" s="1" t="n">
        <v>46313</v>
      </c>
      <c r="F267" t="inlineStr">
        <is>
          <t>VÄRMLANDS LÄN</t>
        </is>
      </c>
      <c r="G267" t="inlineStr">
        <is>
          <t>SUNNE</t>
        </is>
      </c>
      <c r="I267" t="n">
        <v>3.3</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48021-2023</t>
        </is>
      </c>
      <c r="B268" t="inlineStr">
        <is>
          <t>avverkningsanmälan</t>
        </is>
      </c>
      <c r="C268" t="inlineStr">
        <is>
          <t>Föryngringsavverkning</t>
        </is>
      </c>
      <c r="D268" s="1" t="n">
        <v>45204</v>
      </c>
      <c r="E268" s="1" t="n">
        <v>46313</v>
      </c>
      <c r="F268" t="inlineStr">
        <is>
          <t>VÄRMLANDS LÄN</t>
        </is>
      </c>
      <c r="G268" t="inlineStr">
        <is>
          <t>SUNNE</t>
        </is>
      </c>
      <c r="I268" t="n">
        <v>1.5</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8948-2023</t>
        </is>
      </c>
      <c r="B269" t="inlineStr">
        <is>
          <t>avverkningsanmälan</t>
        </is>
      </c>
      <c r="C269" t="inlineStr">
        <is>
          <t>Föryngringsavverkning</t>
        </is>
      </c>
      <c r="D269" s="1" t="n">
        <v>44979</v>
      </c>
      <c r="E269" s="1" t="n">
        <v>46313</v>
      </c>
      <c r="F269" t="inlineStr">
        <is>
          <t>VÄRMLANDS LÄN</t>
        </is>
      </c>
      <c r="G269" t="inlineStr">
        <is>
          <t>SUNNE</t>
        </is>
      </c>
      <c r="I269" t="n">
        <v>3.1</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7131-2023</t>
        </is>
      </c>
      <c r="B270" t="inlineStr">
        <is>
          <t>avverkningsanmälan</t>
        </is>
      </c>
      <c r="C270" t="inlineStr">
        <is>
          <t>Föryngringsavverkning</t>
        </is>
      </c>
      <c r="D270" s="1" t="n">
        <v>44970</v>
      </c>
      <c r="E270" s="1" t="n">
        <v>46313</v>
      </c>
      <c r="F270" t="inlineStr">
        <is>
          <t>VÄRMLANDS LÄN</t>
        </is>
      </c>
      <c r="G270" t="inlineStr">
        <is>
          <t>SUNNE</t>
        </is>
      </c>
      <c r="I270" t="n">
        <v>2.2</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34049-2023</t>
        </is>
      </c>
      <c r="B271" t="inlineStr">
        <is>
          <t>avverkningsanmälan</t>
        </is>
      </c>
      <c r="C271" t="inlineStr">
        <is>
          <t>Föryngringsavverkning</t>
        </is>
      </c>
      <c r="D271" s="1" t="n">
        <v>45125</v>
      </c>
      <c r="E271" s="1" t="n">
        <v>46313</v>
      </c>
      <c r="F271" t="inlineStr">
        <is>
          <t>VÄRMLANDS LÄN</t>
        </is>
      </c>
      <c r="G271" t="inlineStr">
        <is>
          <t>SUNNE</t>
        </is>
      </c>
      <c r="I271" t="n">
        <v>9</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34053-2023</t>
        </is>
      </c>
      <c r="B272" t="inlineStr">
        <is>
          <t>avverkningsanmälan</t>
        </is>
      </c>
      <c r="C272" t="inlineStr">
        <is>
          <t>Föryngringsavverkning</t>
        </is>
      </c>
      <c r="D272" s="1" t="n">
        <v>45125</v>
      </c>
      <c r="E272" s="1" t="n">
        <v>46313</v>
      </c>
      <c r="F272" t="inlineStr">
        <is>
          <t>VÄRMLANDS LÄN</t>
        </is>
      </c>
      <c r="G272" t="inlineStr">
        <is>
          <t>SUNNE</t>
        </is>
      </c>
      <c r="I272" t="n">
        <v>3.4</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42474-2023</t>
        </is>
      </c>
      <c r="B273" t="inlineStr">
        <is>
          <t>avverkningsanmälan</t>
        </is>
      </c>
      <c r="C273" t="inlineStr">
        <is>
          <t>Föryngringsavverkning</t>
        </is>
      </c>
      <c r="D273" s="1" t="n">
        <v>45180</v>
      </c>
      <c r="E273" s="1" t="n">
        <v>46313</v>
      </c>
      <c r="F273" t="inlineStr">
        <is>
          <t>VÄRMLANDS LÄN</t>
        </is>
      </c>
      <c r="G273" t="inlineStr">
        <is>
          <t>SUNNE</t>
        </is>
      </c>
      <c r="I273" t="n">
        <v>2.4</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42477-2023</t>
        </is>
      </c>
      <c r="B274" t="inlineStr">
        <is>
          <t>avverkningsanmälan</t>
        </is>
      </c>
      <c r="C274" t="inlineStr">
        <is>
          <t>Föryngringsavverkning</t>
        </is>
      </c>
      <c r="D274" s="1" t="n">
        <v>45180</v>
      </c>
      <c r="E274" s="1" t="n">
        <v>46313</v>
      </c>
      <c r="F274" t="inlineStr">
        <is>
          <t>VÄRMLANDS LÄN</t>
        </is>
      </c>
      <c r="G274" t="inlineStr">
        <is>
          <t>SUNNE</t>
        </is>
      </c>
      <c r="I274" t="n">
        <v>1.2</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57667-2022</t>
        </is>
      </c>
      <c r="B275" t="inlineStr">
        <is>
          <t>avverkningsanmälan</t>
        </is>
      </c>
      <c r="C275" t="inlineStr">
        <is>
          <t>Föryngringsavverkning</t>
        </is>
      </c>
      <c r="D275" s="1" t="n">
        <v>44897</v>
      </c>
      <c r="E275" s="1" t="n">
        <v>46313</v>
      </c>
      <c r="F275" t="inlineStr">
        <is>
          <t>VÄRMLANDS LÄN</t>
        </is>
      </c>
      <c r="G275" t="inlineStr">
        <is>
          <t>SUNNE</t>
        </is>
      </c>
      <c r="I275" t="n">
        <v>3.4</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18178-2023</t>
        </is>
      </c>
      <c r="B276" t="inlineStr">
        <is>
          <t>avverkningsanmälan</t>
        </is>
      </c>
      <c r="C276" t="inlineStr">
        <is>
          <t>Föryngringsavverkning</t>
        </is>
      </c>
      <c r="D276" s="1" t="n">
        <v>45041</v>
      </c>
      <c r="E276" s="1" t="n">
        <v>46313</v>
      </c>
      <c r="F276" t="inlineStr">
        <is>
          <t>VÄRMLANDS LÄN</t>
        </is>
      </c>
      <c r="G276" t="inlineStr">
        <is>
          <t>SUNNE</t>
        </is>
      </c>
      <c r="I276" t="n">
        <v>5.5</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44869-2023</t>
        </is>
      </c>
      <c r="B277" t="inlineStr">
        <is>
          <t>avverkningsanmälan</t>
        </is>
      </c>
      <c r="C277" t="inlineStr">
        <is>
          <t>Föryngringsavverkning</t>
        </is>
      </c>
      <c r="D277" s="1" t="n">
        <v>45190</v>
      </c>
      <c r="E277" s="1" t="n">
        <v>46313</v>
      </c>
      <c r="F277" t="inlineStr">
        <is>
          <t>VÄRMLANDS LÄN</t>
        </is>
      </c>
      <c r="G277" t="inlineStr">
        <is>
          <t>SUNNE</t>
        </is>
      </c>
      <c r="I277" t="n">
        <v>0.9</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3995-2022</t>
        </is>
      </c>
      <c r="B278" t="inlineStr">
        <is>
          <t>avverkningsanmälan</t>
        </is>
      </c>
      <c r="C278" t="inlineStr">
        <is>
          <t>Föryngringsavverkning</t>
        </is>
      </c>
      <c r="D278" s="1" t="n">
        <v>44587</v>
      </c>
      <c r="E278" s="1" t="n">
        <v>46313</v>
      </c>
      <c r="F278" t="inlineStr">
        <is>
          <t>VÄRMLANDS LÄN</t>
        </is>
      </c>
      <c r="G278" t="inlineStr">
        <is>
          <t>SUNNE</t>
        </is>
      </c>
      <c r="I278" t="n">
        <v>4.4</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18183-2023</t>
        </is>
      </c>
      <c r="B279" t="inlineStr">
        <is>
          <t>avverkningsanmälan</t>
        </is>
      </c>
      <c r="C279" t="inlineStr">
        <is>
          <t>Föryngringsavverkning</t>
        </is>
      </c>
      <c r="D279" s="1" t="n">
        <v>45041</v>
      </c>
      <c r="E279" s="1" t="n">
        <v>46313</v>
      </c>
      <c r="F279" t="inlineStr">
        <is>
          <t>VÄRMLANDS LÄN</t>
        </is>
      </c>
      <c r="G279" t="inlineStr">
        <is>
          <t>SUNNE</t>
        </is>
      </c>
      <c r="I279" t="n">
        <v>1</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58367-2021</t>
        </is>
      </c>
      <c r="B280" t="inlineStr">
        <is>
          <t>avverkningsanmälan</t>
        </is>
      </c>
      <c r="C280" t="inlineStr">
        <is>
          <t>Föryngringsavverkning</t>
        </is>
      </c>
      <c r="D280" s="1" t="n">
        <v>44488</v>
      </c>
      <c r="E280" s="1" t="n">
        <v>46313</v>
      </c>
      <c r="F280" t="inlineStr">
        <is>
          <t>VÄRMLANDS LÄN</t>
        </is>
      </c>
      <c r="G280" t="inlineStr">
        <is>
          <t>SUNNE</t>
        </is>
      </c>
      <c r="I280" t="n">
        <v>0.5</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13306-2025</t>
        </is>
      </c>
      <c r="B281" t="inlineStr">
        <is>
          <t>avverkningsanmälan</t>
        </is>
      </c>
      <c r="C281" t="inlineStr">
        <is>
          <t>Föryngringsavverkning</t>
        </is>
      </c>
      <c r="D281" s="1" t="n">
        <v>45735</v>
      </c>
      <c r="E281" s="1" t="n">
        <v>46313</v>
      </c>
      <c r="F281" t="inlineStr">
        <is>
          <t>VÄRMLANDS LÄN</t>
        </is>
      </c>
      <c r="G281" t="inlineStr">
        <is>
          <t>SUNNE</t>
        </is>
      </c>
      <c r="I281" t="n">
        <v>0.6</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5709-2025</t>
        </is>
      </c>
      <c r="B282" t="inlineStr">
        <is>
          <t>avverkningsanmälan</t>
        </is>
      </c>
      <c r="C282" t="inlineStr">
        <is>
          <t>Föryngringsavverkning</t>
        </is>
      </c>
      <c r="D282" s="1" t="n">
        <v>45694</v>
      </c>
      <c r="E282" s="1" t="n">
        <v>46313</v>
      </c>
      <c r="F282" t="inlineStr">
        <is>
          <t>VÄRMLANDS LÄN</t>
        </is>
      </c>
      <c r="G282" t="inlineStr">
        <is>
          <t>SUNNE</t>
        </is>
      </c>
      <c r="I282" t="n">
        <v>11.3</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17817-2025</t>
        </is>
      </c>
      <c r="B283" t="inlineStr">
        <is>
          <t>avverkningsanmälan</t>
        </is>
      </c>
      <c r="C283" t="inlineStr">
        <is>
          <t>Föryngringsavverkning</t>
        </is>
      </c>
      <c r="D283" s="1" t="n">
        <v>45758</v>
      </c>
      <c r="E283" s="1" t="n">
        <v>46313</v>
      </c>
      <c r="F283" t="inlineStr">
        <is>
          <t>VÄRMLANDS LÄN</t>
        </is>
      </c>
      <c r="G283" t="inlineStr">
        <is>
          <t>SUNNE</t>
        </is>
      </c>
      <c r="I283" t="n">
        <v>1.7</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28025-2023</t>
        </is>
      </c>
      <c r="B284" t="inlineStr">
        <is>
          <t>avverkningsanmälan</t>
        </is>
      </c>
      <c r="C284" t="inlineStr">
        <is>
          <t>Föryngringsavverkning</t>
        </is>
      </c>
      <c r="D284" s="1" t="n">
        <v>45098</v>
      </c>
      <c r="E284" s="1" t="n">
        <v>46313</v>
      </c>
      <c r="F284" t="inlineStr">
        <is>
          <t>VÄRMLANDS LÄN</t>
        </is>
      </c>
      <c r="G284" t="inlineStr">
        <is>
          <t>SUNNE</t>
        </is>
      </c>
      <c r="I284" t="n">
        <v>5.6</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24172-2023</t>
        </is>
      </c>
      <c r="B285" t="inlineStr">
        <is>
          <t>avverkningsanmälan</t>
        </is>
      </c>
      <c r="C285" t="inlineStr">
        <is>
          <t>Föryngringsavverkning</t>
        </is>
      </c>
      <c r="D285" s="1" t="n">
        <v>45079</v>
      </c>
      <c r="E285" s="1" t="n">
        <v>46313</v>
      </c>
      <c r="F285" t="inlineStr">
        <is>
          <t>VÄRMLANDS LÄN</t>
        </is>
      </c>
      <c r="G285" t="inlineStr">
        <is>
          <t>SUNNE</t>
        </is>
      </c>
      <c r="I285" t="n">
        <v>0.8</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62166-2024</t>
        </is>
      </c>
      <c r="B286" t="inlineStr">
        <is>
          <t>avverkningsanmälan</t>
        </is>
      </c>
      <c r="C286" t="inlineStr">
        <is>
          <t>Föryngringsavverkning</t>
        </is>
      </c>
      <c r="D286" s="1" t="n">
        <v>45657</v>
      </c>
      <c r="E286" s="1" t="n">
        <v>46313</v>
      </c>
      <c r="F286" t="inlineStr">
        <is>
          <t>VÄRMLANDS LÄN</t>
        </is>
      </c>
      <c r="G286" t="inlineStr">
        <is>
          <t>SUNNE</t>
        </is>
      </c>
      <c r="I286" t="n">
        <v>1.3</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30645-2024</t>
        </is>
      </c>
      <c r="B287" t="inlineStr">
        <is>
          <t>avverkningsanmälan</t>
        </is>
      </c>
      <c r="C287" t="inlineStr">
        <is>
          <t>Föryngringsavverkning</t>
        </is>
      </c>
      <c r="D287" s="1" t="n">
        <v>45495</v>
      </c>
      <c r="E287" s="1" t="n">
        <v>46313</v>
      </c>
      <c r="F287" t="inlineStr">
        <is>
          <t>VÄRMLANDS LÄN</t>
        </is>
      </c>
      <c r="G287" t="inlineStr">
        <is>
          <t>SUNNE</t>
        </is>
      </c>
      <c r="H287" t="inlineStr">
        <is>
          <t>Bergvik skog väst AB</t>
        </is>
      </c>
      <c r="I287" t="n">
        <v>4.1</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30207-2023</t>
        </is>
      </c>
      <c r="B288" t="inlineStr">
        <is>
          <t>avverkningsanmälan</t>
        </is>
      </c>
      <c r="C288" t="inlineStr">
        <is>
          <t>Föryngringsavverkning</t>
        </is>
      </c>
      <c r="D288" s="1" t="n">
        <v>45110</v>
      </c>
      <c r="E288" s="1" t="n">
        <v>46313</v>
      </c>
      <c r="F288" t="inlineStr">
        <is>
          <t>VÄRMLANDS LÄN</t>
        </is>
      </c>
      <c r="G288" t="inlineStr">
        <is>
          <t>SUNNE</t>
        </is>
      </c>
      <c r="I288" t="n">
        <v>1.5</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73214-2021</t>
        </is>
      </c>
      <c r="B289" t="inlineStr">
        <is>
          <t>avverkningsanmälan</t>
        </is>
      </c>
      <c r="C289" t="inlineStr">
        <is>
          <t>Föryngringsavverkning</t>
        </is>
      </c>
      <c r="D289" s="1" t="n">
        <v>44550</v>
      </c>
      <c r="E289" s="1" t="n">
        <v>46313</v>
      </c>
      <c r="F289" t="inlineStr">
        <is>
          <t>VÄRMLANDS LÄN</t>
        </is>
      </c>
      <c r="G289" t="inlineStr">
        <is>
          <t>SUNNE</t>
        </is>
      </c>
      <c r="I289" t="n">
        <v>1.1</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9173-2023</t>
        </is>
      </c>
      <c r="B290" t="inlineStr">
        <is>
          <t>avverkningsanmälan</t>
        </is>
      </c>
      <c r="C290" t="inlineStr">
        <is>
          <t>Föryngringsavverkning</t>
        </is>
      </c>
      <c r="D290" s="1" t="n">
        <v>44980</v>
      </c>
      <c r="E290" s="1" t="n">
        <v>46313</v>
      </c>
      <c r="F290" t="inlineStr">
        <is>
          <t>VÄRMLANDS LÄN</t>
        </is>
      </c>
      <c r="G290" t="inlineStr">
        <is>
          <t>SUNNE</t>
        </is>
      </c>
      <c r="I290" t="n">
        <v>0.7</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3852-2024</t>
        </is>
      </c>
      <c r="B291" t="inlineStr">
        <is>
          <t>avverkningsanmälan</t>
        </is>
      </c>
      <c r="C291" t="inlineStr">
        <is>
          <t>Föryngringsavverkning</t>
        </is>
      </c>
      <c r="D291" s="1" t="n">
        <v>45322</v>
      </c>
      <c r="E291" s="1" t="n">
        <v>46313</v>
      </c>
      <c r="F291" t="inlineStr">
        <is>
          <t>VÄRMLANDS LÄN</t>
        </is>
      </c>
      <c r="G291" t="inlineStr">
        <is>
          <t>SUNNE</t>
        </is>
      </c>
      <c r="I291" t="n">
        <v>0.7</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55147-2022</t>
        </is>
      </c>
      <c r="B292" t="inlineStr">
        <is>
          <t>avverkningsanmälan</t>
        </is>
      </c>
      <c r="C292" t="inlineStr">
        <is>
          <t>Föryngringsavverkning</t>
        </is>
      </c>
      <c r="D292" s="1" t="n">
        <v>44886</v>
      </c>
      <c r="E292" s="1" t="n">
        <v>46313</v>
      </c>
      <c r="F292" t="inlineStr">
        <is>
          <t>VÄRMLANDS LÄN</t>
        </is>
      </c>
      <c r="G292" t="inlineStr">
        <is>
          <t>SUNNE</t>
        </is>
      </c>
      <c r="I292" t="n">
        <v>1.2</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35558-2023</t>
        </is>
      </c>
      <c r="B293" t="inlineStr">
        <is>
          <t>avverkningsanmälan</t>
        </is>
      </c>
      <c r="C293" t="inlineStr">
        <is>
          <t>Föryngringsavverkning</t>
        </is>
      </c>
      <c r="D293" s="1" t="n">
        <v>45147</v>
      </c>
      <c r="E293" s="1" t="n">
        <v>46313</v>
      </c>
      <c r="F293" t="inlineStr">
        <is>
          <t>VÄRMLANDS LÄN</t>
        </is>
      </c>
      <c r="G293" t="inlineStr">
        <is>
          <t>SUNNE</t>
        </is>
      </c>
      <c r="I293" t="n">
        <v>2.4</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17124-2024</t>
        </is>
      </c>
      <c r="B294" t="inlineStr">
        <is>
          <t>avverkningsanmälan</t>
        </is>
      </c>
      <c r="C294" t="inlineStr">
        <is>
          <t>Föryngringsavverkning</t>
        </is>
      </c>
      <c r="D294" s="1" t="n">
        <v>45412</v>
      </c>
      <c r="E294" s="1" t="n">
        <v>46313</v>
      </c>
      <c r="F294" t="inlineStr">
        <is>
          <t>VÄRMLANDS LÄN</t>
        </is>
      </c>
      <c r="G294" t="inlineStr">
        <is>
          <t>SUNNE</t>
        </is>
      </c>
      <c r="I294" t="n">
        <v>0.7</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72783-2021</t>
        </is>
      </c>
      <c r="B295" t="inlineStr">
        <is>
          <t>avverkningsanmälan</t>
        </is>
      </c>
      <c r="C295" t="inlineStr">
        <is>
          <t>Föryngringsavverkning</t>
        </is>
      </c>
      <c r="D295" s="1" t="n">
        <v>44547</v>
      </c>
      <c r="E295" s="1" t="n">
        <v>46313</v>
      </c>
      <c r="F295" t="inlineStr">
        <is>
          <t>VÄRMLANDS LÄN</t>
        </is>
      </c>
      <c r="G295" t="inlineStr">
        <is>
          <t>SUNNE</t>
        </is>
      </c>
      <c r="I295" t="n">
        <v>1</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44369-2022</t>
        </is>
      </c>
      <c r="B296" t="inlineStr">
        <is>
          <t>avverkningsanmälan</t>
        </is>
      </c>
      <c r="C296" t="inlineStr">
        <is>
          <t>Föryngringsavverkning</t>
        </is>
      </c>
      <c r="D296" s="1" t="n">
        <v>44839</v>
      </c>
      <c r="E296" s="1" t="n">
        <v>46313</v>
      </c>
      <c r="F296" t="inlineStr">
        <is>
          <t>VÄRMLANDS LÄN</t>
        </is>
      </c>
      <c r="G296" t="inlineStr">
        <is>
          <t>SUNNE</t>
        </is>
      </c>
      <c r="I296" t="n">
        <v>1.7</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25208-2023</t>
        </is>
      </c>
      <c r="B297" t="inlineStr">
        <is>
          <t>avverkningsanmälan</t>
        </is>
      </c>
      <c r="C297" t="inlineStr">
        <is>
          <t>Föryngringsavverkning</t>
        </is>
      </c>
      <c r="D297" s="1" t="n">
        <v>45086</v>
      </c>
      <c r="E297" s="1" t="n">
        <v>46313</v>
      </c>
      <c r="F297" t="inlineStr">
        <is>
          <t>VÄRMLANDS LÄN</t>
        </is>
      </c>
      <c r="G297" t="inlineStr">
        <is>
          <t>SUNNE</t>
        </is>
      </c>
      <c r="I297" t="n">
        <v>0.7</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4200-2024</t>
        </is>
      </c>
      <c r="B298" t="inlineStr">
        <is>
          <t>avverkningsanmälan</t>
        </is>
      </c>
      <c r="C298" t="inlineStr">
        <is>
          <t>Föryngringsavverkning</t>
        </is>
      </c>
      <c r="D298" s="1" t="n">
        <v>45324</v>
      </c>
      <c r="E298" s="1" t="n">
        <v>46313</v>
      </c>
      <c r="F298" t="inlineStr">
        <is>
          <t>VÄRMLANDS LÄN</t>
        </is>
      </c>
      <c r="G298" t="inlineStr">
        <is>
          <t>SUNNE</t>
        </is>
      </c>
      <c r="I298" t="n">
        <v>2.6</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61430-2023</t>
        </is>
      </c>
      <c r="B299" t="inlineStr">
        <is>
          <t>avverkningsanmälan</t>
        </is>
      </c>
      <c r="C299" t="inlineStr">
        <is>
          <t>Föryngringsavverkning</t>
        </is>
      </c>
      <c r="D299" s="1" t="n">
        <v>45261</v>
      </c>
      <c r="E299" s="1" t="n">
        <v>46313</v>
      </c>
      <c r="F299" t="inlineStr">
        <is>
          <t>VÄRMLANDS LÄN</t>
        </is>
      </c>
      <c r="G299" t="inlineStr">
        <is>
          <t>SUNNE</t>
        </is>
      </c>
      <c r="I299" t="n">
        <v>2.2</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44899-2022</t>
        </is>
      </c>
      <c r="B300" t="inlineStr">
        <is>
          <t>avverkningsanmälan</t>
        </is>
      </c>
      <c r="C300" t="inlineStr">
        <is>
          <t>Föryngringsavverkning</t>
        </is>
      </c>
      <c r="D300" s="1" t="n">
        <v>44841</v>
      </c>
      <c r="E300" s="1" t="n">
        <v>46313</v>
      </c>
      <c r="F300" t="inlineStr">
        <is>
          <t>VÄRMLANDS LÄN</t>
        </is>
      </c>
      <c r="G300" t="inlineStr">
        <is>
          <t>SUNNE</t>
        </is>
      </c>
      <c r="I300" t="n">
        <v>1.3</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24923-2023</t>
        </is>
      </c>
      <c r="B301" t="inlineStr">
        <is>
          <t>avverkningsanmälan</t>
        </is>
      </c>
      <c r="C301" t="inlineStr">
        <is>
          <t>Föryngringsavverkning</t>
        </is>
      </c>
      <c r="D301" s="1" t="n">
        <v>45085</v>
      </c>
      <c r="E301" s="1" t="n">
        <v>46313</v>
      </c>
      <c r="F301" t="inlineStr">
        <is>
          <t>VÄRMLANDS LÄN</t>
        </is>
      </c>
      <c r="G301" t="inlineStr">
        <is>
          <t>SUNNE</t>
        </is>
      </c>
      <c r="I301" t="n">
        <v>4.2</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29742-2023</t>
        </is>
      </c>
      <c r="B302" t="inlineStr">
        <is>
          <t>avverkningsanmälan</t>
        </is>
      </c>
      <c r="C302" t="inlineStr">
        <is>
          <t>Föryngringsavverkning</t>
        </is>
      </c>
      <c r="D302" s="1" t="n">
        <v>45107</v>
      </c>
      <c r="E302" s="1" t="n">
        <v>46313</v>
      </c>
      <c r="F302" t="inlineStr">
        <is>
          <t>VÄRMLANDS LÄN</t>
        </is>
      </c>
      <c r="G302" t="inlineStr">
        <is>
          <t>SUNNE</t>
        </is>
      </c>
      <c r="I302" t="n">
        <v>0.7</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27727-2023</t>
        </is>
      </c>
      <c r="B303" t="inlineStr">
        <is>
          <t>avverkningsanmälan</t>
        </is>
      </c>
      <c r="C303" t="inlineStr">
        <is>
          <t>Föryngringsavverkning</t>
        </is>
      </c>
      <c r="D303" s="1" t="n">
        <v>45093</v>
      </c>
      <c r="E303" s="1" t="n">
        <v>46313</v>
      </c>
      <c r="F303" t="inlineStr">
        <is>
          <t>VÄRMLANDS LÄN</t>
        </is>
      </c>
      <c r="G303" t="inlineStr">
        <is>
          <t>SUNNE</t>
        </is>
      </c>
      <c r="I303" t="n">
        <v>1.6</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26995-2024</t>
        </is>
      </c>
      <c r="B304" t="inlineStr">
        <is>
          <t>avverkningsanmälan</t>
        </is>
      </c>
      <c r="C304" t="inlineStr">
        <is>
          <t>Föryngringsavverkning</t>
        </is>
      </c>
      <c r="D304" s="1" t="n">
        <v>45471</v>
      </c>
      <c r="E304" s="1" t="n">
        <v>46313</v>
      </c>
      <c r="F304" t="inlineStr">
        <is>
          <t>VÄRMLANDS LÄN</t>
        </is>
      </c>
      <c r="G304" t="inlineStr">
        <is>
          <t>SUNNE</t>
        </is>
      </c>
      <c r="H304" t="inlineStr">
        <is>
          <t>Bergvik skog väst AB</t>
        </is>
      </c>
      <c r="I304" t="n">
        <v>2</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7199-2023</t>
        </is>
      </c>
      <c r="B305" t="inlineStr">
        <is>
          <t>avverkningsanmälan</t>
        </is>
      </c>
      <c r="C305" t="inlineStr">
        <is>
          <t>Föryngringsavverkning</t>
        </is>
      </c>
      <c r="D305" s="1" t="n">
        <v>44970</v>
      </c>
      <c r="E305" s="1" t="n">
        <v>46313</v>
      </c>
      <c r="F305" t="inlineStr">
        <is>
          <t>VÄRMLANDS LÄN</t>
        </is>
      </c>
      <c r="G305" t="inlineStr">
        <is>
          <t>SUNNE</t>
        </is>
      </c>
      <c r="I305" t="n">
        <v>0.6</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24393-2023</t>
        </is>
      </c>
      <c r="B306" t="inlineStr">
        <is>
          <t>avverkningsanmälan</t>
        </is>
      </c>
      <c r="C306" t="inlineStr">
        <is>
          <t>Föryngringsavverkning</t>
        </is>
      </c>
      <c r="D306" s="1" t="n">
        <v>45082</v>
      </c>
      <c r="E306" s="1" t="n">
        <v>46313</v>
      </c>
      <c r="F306" t="inlineStr">
        <is>
          <t>VÄRMLANDS LÄN</t>
        </is>
      </c>
      <c r="G306" t="inlineStr">
        <is>
          <t>SUNNE</t>
        </is>
      </c>
      <c r="I306" t="n">
        <v>1.1</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2384-2022</t>
        </is>
      </c>
      <c r="B307" t="inlineStr">
        <is>
          <t>avverkningsanmälan</t>
        </is>
      </c>
      <c r="C307" t="inlineStr">
        <is>
          <t>Föryngringsavverkning</t>
        </is>
      </c>
      <c r="D307" s="1" t="n">
        <v>44579</v>
      </c>
      <c r="E307" s="1" t="n">
        <v>46313</v>
      </c>
      <c r="F307" t="inlineStr">
        <is>
          <t>VÄRMLANDS LÄN</t>
        </is>
      </c>
      <c r="G307" t="inlineStr">
        <is>
          <t>SUNNE</t>
        </is>
      </c>
      <c r="I307" t="n">
        <v>3.6</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18542-2024</t>
        </is>
      </c>
      <c r="B308" t="inlineStr">
        <is>
          <t>avverkningsanmälan</t>
        </is>
      </c>
      <c r="C308" t="inlineStr">
        <is>
          <t>Föryngringsavverkning</t>
        </is>
      </c>
      <c r="D308" s="1" t="n">
        <v>45425</v>
      </c>
      <c r="E308" s="1" t="n">
        <v>46313</v>
      </c>
      <c r="F308" t="inlineStr">
        <is>
          <t>VÄRMLANDS LÄN</t>
        </is>
      </c>
      <c r="G308" t="inlineStr">
        <is>
          <t>SUNNE</t>
        </is>
      </c>
      <c r="I308" t="n">
        <v>0.9</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26862-2022</t>
        </is>
      </c>
      <c r="B309" t="inlineStr">
        <is>
          <t>avverkningsanmälan</t>
        </is>
      </c>
      <c r="C309" t="inlineStr">
        <is>
          <t>Föryngringsavverkning</t>
        </is>
      </c>
      <c r="D309" s="1" t="n">
        <v>44740</v>
      </c>
      <c r="E309" s="1" t="n">
        <v>46313</v>
      </c>
      <c r="F309" t="inlineStr">
        <is>
          <t>VÄRMLANDS LÄN</t>
        </is>
      </c>
      <c r="G309" t="inlineStr">
        <is>
          <t>SUNNE</t>
        </is>
      </c>
      <c r="I309" t="n">
        <v>1.5</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47219-2023</t>
        </is>
      </c>
      <c r="B310" t="inlineStr">
        <is>
          <t>avverkningsanmälan</t>
        </is>
      </c>
      <c r="C310" t="inlineStr">
        <is>
          <t>Föryngringsavverkning</t>
        </is>
      </c>
      <c r="D310" s="1" t="n">
        <v>45196</v>
      </c>
      <c r="E310" s="1" t="n">
        <v>46313</v>
      </c>
      <c r="F310" t="inlineStr">
        <is>
          <t>VÄRMLANDS LÄN</t>
        </is>
      </c>
      <c r="G310" t="inlineStr">
        <is>
          <t>SUNNE</t>
        </is>
      </c>
      <c r="I310" t="n">
        <v>1.9</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1045-2024</t>
        </is>
      </c>
      <c r="B311" t="inlineStr">
        <is>
          <t>avverkningsanmälan</t>
        </is>
      </c>
      <c r="C311" t="inlineStr">
        <is>
          <t>Föryngringsavverkning</t>
        </is>
      </c>
      <c r="D311" s="1" t="n">
        <v>45301</v>
      </c>
      <c r="E311" s="1" t="n">
        <v>46313</v>
      </c>
      <c r="F311" t="inlineStr">
        <is>
          <t>VÄRMLANDS LÄN</t>
        </is>
      </c>
      <c r="G311" t="inlineStr">
        <is>
          <t>SUNNE</t>
        </is>
      </c>
      <c r="I311" t="n">
        <v>1.1</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54146-2022</t>
        </is>
      </c>
      <c r="B312" t="inlineStr">
        <is>
          <t>avverkningsanmälan</t>
        </is>
      </c>
      <c r="C312" t="inlineStr">
        <is>
          <t>Föryngringsavverkning</t>
        </is>
      </c>
      <c r="D312" s="1" t="n">
        <v>44881</v>
      </c>
      <c r="E312" s="1" t="n">
        <v>46313</v>
      </c>
      <c r="F312" t="inlineStr">
        <is>
          <t>VÄRMLANDS LÄN</t>
        </is>
      </c>
      <c r="G312" t="inlineStr">
        <is>
          <t>SUNNE</t>
        </is>
      </c>
      <c r="H312" t="inlineStr">
        <is>
          <t>Bergvik skog väst AB</t>
        </is>
      </c>
      <c r="I312" t="n">
        <v>4.5</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17042-2023</t>
        </is>
      </c>
      <c r="B313" t="inlineStr">
        <is>
          <t>avverkningsanmälan</t>
        </is>
      </c>
      <c r="C313" t="inlineStr">
        <is>
          <t>Föryngringsavverkning</t>
        </is>
      </c>
      <c r="D313" s="1" t="n">
        <v>45034</v>
      </c>
      <c r="E313" s="1" t="n">
        <v>46313</v>
      </c>
      <c r="F313" t="inlineStr">
        <is>
          <t>VÄRMLANDS LÄN</t>
        </is>
      </c>
      <c r="G313" t="inlineStr">
        <is>
          <t>SUNNE</t>
        </is>
      </c>
      <c r="I313" t="n">
        <v>0.6</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16553-2022</t>
        </is>
      </c>
      <c r="B314" t="inlineStr">
        <is>
          <t>avverkningsanmälan</t>
        </is>
      </c>
      <c r="C314" t="inlineStr">
        <is>
          <t>Föryngringsavverkning</t>
        </is>
      </c>
      <c r="D314" s="1" t="n">
        <v>44672</v>
      </c>
      <c r="E314" s="1" t="n">
        <v>46313</v>
      </c>
      <c r="F314" t="inlineStr">
        <is>
          <t>VÄRMLANDS LÄN</t>
        </is>
      </c>
      <c r="G314" t="inlineStr">
        <is>
          <t>SUNNE</t>
        </is>
      </c>
      <c r="I314" t="n">
        <v>1.4</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13728-2023</t>
        </is>
      </c>
      <c r="B315" t="inlineStr">
        <is>
          <t>avverkningsanmälan</t>
        </is>
      </c>
      <c r="C315" t="inlineStr">
        <is>
          <t>Föryngringsavverkning</t>
        </is>
      </c>
      <c r="D315" s="1" t="n">
        <v>45007</v>
      </c>
      <c r="E315" s="1" t="n">
        <v>46313</v>
      </c>
      <c r="F315" t="inlineStr">
        <is>
          <t>VÄRMLANDS LÄN</t>
        </is>
      </c>
      <c r="G315" t="inlineStr">
        <is>
          <t>SUNNE</t>
        </is>
      </c>
      <c r="I315" t="n">
        <v>3.7</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28023-2023</t>
        </is>
      </c>
      <c r="B316" t="inlineStr">
        <is>
          <t>avverkningsanmälan</t>
        </is>
      </c>
      <c r="C316" t="inlineStr">
        <is>
          <t>Föryngringsavverkning</t>
        </is>
      </c>
      <c r="D316" s="1" t="n">
        <v>45098</v>
      </c>
      <c r="E316" s="1" t="n">
        <v>46313</v>
      </c>
      <c r="F316" t="inlineStr">
        <is>
          <t>VÄRMLANDS LÄN</t>
        </is>
      </c>
      <c r="G316" t="inlineStr">
        <is>
          <t>SUNNE</t>
        </is>
      </c>
      <c r="I316" t="n">
        <v>2.6</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10134-2024</t>
        </is>
      </c>
      <c r="B317" t="inlineStr">
        <is>
          <t>avverkningsanmälan</t>
        </is>
      </c>
      <c r="C317" t="inlineStr">
        <is>
          <t>Föryngringsavverkning</t>
        </is>
      </c>
      <c r="D317" s="1" t="n">
        <v>45364</v>
      </c>
      <c r="E317" s="1" t="n">
        <v>46313</v>
      </c>
      <c r="F317" t="inlineStr">
        <is>
          <t>VÄRMLANDS LÄN</t>
        </is>
      </c>
      <c r="G317" t="inlineStr">
        <is>
          <t>SUNNE</t>
        </is>
      </c>
      <c r="I317" t="n">
        <v>1.2</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1248-2023</t>
        </is>
      </c>
      <c r="B318" t="inlineStr">
        <is>
          <t>avverkningsanmälan</t>
        </is>
      </c>
      <c r="C318" t="inlineStr">
        <is>
          <t>Föryngringsavverkning</t>
        </is>
      </c>
      <c r="D318" s="1" t="n">
        <v>44931</v>
      </c>
      <c r="E318" s="1" t="n">
        <v>46313</v>
      </c>
      <c r="F318" t="inlineStr">
        <is>
          <t>VÄRMLANDS LÄN</t>
        </is>
      </c>
      <c r="G318" t="inlineStr">
        <is>
          <t>SUNNE</t>
        </is>
      </c>
      <c r="I318" t="n">
        <v>2.5</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28004-2024</t>
        </is>
      </c>
      <c r="B319" t="inlineStr">
        <is>
          <t>avverkningsanmälan</t>
        </is>
      </c>
      <c r="C319" t="inlineStr">
        <is>
          <t>Föryngringsavverkning</t>
        </is>
      </c>
      <c r="D319" s="1" t="n">
        <v>45476</v>
      </c>
      <c r="E319" s="1" t="n">
        <v>46313</v>
      </c>
      <c r="F319" t="inlineStr">
        <is>
          <t>VÄRMLANDS LÄN</t>
        </is>
      </c>
      <c r="G319" t="inlineStr">
        <is>
          <t>SUNNE</t>
        </is>
      </c>
      <c r="I319" t="n">
        <v>2.6</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39040-2024</t>
        </is>
      </c>
      <c r="B320" t="inlineStr">
        <is>
          <t>avverkningsanmälan</t>
        </is>
      </c>
      <c r="C320" t="inlineStr">
        <is>
          <t>Föryngringsavverkning</t>
        </is>
      </c>
      <c r="D320" s="1" t="n">
        <v>45548</v>
      </c>
      <c r="E320" s="1" t="n">
        <v>46313</v>
      </c>
      <c r="F320" t="inlineStr">
        <is>
          <t>VÄRMLANDS LÄN</t>
        </is>
      </c>
      <c r="G320" t="inlineStr">
        <is>
          <t>SUNNE</t>
        </is>
      </c>
      <c r="I320" t="n">
        <v>5.6</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62703-2023</t>
        </is>
      </c>
      <c r="B321" t="inlineStr">
        <is>
          <t>avverkningsanmälan</t>
        </is>
      </c>
      <c r="C321" t="inlineStr">
        <is>
          <t>Föryngringsavverkning</t>
        </is>
      </c>
      <c r="D321" s="1" t="n">
        <v>45271</v>
      </c>
      <c r="E321" s="1" t="n">
        <v>46313</v>
      </c>
      <c r="F321" t="inlineStr">
        <is>
          <t>VÄRMLANDS LÄN</t>
        </is>
      </c>
      <c r="G321" t="inlineStr">
        <is>
          <t>SUNNE</t>
        </is>
      </c>
      <c r="I321" t="n">
        <v>0.7</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3679-2024</t>
        </is>
      </c>
      <c r="B322" t="inlineStr">
        <is>
          <t>avverkningsanmälan</t>
        </is>
      </c>
      <c r="C322" t="inlineStr">
        <is>
          <t>Föryngringsavverkning</t>
        </is>
      </c>
      <c r="D322" s="1" t="n">
        <v>45321</v>
      </c>
      <c r="E322" s="1" t="n">
        <v>46313</v>
      </c>
      <c r="F322" t="inlineStr">
        <is>
          <t>VÄRMLANDS LÄN</t>
        </is>
      </c>
      <c r="G322" t="inlineStr">
        <is>
          <t>SUNNE</t>
        </is>
      </c>
      <c r="I322" t="n">
        <v>1.1</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37221-2022</t>
        </is>
      </c>
      <c r="B323" t="inlineStr">
        <is>
          <t>avverkningsanmälan</t>
        </is>
      </c>
      <c r="C323" t="inlineStr">
        <is>
          <t>Föryngringsavverkning</t>
        </is>
      </c>
      <c r="D323" s="1" t="n">
        <v>44806</v>
      </c>
      <c r="E323" s="1" t="n">
        <v>46313</v>
      </c>
      <c r="F323" t="inlineStr">
        <is>
          <t>VÄRMLANDS LÄN</t>
        </is>
      </c>
      <c r="G323" t="inlineStr">
        <is>
          <t>SUNNE</t>
        </is>
      </c>
      <c r="I323" t="n">
        <v>11.9</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3072-2024</t>
        </is>
      </c>
      <c r="B324" t="inlineStr">
        <is>
          <t>avverkningsanmälan</t>
        </is>
      </c>
      <c r="C324" t="inlineStr">
        <is>
          <t>Föryngringsavverkning</t>
        </is>
      </c>
      <c r="D324" s="1" t="n">
        <v>45316</v>
      </c>
      <c r="E324" s="1" t="n">
        <v>46313</v>
      </c>
      <c r="F324" t="inlineStr">
        <is>
          <t>VÄRMLANDS LÄN</t>
        </is>
      </c>
      <c r="G324" t="inlineStr">
        <is>
          <t>SUNNE</t>
        </is>
      </c>
      <c r="H324" t="inlineStr">
        <is>
          <t>Kommuner</t>
        </is>
      </c>
      <c r="I324" t="n">
        <v>3.3</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30712-2023</t>
        </is>
      </c>
      <c r="B325" t="inlineStr">
        <is>
          <t>avverkningsanmälan</t>
        </is>
      </c>
      <c r="C325" t="inlineStr">
        <is>
          <t>Föryngringsavverkning</t>
        </is>
      </c>
      <c r="D325" s="1" t="n">
        <v>45112</v>
      </c>
      <c r="E325" s="1" t="n">
        <v>46313</v>
      </c>
      <c r="F325" t="inlineStr">
        <is>
          <t>VÄRMLANDS LÄN</t>
        </is>
      </c>
      <c r="G325" t="inlineStr">
        <is>
          <t>SUNNE</t>
        </is>
      </c>
      <c r="I325" t="n">
        <v>0.5</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47076-2023</t>
        </is>
      </c>
      <c r="B326" t="inlineStr">
        <is>
          <t>avverkningsanmälan</t>
        </is>
      </c>
      <c r="C326" t="inlineStr">
        <is>
          <t>Föryngringsavverkning</t>
        </is>
      </c>
      <c r="D326" s="1" t="n">
        <v>45201</v>
      </c>
      <c r="E326" s="1" t="n">
        <v>46313</v>
      </c>
      <c r="F326" t="inlineStr">
        <is>
          <t>VÄRMLANDS LÄN</t>
        </is>
      </c>
      <c r="G326" t="inlineStr">
        <is>
          <t>SUNNE</t>
        </is>
      </c>
      <c r="I326" t="n">
        <v>0.5</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56871-2023</t>
        </is>
      </c>
      <c r="B327" t="inlineStr">
        <is>
          <t>avverkningsanmälan</t>
        </is>
      </c>
      <c r="C327" t="inlineStr">
        <is>
          <t>Föryngringsavverkning</t>
        </is>
      </c>
      <c r="D327" s="1" t="n">
        <v>45244</v>
      </c>
      <c r="E327" s="1" t="n">
        <v>46313</v>
      </c>
      <c r="F327" t="inlineStr">
        <is>
          <t>VÄRMLANDS LÄN</t>
        </is>
      </c>
      <c r="G327" t="inlineStr">
        <is>
          <t>SUNNE</t>
        </is>
      </c>
      <c r="I327" t="n">
        <v>1.8</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30989-2023</t>
        </is>
      </c>
      <c r="B328" t="inlineStr">
        <is>
          <t>avverkningsanmälan</t>
        </is>
      </c>
      <c r="C328" t="inlineStr">
        <is>
          <t>Föryngringsavverkning</t>
        </is>
      </c>
      <c r="D328" s="1" t="n">
        <v>45113</v>
      </c>
      <c r="E328" s="1" t="n">
        <v>46313</v>
      </c>
      <c r="F328" t="inlineStr">
        <is>
          <t>VÄRMLANDS LÄN</t>
        </is>
      </c>
      <c r="G328" t="inlineStr">
        <is>
          <t>SUNNE</t>
        </is>
      </c>
      <c r="I328" t="n">
        <v>0.7</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32572-2024</t>
        </is>
      </c>
      <c r="B329" t="inlineStr">
        <is>
          <t>avverkningsanmälan</t>
        </is>
      </c>
      <c r="C329" t="inlineStr">
        <is>
          <t>Föryngringsavverkning</t>
        </is>
      </c>
      <c r="D329" s="1" t="n">
        <v>45513</v>
      </c>
      <c r="E329" s="1" t="n">
        <v>46313</v>
      </c>
      <c r="F329" t="inlineStr">
        <is>
          <t>VÄRMLANDS LÄN</t>
        </is>
      </c>
      <c r="G329" t="inlineStr">
        <is>
          <t>SUNNE</t>
        </is>
      </c>
      <c r="I329" t="n">
        <v>0.5</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4360-2025</t>
        </is>
      </c>
      <c r="B330" t="inlineStr">
        <is>
          <t>avverkningsanmälan</t>
        </is>
      </c>
      <c r="C330" t="inlineStr">
        <is>
          <t>Föryngringsavverkning</t>
        </is>
      </c>
      <c r="D330" s="1" t="n">
        <v>45686</v>
      </c>
      <c r="E330" s="1" t="n">
        <v>46313</v>
      </c>
      <c r="F330" t="inlineStr">
        <is>
          <t>VÄRMLANDS LÄN</t>
        </is>
      </c>
      <c r="G330" t="inlineStr">
        <is>
          <t>SUNNE</t>
        </is>
      </c>
      <c r="I330" t="n">
        <v>1.1</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13035-2025</t>
        </is>
      </c>
      <c r="B331" t="inlineStr">
        <is>
          <t>avverkningsanmälan</t>
        </is>
      </c>
      <c r="C331" t="inlineStr">
        <is>
          <t>Föryngringsavverkning</t>
        </is>
      </c>
      <c r="D331" s="1" t="n">
        <v>45734</v>
      </c>
      <c r="E331" s="1" t="n">
        <v>46313</v>
      </c>
      <c r="F331" t="inlineStr">
        <is>
          <t>VÄRMLANDS LÄN</t>
        </is>
      </c>
      <c r="G331" t="inlineStr">
        <is>
          <t>SUNNE</t>
        </is>
      </c>
      <c r="I331" t="n">
        <v>2.1</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3076-2024</t>
        </is>
      </c>
      <c r="B332" t="inlineStr">
        <is>
          <t>avverkningsanmälan</t>
        </is>
      </c>
      <c r="C332" t="inlineStr">
        <is>
          <t>Föryngringsavverkning</t>
        </is>
      </c>
      <c r="D332" s="1" t="n">
        <v>45316</v>
      </c>
      <c r="E332" s="1" t="n">
        <v>46313</v>
      </c>
      <c r="F332" t="inlineStr">
        <is>
          <t>VÄRMLANDS LÄN</t>
        </is>
      </c>
      <c r="G332" t="inlineStr">
        <is>
          <t>SUNNE</t>
        </is>
      </c>
      <c r="I332" t="n">
        <v>5.5</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50425-2023</t>
        </is>
      </c>
      <c r="B333" t="inlineStr">
        <is>
          <t>avverkningsanmälan</t>
        </is>
      </c>
      <c r="C333" t="inlineStr">
        <is>
          <t>Föryngringsavverkning</t>
        </is>
      </c>
      <c r="D333" s="1" t="n">
        <v>45216</v>
      </c>
      <c r="E333" s="1" t="n">
        <v>46313</v>
      </c>
      <c r="F333" t="inlineStr">
        <is>
          <t>VÄRMLANDS LÄN</t>
        </is>
      </c>
      <c r="G333" t="inlineStr">
        <is>
          <t>SUNNE</t>
        </is>
      </c>
      <c r="I333" t="n">
        <v>0.8</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12273-2025</t>
        </is>
      </c>
      <c r="B334" t="inlineStr">
        <is>
          <t>avverkningsanmälan</t>
        </is>
      </c>
      <c r="C334" t="inlineStr">
        <is>
          <t>Föryngringsavverkning</t>
        </is>
      </c>
      <c r="D334" s="1" t="n">
        <v>45729</v>
      </c>
      <c r="E334" s="1" t="n">
        <v>46313</v>
      </c>
      <c r="F334" t="inlineStr">
        <is>
          <t>VÄRMLANDS LÄN</t>
        </is>
      </c>
      <c r="G334" t="inlineStr">
        <is>
          <t>SUNNE</t>
        </is>
      </c>
      <c r="I334" t="n">
        <v>1.7</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26672-2024</t>
        </is>
      </c>
      <c r="B335" t="inlineStr">
        <is>
          <t>avverkningsanmälan</t>
        </is>
      </c>
      <c r="C335" t="inlineStr">
        <is>
          <t>Föryngringsavverkning</t>
        </is>
      </c>
      <c r="D335" s="1" t="n">
        <v>45470</v>
      </c>
      <c r="E335" s="1" t="n">
        <v>46313</v>
      </c>
      <c r="F335" t="inlineStr">
        <is>
          <t>VÄRMLANDS LÄN</t>
        </is>
      </c>
      <c r="G335" t="inlineStr">
        <is>
          <t>SUNNE</t>
        </is>
      </c>
      <c r="I335" t="n">
        <v>1.9</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47273-2024</t>
        </is>
      </c>
      <c r="B336" t="inlineStr">
        <is>
          <t>avverkningsanmälan</t>
        </is>
      </c>
      <c r="C336" t="inlineStr">
        <is>
          <t>Föryngringsavverkning</t>
        </is>
      </c>
      <c r="D336" s="1" t="n">
        <v>45586</v>
      </c>
      <c r="E336" s="1" t="n">
        <v>46313</v>
      </c>
      <c r="F336" t="inlineStr">
        <is>
          <t>VÄRMLANDS LÄN</t>
        </is>
      </c>
      <c r="G336" t="inlineStr">
        <is>
          <t>SUNNE</t>
        </is>
      </c>
      <c r="I336" t="n">
        <v>0.5</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43865-2024</t>
        </is>
      </c>
      <c r="B337" t="inlineStr">
        <is>
          <t>avverkningsanmälan</t>
        </is>
      </c>
      <c r="C337" t="inlineStr">
        <is>
          <t>Föryngringsavverkning</t>
        </is>
      </c>
      <c r="D337" s="1" t="n">
        <v>45572</v>
      </c>
      <c r="E337" s="1" t="n">
        <v>46313</v>
      </c>
      <c r="F337" t="inlineStr">
        <is>
          <t>VÄRMLANDS LÄN</t>
        </is>
      </c>
      <c r="G337" t="inlineStr">
        <is>
          <t>SUNNE</t>
        </is>
      </c>
      <c r="H337" t="inlineStr">
        <is>
          <t>Bergvik skog väst AB</t>
        </is>
      </c>
      <c r="I337" t="n">
        <v>1.5</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29825-2025</t>
        </is>
      </c>
      <c r="B338" t="inlineStr">
        <is>
          <t>avverkningsanmälan</t>
        </is>
      </c>
      <c r="C338" t="inlineStr">
        <is>
          <t>Föryngringsavverkning</t>
        </is>
      </c>
      <c r="D338" s="1" t="n">
        <v>45825</v>
      </c>
      <c r="E338" s="1" t="n">
        <v>46313</v>
      </c>
      <c r="F338" t="inlineStr">
        <is>
          <t>VÄRMLANDS LÄN</t>
        </is>
      </c>
      <c r="G338" t="inlineStr">
        <is>
          <t>SUNNE</t>
        </is>
      </c>
      <c r="I338" t="n">
        <v>3.2</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21495-2025</t>
        </is>
      </c>
      <c r="B339" t="inlineStr">
        <is>
          <t>avverkningsanmälan</t>
        </is>
      </c>
      <c r="C339" t="inlineStr">
        <is>
          <t>Föryngringsavverkning</t>
        </is>
      </c>
      <c r="D339" s="1" t="n">
        <v>45782</v>
      </c>
      <c r="E339" s="1" t="n">
        <v>46313</v>
      </c>
      <c r="F339" t="inlineStr">
        <is>
          <t>VÄRMLANDS LÄN</t>
        </is>
      </c>
      <c r="G339" t="inlineStr">
        <is>
          <t>SUNNE</t>
        </is>
      </c>
      <c r="I339" t="n">
        <v>1</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1626-2023</t>
        </is>
      </c>
      <c r="B340" t="inlineStr">
        <is>
          <t>avverkningsanmälan</t>
        </is>
      </c>
      <c r="C340" t="inlineStr">
        <is>
          <t>Föryngringsavverkning</t>
        </is>
      </c>
      <c r="D340" s="1" t="n">
        <v>44937</v>
      </c>
      <c r="E340" s="1" t="n">
        <v>46313</v>
      </c>
      <c r="F340" t="inlineStr">
        <is>
          <t>VÄRMLANDS LÄN</t>
        </is>
      </c>
      <c r="G340" t="inlineStr">
        <is>
          <t>SUNNE</t>
        </is>
      </c>
      <c r="I340" t="n">
        <v>0.6</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13618-2022</t>
        </is>
      </c>
      <c r="B341" t="inlineStr">
        <is>
          <t>avverkningsanmälan</t>
        </is>
      </c>
      <c r="C341" t="inlineStr">
        <is>
          <t>Föryngringsavverkning</t>
        </is>
      </c>
      <c r="D341" s="1" t="n">
        <v>44648</v>
      </c>
      <c r="E341" s="1" t="n">
        <v>46313</v>
      </c>
      <c r="F341" t="inlineStr">
        <is>
          <t>VÄRMLANDS LÄN</t>
        </is>
      </c>
      <c r="G341" t="inlineStr">
        <is>
          <t>SUNNE</t>
        </is>
      </c>
      <c r="I341" t="n">
        <v>1.1</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36550-2023</t>
        </is>
      </c>
      <c r="B342" t="inlineStr">
        <is>
          <t>avverkningsanmälan</t>
        </is>
      </c>
      <c r="C342" t="inlineStr">
        <is>
          <t>Föryngringsavverkning</t>
        </is>
      </c>
      <c r="D342" s="1" t="n">
        <v>45153</v>
      </c>
      <c r="E342" s="1" t="n">
        <v>46313</v>
      </c>
      <c r="F342" t="inlineStr">
        <is>
          <t>VÄRMLANDS LÄN</t>
        </is>
      </c>
      <c r="G342" t="inlineStr">
        <is>
          <t>SUNNE</t>
        </is>
      </c>
      <c r="I342" t="n">
        <v>3.4</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13208-2025</t>
        </is>
      </c>
      <c r="B343" t="inlineStr">
        <is>
          <t>avverkningsanmälan</t>
        </is>
      </c>
      <c r="C343" t="inlineStr">
        <is>
          <t>Föryngringsavverkning</t>
        </is>
      </c>
      <c r="D343" s="1" t="n">
        <v>45735</v>
      </c>
      <c r="E343" s="1" t="n">
        <v>46313</v>
      </c>
      <c r="F343" t="inlineStr">
        <is>
          <t>VÄRMLANDS LÄN</t>
        </is>
      </c>
      <c r="G343" t="inlineStr">
        <is>
          <t>SUNNE</t>
        </is>
      </c>
      <c r="I343" t="n">
        <v>1.5</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2332-2025</t>
        </is>
      </c>
      <c r="B344" t="inlineStr">
        <is>
          <t>avverkningsanmälan</t>
        </is>
      </c>
      <c r="C344" t="inlineStr">
        <is>
          <t>Föryngringsavverkning</t>
        </is>
      </c>
      <c r="D344" s="1" t="n">
        <v>45673</v>
      </c>
      <c r="E344" s="1" t="n">
        <v>46313</v>
      </c>
      <c r="F344" t="inlineStr">
        <is>
          <t>VÄRMLANDS LÄN</t>
        </is>
      </c>
      <c r="G344" t="inlineStr">
        <is>
          <t>SUNNE</t>
        </is>
      </c>
      <c r="I344" t="n">
        <v>4.2</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23027-2023</t>
        </is>
      </c>
      <c r="B345" t="inlineStr">
        <is>
          <t>avverkningsanmälan</t>
        </is>
      </c>
      <c r="C345" t="inlineStr">
        <is>
          <t>Föryngringsavverkning</t>
        </is>
      </c>
      <c r="D345" s="1" t="n">
        <v>45074</v>
      </c>
      <c r="E345" s="1" t="n">
        <v>46313</v>
      </c>
      <c r="F345" t="inlineStr">
        <is>
          <t>VÄRMLANDS LÄN</t>
        </is>
      </c>
      <c r="G345" t="inlineStr">
        <is>
          <t>SUNNE</t>
        </is>
      </c>
      <c r="I345" t="n">
        <v>5.2</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6706-2022</t>
        </is>
      </c>
      <c r="B346" t="inlineStr">
        <is>
          <t>avverkningsanmälan</t>
        </is>
      </c>
      <c r="C346" t="inlineStr">
        <is>
          <t>Föryngringsavverkning</t>
        </is>
      </c>
      <c r="D346" s="1" t="n">
        <v>44602</v>
      </c>
      <c r="E346" s="1" t="n">
        <v>46313</v>
      </c>
      <c r="F346" t="inlineStr">
        <is>
          <t>VÄRMLANDS LÄN</t>
        </is>
      </c>
      <c r="G346" t="inlineStr">
        <is>
          <t>SUNNE</t>
        </is>
      </c>
      <c r="I346" t="n">
        <v>2.2</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44860-2022</t>
        </is>
      </c>
      <c r="B347" t="inlineStr">
        <is>
          <t>avverkningsanmälan</t>
        </is>
      </c>
      <c r="C347" t="inlineStr">
        <is>
          <t>Föryngringsavverkning</t>
        </is>
      </c>
      <c r="D347" s="1" t="n">
        <v>44841</v>
      </c>
      <c r="E347" s="1" t="n">
        <v>46313</v>
      </c>
      <c r="F347" t="inlineStr">
        <is>
          <t>VÄRMLANDS LÄN</t>
        </is>
      </c>
      <c r="G347" t="inlineStr">
        <is>
          <t>SUNNE</t>
        </is>
      </c>
      <c r="I347" t="n">
        <v>2.4</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37666-2023</t>
        </is>
      </c>
      <c r="B348" t="inlineStr">
        <is>
          <t>avverkningsanmälan</t>
        </is>
      </c>
      <c r="C348" t="inlineStr">
        <is>
          <t>Föryngringsavverkning</t>
        </is>
      </c>
      <c r="D348" s="1" t="n">
        <v>45159</v>
      </c>
      <c r="E348" s="1" t="n">
        <v>46313</v>
      </c>
      <c r="F348" t="inlineStr">
        <is>
          <t>VÄRMLANDS LÄN</t>
        </is>
      </c>
      <c r="G348" t="inlineStr">
        <is>
          <t>SUNNE</t>
        </is>
      </c>
      <c r="I348" t="n">
        <v>0.6</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269-2025</t>
        </is>
      </c>
      <c r="B349" t="inlineStr">
        <is>
          <t>avverkningsanmälan</t>
        </is>
      </c>
      <c r="C349" t="inlineStr">
        <is>
          <t>Föryngringsavverkning</t>
        </is>
      </c>
      <c r="D349" s="1" t="n">
        <v>45660</v>
      </c>
      <c r="E349" s="1" t="n">
        <v>46313</v>
      </c>
      <c r="F349" t="inlineStr">
        <is>
          <t>VÄRMLANDS LÄN</t>
        </is>
      </c>
      <c r="G349" t="inlineStr">
        <is>
          <t>SUNNE</t>
        </is>
      </c>
      <c r="I349" t="n">
        <v>0.6</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15741-2025</t>
        </is>
      </c>
      <c r="B350" t="inlineStr">
        <is>
          <t>avverkningsanmälan</t>
        </is>
      </c>
      <c r="C350" t="inlineStr">
        <is>
          <t>Föryngringsavverkning</t>
        </is>
      </c>
      <c r="D350" s="1" t="n">
        <v>45747</v>
      </c>
      <c r="E350" s="1" t="n">
        <v>46313</v>
      </c>
      <c r="F350" t="inlineStr">
        <is>
          <t>VÄRMLANDS LÄN</t>
        </is>
      </c>
      <c r="G350" t="inlineStr">
        <is>
          <t>SUNNE</t>
        </is>
      </c>
      <c r="I350" t="n">
        <v>2.7</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20457-2025</t>
        </is>
      </c>
      <c r="B351" t="inlineStr">
        <is>
          <t>avverkningsanmälan</t>
        </is>
      </c>
      <c r="C351" t="inlineStr">
        <is>
          <t>Föryngringsavverkning</t>
        </is>
      </c>
      <c r="D351" s="1" t="n">
        <v>45775</v>
      </c>
      <c r="E351" s="1" t="n">
        <v>46313</v>
      </c>
      <c r="F351" t="inlineStr">
        <is>
          <t>VÄRMLANDS LÄN</t>
        </is>
      </c>
      <c r="G351" t="inlineStr">
        <is>
          <t>SUNNE</t>
        </is>
      </c>
      <c r="H351" t="inlineStr">
        <is>
          <t>Övriga Aktiebolag</t>
        </is>
      </c>
      <c r="I351" t="n">
        <v>1</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6362-2023</t>
        </is>
      </c>
      <c r="B352" t="inlineStr">
        <is>
          <t>avverkningsanmälan</t>
        </is>
      </c>
      <c r="C352" t="inlineStr">
        <is>
          <t>Föryngringsavverkning</t>
        </is>
      </c>
      <c r="D352" s="1" t="n">
        <v>44965</v>
      </c>
      <c r="E352" s="1" t="n">
        <v>46313</v>
      </c>
      <c r="F352" t="inlineStr">
        <is>
          <t>VÄRMLANDS LÄN</t>
        </is>
      </c>
      <c r="G352" t="inlineStr">
        <is>
          <t>SUNNE</t>
        </is>
      </c>
      <c r="I352" t="n">
        <v>1.2</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16589-2022</t>
        </is>
      </c>
      <c r="B353" t="inlineStr">
        <is>
          <t>avverkningsanmälan</t>
        </is>
      </c>
      <c r="C353" t="inlineStr">
        <is>
          <t>Föryngringsavverkning</t>
        </is>
      </c>
      <c r="D353" s="1" t="n">
        <v>44672</v>
      </c>
      <c r="E353" s="1" t="n">
        <v>46313</v>
      </c>
      <c r="F353" t="inlineStr">
        <is>
          <t>VÄRMLANDS LÄN</t>
        </is>
      </c>
      <c r="G353" t="inlineStr">
        <is>
          <t>SUNNE</t>
        </is>
      </c>
      <c r="I353" t="n">
        <v>5.4</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3260-2025</t>
        </is>
      </c>
      <c r="B354" t="inlineStr">
        <is>
          <t>avverkningsanmälan</t>
        </is>
      </c>
      <c r="C354" t="inlineStr">
        <is>
          <t>Föryngringsavverkning</t>
        </is>
      </c>
      <c r="D354" s="1" t="n">
        <v>45679</v>
      </c>
      <c r="E354" s="1" t="n">
        <v>46313</v>
      </c>
      <c r="F354" t="inlineStr">
        <is>
          <t>VÄRMLANDS LÄN</t>
        </is>
      </c>
      <c r="G354" t="inlineStr">
        <is>
          <t>SUNNE</t>
        </is>
      </c>
      <c r="I354" t="n">
        <v>1.8</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262-2023</t>
        </is>
      </c>
      <c r="B355" t="inlineStr">
        <is>
          <t>avverkningsanmälan</t>
        </is>
      </c>
      <c r="C355" t="inlineStr">
        <is>
          <t>Föryngringsavverkning</t>
        </is>
      </c>
      <c r="D355" s="1" t="n">
        <v>44928</v>
      </c>
      <c r="E355" s="1" t="n">
        <v>46313</v>
      </c>
      <c r="F355" t="inlineStr">
        <is>
          <t>VÄRMLANDS LÄN</t>
        </is>
      </c>
      <c r="G355" t="inlineStr">
        <is>
          <t>SUNNE</t>
        </is>
      </c>
      <c r="I355" t="n">
        <v>4.2</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23720-2025</t>
        </is>
      </c>
      <c r="B356" t="inlineStr">
        <is>
          <t>avverkningsanmälan</t>
        </is>
      </c>
      <c r="C356" t="inlineStr">
        <is>
          <t>Föryngringsavverkning</t>
        </is>
      </c>
      <c r="D356" s="1" t="n">
        <v>45793</v>
      </c>
      <c r="E356" s="1" t="n">
        <v>46313</v>
      </c>
      <c r="F356" t="inlineStr">
        <is>
          <t>VÄRMLANDS LÄN</t>
        </is>
      </c>
      <c r="G356" t="inlineStr">
        <is>
          <t>SUNNE</t>
        </is>
      </c>
      <c r="I356" t="n">
        <v>0.8</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23721-2025</t>
        </is>
      </c>
      <c r="B357" t="inlineStr">
        <is>
          <t>avverkningsanmälan</t>
        </is>
      </c>
      <c r="C357" t="inlineStr">
        <is>
          <t>Föryngringsavverkning</t>
        </is>
      </c>
      <c r="D357" s="1" t="n">
        <v>45793</v>
      </c>
      <c r="E357" s="1" t="n">
        <v>46313</v>
      </c>
      <c r="F357" t="inlineStr">
        <is>
          <t>VÄRMLANDS LÄN</t>
        </is>
      </c>
      <c r="G357" t="inlineStr">
        <is>
          <t>SUNNE</t>
        </is>
      </c>
      <c r="I357" t="n">
        <v>4.8</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41385-2025</t>
        </is>
      </c>
      <c r="B358" t="inlineStr">
        <is>
          <t>avverkningsanmälan</t>
        </is>
      </c>
      <c r="C358" t="inlineStr">
        <is>
          <t>Föryngringsavverkning</t>
        </is>
      </c>
      <c r="D358" s="1" t="n">
        <v>45898</v>
      </c>
      <c r="E358" s="1" t="n">
        <v>46313</v>
      </c>
      <c r="F358" t="inlineStr">
        <is>
          <t>VÄRMLANDS LÄN</t>
        </is>
      </c>
      <c r="G358" t="inlineStr">
        <is>
          <t>SUNNE</t>
        </is>
      </c>
      <c r="I358" t="n">
        <v>1.6</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30832-2024</t>
        </is>
      </c>
      <c r="B359" t="inlineStr">
        <is>
          <t>avverkningsanmälan</t>
        </is>
      </c>
      <c r="C359" t="inlineStr">
        <is>
          <t>Föryngringsavverkning</t>
        </is>
      </c>
      <c r="D359" s="1" t="n">
        <v>45497</v>
      </c>
      <c r="E359" s="1" t="n">
        <v>46313</v>
      </c>
      <c r="F359" t="inlineStr">
        <is>
          <t>VÄRMLANDS LÄN</t>
        </is>
      </c>
      <c r="G359" t="inlineStr">
        <is>
          <t>SUNNE</t>
        </is>
      </c>
      <c r="H359" t="inlineStr">
        <is>
          <t>Bergvik skog väst AB</t>
        </is>
      </c>
      <c r="I359" t="n">
        <v>1.4</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32393-2022</t>
        </is>
      </c>
      <c r="B360" t="inlineStr">
        <is>
          <t>avverkningsanmälan</t>
        </is>
      </c>
      <c r="C360" t="inlineStr">
        <is>
          <t>Föryngringsavverkning</t>
        </is>
      </c>
      <c r="D360" s="1" t="n">
        <v>44781</v>
      </c>
      <c r="E360" s="1" t="n">
        <v>46313</v>
      </c>
      <c r="F360" t="inlineStr">
        <is>
          <t>VÄRMLANDS LÄN</t>
        </is>
      </c>
      <c r="G360" t="inlineStr">
        <is>
          <t>SUNNE</t>
        </is>
      </c>
      <c r="I360" t="n">
        <v>4</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50815-2024</t>
        </is>
      </c>
      <c r="B361" t="inlineStr">
        <is>
          <t>avverkningsanmälan</t>
        </is>
      </c>
      <c r="C361" t="inlineStr">
        <is>
          <t>Föryngringsavverkning</t>
        </is>
      </c>
      <c r="D361" s="1" t="n">
        <v>45602</v>
      </c>
      <c r="E361" s="1" t="n">
        <v>46313</v>
      </c>
      <c r="F361" t="inlineStr">
        <is>
          <t>VÄRMLANDS LÄN</t>
        </is>
      </c>
      <c r="G361" t="inlineStr">
        <is>
          <t>SUNNE</t>
        </is>
      </c>
      <c r="I361" t="n">
        <v>2.5</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64446-2023</t>
        </is>
      </c>
      <c r="B362" t="inlineStr">
        <is>
          <t>avverkningsanmälan</t>
        </is>
      </c>
      <c r="C362" t="inlineStr">
        <is>
          <t>Föryngringsavverkning</t>
        </is>
      </c>
      <c r="D362" s="1" t="n">
        <v>45280</v>
      </c>
      <c r="E362" s="1" t="n">
        <v>46313</v>
      </c>
      <c r="F362" t="inlineStr">
        <is>
          <t>VÄRMLANDS LÄN</t>
        </is>
      </c>
      <c r="G362" t="inlineStr">
        <is>
          <t>SUNNE</t>
        </is>
      </c>
      <c r="I362" t="n">
        <v>6.7</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40740-2024</t>
        </is>
      </c>
      <c r="B363" t="inlineStr">
        <is>
          <t>avverkningsanmälan</t>
        </is>
      </c>
      <c r="C363" t="inlineStr">
        <is>
          <t>Föryngringsavverkning</t>
        </is>
      </c>
      <c r="D363" s="1" t="n">
        <v>45558</v>
      </c>
      <c r="E363" s="1" t="n">
        <v>46313</v>
      </c>
      <c r="F363" t="inlineStr">
        <is>
          <t>VÄRMLANDS LÄN</t>
        </is>
      </c>
      <c r="G363" t="inlineStr">
        <is>
          <t>SUNNE</t>
        </is>
      </c>
      <c r="I363" t="n">
        <v>21.9</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60761-2022</t>
        </is>
      </c>
      <c r="B364" t="inlineStr">
        <is>
          <t>avverkningsanmälan</t>
        </is>
      </c>
      <c r="C364" t="inlineStr">
        <is>
          <t>Föryngringsavverkning</t>
        </is>
      </c>
      <c r="D364" s="1" t="n">
        <v>44914</v>
      </c>
      <c r="E364" s="1" t="n">
        <v>46313</v>
      </c>
      <c r="F364" t="inlineStr">
        <is>
          <t>VÄRMLANDS LÄN</t>
        </is>
      </c>
      <c r="G364" t="inlineStr">
        <is>
          <t>SUNNE</t>
        </is>
      </c>
      <c r="I364" t="n">
        <v>12.1</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39336-2025</t>
        </is>
      </c>
      <c r="B365" t="inlineStr">
        <is>
          <t>avverkningsanmälan</t>
        </is>
      </c>
      <c r="C365" t="inlineStr">
        <is>
          <t>Föryngringsavverkning</t>
        </is>
      </c>
      <c r="D365" s="1" t="n">
        <v>45889</v>
      </c>
      <c r="E365" s="1" t="n">
        <v>46313</v>
      </c>
      <c r="F365" t="inlineStr">
        <is>
          <t>VÄRMLANDS LÄN</t>
        </is>
      </c>
      <c r="G365" t="inlineStr">
        <is>
          <t>SUNNE</t>
        </is>
      </c>
      <c r="I365" t="n">
        <v>5.6</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19908-2025</t>
        </is>
      </c>
      <c r="B366" t="inlineStr">
        <is>
          <t>avverkningsanmälan</t>
        </is>
      </c>
      <c r="C366" t="inlineStr">
        <is>
          <t>Föryngringsavverkning</t>
        </is>
      </c>
      <c r="D366" s="1" t="n">
        <v>45771</v>
      </c>
      <c r="E366" s="1" t="n">
        <v>46313</v>
      </c>
      <c r="F366" t="inlineStr">
        <is>
          <t>VÄRMLANDS LÄN</t>
        </is>
      </c>
      <c r="G366" t="inlineStr">
        <is>
          <t>SUNNE</t>
        </is>
      </c>
      <c r="I366" t="n">
        <v>1.2</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9608-2022</t>
        </is>
      </c>
      <c r="B367" t="inlineStr">
        <is>
          <t>avverkningsanmälan</t>
        </is>
      </c>
      <c r="C367" t="inlineStr">
        <is>
          <t>Föryngringsavverkning</t>
        </is>
      </c>
      <c r="D367" s="1" t="n">
        <v>44617</v>
      </c>
      <c r="E367" s="1" t="n">
        <v>46313</v>
      </c>
      <c r="F367" t="inlineStr">
        <is>
          <t>VÄRMLANDS LÄN</t>
        </is>
      </c>
      <c r="G367" t="inlineStr">
        <is>
          <t>SUNNE</t>
        </is>
      </c>
      <c r="I367" t="n">
        <v>0.7</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39277-2025</t>
        </is>
      </c>
      <c r="B368" t="inlineStr">
        <is>
          <t>avverkningsanmälan</t>
        </is>
      </c>
      <c r="C368" t="inlineStr">
        <is>
          <t>Föryngringsavverkning</t>
        </is>
      </c>
      <c r="D368" s="1" t="n">
        <v>45889</v>
      </c>
      <c r="E368" s="1" t="n">
        <v>46313</v>
      </c>
      <c r="F368" t="inlineStr">
        <is>
          <t>VÄRMLANDS LÄN</t>
        </is>
      </c>
      <c r="G368" t="inlineStr">
        <is>
          <t>SUNNE</t>
        </is>
      </c>
      <c r="I368" t="n">
        <v>6</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24289-2025</t>
        </is>
      </c>
      <c r="B369" t="inlineStr">
        <is>
          <t>avverkningsanmälan</t>
        </is>
      </c>
      <c r="C369" t="inlineStr">
        <is>
          <t>Föryngringsavverkning</t>
        </is>
      </c>
      <c r="D369" s="1" t="n">
        <v>45797</v>
      </c>
      <c r="E369" s="1" t="n">
        <v>46313</v>
      </c>
      <c r="F369" t="inlineStr">
        <is>
          <t>VÄRMLANDS LÄN</t>
        </is>
      </c>
      <c r="G369" t="inlineStr">
        <is>
          <t>SUNNE</t>
        </is>
      </c>
      <c r="I369" t="n">
        <v>2.5</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19454-2022</t>
        </is>
      </c>
      <c r="B370" t="inlineStr">
        <is>
          <t>avverkningsanmälan</t>
        </is>
      </c>
      <c r="C370" t="inlineStr">
        <is>
          <t>Föryngringsavverkning</t>
        </is>
      </c>
      <c r="D370" s="1" t="n">
        <v>44693</v>
      </c>
      <c r="E370" s="1" t="n">
        <v>46313</v>
      </c>
      <c r="F370" t="inlineStr">
        <is>
          <t>VÄRMLANDS LÄN</t>
        </is>
      </c>
      <c r="G370" t="inlineStr">
        <is>
          <t>SUNNE</t>
        </is>
      </c>
      <c r="I370" t="n">
        <v>8.9</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6037-2023</t>
        </is>
      </c>
      <c r="B371" t="inlineStr">
        <is>
          <t>avverkningsanmälan</t>
        </is>
      </c>
      <c r="C371" t="inlineStr">
        <is>
          <t>Föryngringsavverkning</t>
        </is>
      </c>
      <c r="D371" s="1" t="n">
        <v>44964</v>
      </c>
      <c r="E371" s="1" t="n">
        <v>46313</v>
      </c>
      <c r="F371" t="inlineStr">
        <is>
          <t>VÄRMLANDS LÄN</t>
        </is>
      </c>
      <c r="G371" t="inlineStr">
        <is>
          <t>SUNNE</t>
        </is>
      </c>
      <c r="I371" t="n">
        <v>1.1</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8911-2024</t>
        </is>
      </c>
      <c r="B372" t="inlineStr">
        <is>
          <t>avverkningsanmälan</t>
        </is>
      </c>
      <c r="C372" t="inlineStr">
        <is>
          <t>Föryngringsavverkning</t>
        </is>
      </c>
      <c r="D372" s="1" t="n">
        <v>45357</v>
      </c>
      <c r="E372" s="1" t="n">
        <v>46313</v>
      </c>
      <c r="F372" t="inlineStr">
        <is>
          <t>VÄRMLANDS LÄN</t>
        </is>
      </c>
      <c r="G372" t="inlineStr">
        <is>
          <t>SUNNE</t>
        </is>
      </c>
      <c r="I372" t="n">
        <v>0.7</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39503-2025</t>
        </is>
      </c>
      <c r="B373" t="inlineStr">
        <is>
          <t>avverkningsanmälan</t>
        </is>
      </c>
      <c r="C373" t="inlineStr">
        <is>
          <t>Föryngringsavverkning</t>
        </is>
      </c>
      <c r="D373" s="1" t="n">
        <v>45890</v>
      </c>
      <c r="E373" s="1" t="n">
        <v>46313</v>
      </c>
      <c r="F373" t="inlineStr">
        <is>
          <t>VÄRMLANDS LÄN</t>
        </is>
      </c>
      <c r="G373" t="inlineStr">
        <is>
          <t>SUNNE</t>
        </is>
      </c>
      <c r="H373" t="inlineStr">
        <is>
          <t>Kyrkan</t>
        </is>
      </c>
      <c r="I373" t="n">
        <v>3.1</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17094-2025</t>
        </is>
      </c>
      <c r="B374" t="inlineStr">
        <is>
          <t>avverkningsanmälan</t>
        </is>
      </c>
      <c r="C374" t="inlineStr">
        <is>
          <t>Föryngringsavverkning</t>
        </is>
      </c>
      <c r="D374" s="1" t="n">
        <v>45755</v>
      </c>
      <c r="E374" s="1" t="n">
        <v>46313</v>
      </c>
      <c r="F374" t="inlineStr">
        <is>
          <t>VÄRMLANDS LÄN</t>
        </is>
      </c>
      <c r="G374" t="inlineStr">
        <is>
          <t>SUNNE</t>
        </is>
      </c>
      <c r="I374" t="n">
        <v>1</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44312-2024</t>
        </is>
      </c>
      <c r="B375" t="inlineStr">
        <is>
          <t>avverkningsanmälan</t>
        </is>
      </c>
      <c r="C375" t="inlineStr">
        <is>
          <t>Föryngringsavverkning</t>
        </is>
      </c>
      <c r="D375" s="1" t="n">
        <v>45573</v>
      </c>
      <c r="E375" s="1" t="n">
        <v>46313</v>
      </c>
      <c r="F375" t="inlineStr">
        <is>
          <t>VÄRMLANDS LÄN</t>
        </is>
      </c>
      <c r="G375" t="inlineStr">
        <is>
          <t>SUNNE</t>
        </is>
      </c>
      <c r="I375" t="n">
        <v>2.8</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39519-2025</t>
        </is>
      </c>
      <c r="B376" t="inlineStr">
        <is>
          <t>avverkningsanmälan</t>
        </is>
      </c>
      <c r="C376" t="inlineStr">
        <is>
          <t>Föryngringsavverkning</t>
        </is>
      </c>
      <c r="D376" s="1" t="n">
        <v>45890</v>
      </c>
      <c r="E376" s="1" t="n">
        <v>46313</v>
      </c>
      <c r="F376" t="inlineStr">
        <is>
          <t>VÄRMLANDS LÄN</t>
        </is>
      </c>
      <c r="G376" t="inlineStr">
        <is>
          <t>SUNNE</t>
        </is>
      </c>
      <c r="I376" t="n">
        <v>11.2</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39540-2025</t>
        </is>
      </c>
      <c r="B377" t="inlineStr">
        <is>
          <t>avverkningsanmälan</t>
        </is>
      </c>
      <c r="C377" t="inlineStr">
        <is>
          <t>Föryngringsavverkning</t>
        </is>
      </c>
      <c r="D377" s="1" t="n">
        <v>45890</v>
      </c>
      <c r="E377" s="1" t="n">
        <v>46313</v>
      </c>
      <c r="F377" t="inlineStr">
        <is>
          <t>VÄRMLANDS LÄN</t>
        </is>
      </c>
      <c r="G377" t="inlineStr">
        <is>
          <t>SUNNE</t>
        </is>
      </c>
      <c r="I377" t="n">
        <v>0.9</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12442-2022</t>
        </is>
      </c>
      <c r="B378" t="inlineStr">
        <is>
          <t>avverkningsanmälan</t>
        </is>
      </c>
      <c r="C378" t="inlineStr">
        <is>
          <t>Föryngringsavverkning</t>
        </is>
      </c>
      <c r="D378" s="1" t="n">
        <v>44638</v>
      </c>
      <c r="E378" s="1" t="n">
        <v>46313</v>
      </c>
      <c r="F378" t="inlineStr">
        <is>
          <t>VÄRMLANDS LÄN</t>
        </is>
      </c>
      <c r="G378" t="inlineStr">
        <is>
          <t>SUNNE</t>
        </is>
      </c>
      <c r="I378" t="n">
        <v>2.3</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40569-2025</t>
        </is>
      </c>
      <c r="B379" t="inlineStr">
        <is>
          <t>avverkningsanmälan</t>
        </is>
      </c>
      <c r="C379" t="inlineStr">
        <is>
          <t>Föryngringsavverkning</t>
        </is>
      </c>
      <c r="D379" s="1" t="n">
        <v>45896</v>
      </c>
      <c r="E379" s="1" t="n">
        <v>46313</v>
      </c>
      <c r="F379" t="inlineStr">
        <is>
          <t>VÄRMLANDS LÄN</t>
        </is>
      </c>
      <c r="G379" t="inlineStr">
        <is>
          <t>SUNNE</t>
        </is>
      </c>
      <c r="H379" t="inlineStr">
        <is>
          <t>Bergvik skog väst AB</t>
        </is>
      </c>
      <c r="I379" t="n">
        <v>2.9</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29001-2023</t>
        </is>
      </c>
      <c r="B380" t="inlineStr">
        <is>
          <t>avverkningsanmälan</t>
        </is>
      </c>
      <c r="C380" t="inlineStr">
        <is>
          <t>Föryngringsavverkning</t>
        </is>
      </c>
      <c r="D380" s="1" t="n">
        <v>45104</v>
      </c>
      <c r="E380" s="1" t="n">
        <v>46313</v>
      </c>
      <c r="F380" t="inlineStr">
        <is>
          <t>VÄRMLANDS LÄN</t>
        </is>
      </c>
      <c r="G380" t="inlineStr">
        <is>
          <t>SUNNE</t>
        </is>
      </c>
      <c r="I380" t="n">
        <v>3.7</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38435-2023</t>
        </is>
      </c>
      <c r="B381" t="inlineStr">
        <is>
          <t>avverkningsanmälan</t>
        </is>
      </c>
      <c r="C381" t="inlineStr">
        <is>
          <t>Föryngringsavverkning</t>
        </is>
      </c>
      <c r="D381" s="1" t="n">
        <v>45162</v>
      </c>
      <c r="E381" s="1" t="n">
        <v>46313</v>
      </c>
      <c r="F381" t="inlineStr">
        <is>
          <t>VÄRMLANDS LÄN</t>
        </is>
      </c>
      <c r="G381" t="inlineStr">
        <is>
          <t>SUNNE</t>
        </is>
      </c>
      <c r="I381" t="n">
        <v>3.1</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59288-2024</t>
        </is>
      </c>
      <c r="B382" t="inlineStr">
        <is>
          <t>avverkningsanmälan</t>
        </is>
      </c>
      <c r="C382" t="inlineStr">
        <is>
          <t>Föryngringsavverkning</t>
        </is>
      </c>
      <c r="D382" s="1" t="n">
        <v>45636</v>
      </c>
      <c r="E382" s="1" t="n">
        <v>46313</v>
      </c>
      <c r="F382" t="inlineStr">
        <is>
          <t>VÄRMLANDS LÄN</t>
        </is>
      </c>
      <c r="G382" t="inlineStr">
        <is>
          <t>SUNNE</t>
        </is>
      </c>
      <c r="I382" t="n">
        <v>5.5</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4022-2025</t>
        </is>
      </c>
      <c r="B383" t="inlineStr">
        <is>
          <t>avverkningsanmälan</t>
        </is>
      </c>
      <c r="C383" t="inlineStr">
        <is>
          <t>Föryngringsavverkning</t>
        </is>
      </c>
      <c r="D383" s="1" t="n">
        <v>45684</v>
      </c>
      <c r="E383" s="1" t="n">
        <v>46313</v>
      </c>
      <c r="F383" t="inlineStr">
        <is>
          <t>VÄRMLANDS LÄN</t>
        </is>
      </c>
      <c r="G383" t="inlineStr">
        <is>
          <t>SUNNE</t>
        </is>
      </c>
      <c r="I383" t="n">
        <v>0.9</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6504-2025</t>
        </is>
      </c>
      <c r="B384" t="inlineStr">
        <is>
          <t>avverkningsanmälan</t>
        </is>
      </c>
      <c r="C384" t="inlineStr">
        <is>
          <t>Föryngringsavverkning</t>
        </is>
      </c>
      <c r="D384" s="1" t="n">
        <v>45699</v>
      </c>
      <c r="E384" s="1" t="n">
        <v>46313</v>
      </c>
      <c r="F384" t="inlineStr">
        <is>
          <t>VÄRMLANDS LÄN</t>
        </is>
      </c>
      <c r="G384" t="inlineStr">
        <is>
          <t>SUNNE</t>
        </is>
      </c>
      <c r="I384" t="n">
        <v>2.3</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58177-2025</t>
        </is>
      </c>
      <c r="B385" t="inlineStr">
        <is>
          <t>avverkningsanmälan</t>
        </is>
      </c>
      <c r="C385" t="inlineStr">
        <is>
          <t>Föryngringsavverkning</t>
        </is>
      </c>
      <c r="D385" s="1" t="n">
        <v>45982</v>
      </c>
      <c r="E385" s="1" t="n">
        <v>46313</v>
      </c>
      <c r="F385" t="inlineStr">
        <is>
          <t>VÄRMLANDS LÄN</t>
        </is>
      </c>
      <c r="G385" t="inlineStr">
        <is>
          <t>SUNNE</t>
        </is>
      </c>
      <c r="I385" t="n">
        <v>1.2</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20331-2026</t>
        </is>
      </c>
      <c r="B386" t="inlineStr">
        <is>
          <t>avverkningsanmälan</t>
        </is>
      </c>
      <c r="C386" t="inlineStr">
        <is>
          <t>Föryngringsavverkning</t>
        </is>
      </c>
      <c r="D386" s="1" t="n">
        <v>46139</v>
      </c>
      <c r="E386" s="1" t="n">
        <v>46313</v>
      </c>
      <c r="F386" t="inlineStr">
        <is>
          <t>VÄRMLANDS LÄN</t>
        </is>
      </c>
      <c r="G386" t="inlineStr">
        <is>
          <t>SUNNE</t>
        </is>
      </c>
      <c r="I386" t="n">
        <v>1.8</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58097-2022</t>
        </is>
      </c>
      <c r="B387" t="inlineStr">
        <is>
          <t>avverkningsanmälan</t>
        </is>
      </c>
      <c r="C387" t="inlineStr">
        <is>
          <t>Föryngringsavverkning</t>
        </is>
      </c>
      <c r="D387" s="1" t="n">
        <v>44900</v>
      </c>
      <c r="E387" s="1" t="n">
        <v>46313</v>
      </c>
      <c r="F387" t="inlineStr">
        <is>
          <t>VÄRMLANDS LÄN</t>
        </is>
      </c>
      <c r="G387" t="inlineStr">
        <is>
          <t>SUNNE</t>
        </is>
      </c>
      <c r="I387" t="n">
        <v>1.9</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28205-2025</t>
        </is>
      </c>
      <c r="B388" t="inlineStr">
        <is>
          <t>avverkningsanmälan</t>
        </is>
      </c>
      <c r="C388" t="inlineStr">
        <is>
          <t>Föryngringsavverkning</t>
        </is>
      </c>
      <c r="D388" s="1" t="n">
        <v>45818</v>
      </c>
      <c r="E388" s="1" t="n">
        <v>46313</v>
      </c>
      <c r="F388" t="inlineStr">
        <is>
          <t>VÄRMLANDS LÄN</t>
        </is>
      </c>
      <c r="G388" t="inlineStr">
        <is>
          <t>SUNNE</t>
        </is>
      </c>
      <c r="I388" t="n">
        <v>1.3</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23718-2025</t>
        </is>
      </c>
      <c r="B389" t="inlineStr">
        <is>
          <t>avverkningsanmälan</t>
        </is>
      </c>
      <c r="C389" t="inlineStr">
        <is>
          <t>Föryngringsavverkning</t>
        </is>
      </c>
      <c r="D389" s="1" t="n">
        <v>45793</v>
      </c>
      <c r="E389" s="1" t="n">
        <v>46313</v>
      </c>
      <c r="F389" t="inlineStr">
        <is>
          <t>VÄRMLANDS LÄN</t>
        </is>
      </c>
      <c r="G389" t="inlineStr">
        <is>
          <t>SUNNE</t>
        </is>
      </c>
      <c r="I389" t="n">
        <v>2</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33955-2025</t>
        </is>
      </c>
      <c r="B390" t="inlineStr">
        <is>
          <t>avverkningsanmälan</t>
        </is>
      </c>
      <c r="C390" t="inlineStr">
        <is>
          <t>Föryngringsavverkning</t>
        </is>
      </c>
      <c r="D390" s="1" t="n">
        <v>45842</v>
      </c>
      <c r="E390" s="1" t="n">
        <v>46313</v>
      </c>
      <c r="F390" t="inlineStr">
        <is>
          <t>VÄRMLANDS LÄN</t>
        </is>
      </c>
      <c r="G390" t="inlineStr">
        <is>
          <t>SUNNE</t>
        </is>
      </c>
      <c r="I390" t="n">
        <v>1.6</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26302-2023</t>
        </is>
      </c>
      <c r="B391" t="inlineStr">
        <is>
          <t>avverkningsanmälan</t>
        </is>
      </c>
      <c r="C391" t="inlineStr">
        <is>
          <t>Föryngringsavverkning</t>
        </is>
      </c>
      <c r="D391" s="1" t="n">
        <v>45091</v>
      </c>
      <c r="E391" s="1" t="n">
        <v>46313</v>
      </c>
      <c r="F391" t="inlineStr">
        <is>
          <t>VÄRMLANDS LÄN</t>
        </is>
      </c>
      <c r="G391" t="inlineStr">
        <is>
          <t>SUNNE</t>
        </is>
      </c>
      <c r="I391" t="n">
        <v>1.2</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23728-2023</t>
        </is>
      </c>
      <c r="B392" t="inlineStr">
        <is>
          <t>avverkningsanmälan</t>
        </is>
      </c>
      <c r="C392" t="inlineStr">
        <is>
          <t>Föryngringsavverkning</t>
        </is>
      </c>
      <c r="D392" s="1" t="n">
        <v>45077</v>
      </c>
      <c r="E392" s="1" t="n">
        <v>46313</v>
      </c>
      <c r="F392" t="inlineStr">
        <is>
          <t>VÄRMLANDS LÄN</t>
        </is>
      </c>
      <c r="G392" t="inlineStr">
        <is>
          <t>SUNNE</t>
        </is>
      </c>
      <c r="I392" t="n">
        <v>1</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38866-2025</t>
        </is>
      </c>
      <c r="B393" t="inlineStr">
        <is>
          <t>avverkningsanmälan</t>
        </is>
      </c>
      <c r="C393" t="inlineStr">
        <is>
          <t>Föryngringsavverkning</t>
        </is>
      </c>
      <c r="D393" s="1" t="n">
        <v>45887</v>
      </c>
      <c r="E393" s="1" t="n">
        <v>46313</v>
      </c>
      <c r="F393" t="inlineStr">
        <is>
          <t>VÄRMLANDS LÄN</t>
        </is>
      </c>
      <c r="G393" t="inlineStr">
        <is>
          <t>SUNNE</t>
        </is>
      </c>
      <c r="I393" t="n">
        <v>2.6</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26327-2025</t>
        </is>
      </c>
      <c r="B394" t="inlineStr">
        <is>
          <t>avverkningsanmälan</t>
        </is>
      </c>
      <c r="C394" t="inlineStr">
        <is>
          <t>Föryngringsavverkning</t>
        </is>
      </c>
      <c r="D394" s="1" t="n">
        <v>45805</v>
      </c>
      <c r="E394" s="1" t="n">
        <v>46313</v>
      </c>
      <c r="F394" t="inlineStr">
        <is>
          <t>VÄRMLANDS LÄN</t>
        </is>
      </c>
      <c r="G394" t="inlineStr">
        <is>
          <t>SUNNE</t>
        </is>
      </c>
      <c r="I394" t="n">
        <v>1.6</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3079-2024</t>
        </is>
      </c>
      <c r="B395" t="inlineStr">
        <is>
          <t>avverkningsanmälan</t>
        </is>
      </c>
      <c r="C395" t="inlineStr">
        <is>
          <t>Föryngringsavverkning</t>
        </is>
      </c>
      <c r="D395" s="1" t="n">
        <v>45316</v>
      </c>
      <c r="E395" s="1" t="n">
        <v>46313</v>
      </c>
      <c r="F395" t="inlineStr">
        <is>
          <t>VÄRMLANDS LÄN</t>
        </is>
      </c>
      <c r="G395" t="inlineStr">
        <is>
          <t>SUNNE</t>
        </is>
      </c>
      <c r="H395" t="inlineStr">
        <is>
          <t>Kommuner</t>
        </is>
      </c>
      <c r="I395" t="n">
        <v>7</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978-2023</t>
        </is>
      </c>
      <c r="B396" t="inlineStr">
        <is>
          <t>avverkningsanmälan</t>
        </is>
      </c>
      <c r="C396" t="inlineStr">
        <is>
          <t>Föryngringsavverkning</t>
        </is>
      </c>
      <c r="D396" s="1" t="n">
        <v>44935</v>
      </c>
      <c r="E396" s="1" t="n">
        <v>46313</v>
      </c>
      <c r="F396" t="inlineStr">
        <is>
          <t>VÄRMLANDS LÄN</t>
        </is>
      </c>
      <c r="G396" t="inlineStr">
        <is>
          <t>SUNNE</t>
        </is>
      </c>
      <c r="I396" t="n">
        <v>1.5</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20566-2026</t>
        </is>
      </c>
      <c r="B397" t="inlineStr">
        <is>
          <t>avverkningsanmälan</t>
        </is>
      </c>
      <c r="C397" t="inlineStr">
        <is>
          <t>Föryngringsavverkning</t>
        </is>
      </c>
      <c r="D397" s="1" t="n">
        <v>46140</v>
      </c>
      <c r="E397" s="1" t="n">
        <v>46313</v>
      </c>
      <c r="F397" t="inlineStr">
        <is>
          <t>VÄRMLANDS LÄN</t>
        </is>
      </c>
      <c r="G397" t="inlineStr">
        <is>
          <t>SUNNE</t>
        </is>
      </c>
      <c r="I397" t="n">
        <v>1.9</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41626-2025</t>
        </is>
      </c>
      <c r="B398" t="inlineStr">
        <is>
          <t>avverkningsanmälan</t>
        </is>
      </c>
      <c r="C398" t="inlineStr">
        <is>
          <t>Föryngringsavverkning</t>
        </is>
      </c>
      <c r="D398" s="1" t="n">
        <v>45901</v>
      </c>
      <c r="E398" s="1" t="n">
        <v>46313</v>
      </c>
      <c r="F398" t="inlineStr">
        <is>
          <t>VÄRMLANDS LÄN</t>
        </is>
      </c>
      <c r="G398" t="inlineStr">
        <is>
          <t>SUNNE</t>
        </is>
      </c>
      <c r="I398" t="n">
        <v>0.2</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28235-2024</t>
        </is>
      </c>
      <c r="B399" t="inlineStr">
        <is>
          <t>avverkningsanmälan</t>
        </is>
      </c>
      <c r="C399" t="inlineStr">
        <is>
          <t>Föryngringsavverkning</t>
        </is>
      </c>
      <c r="D399" s="1" t="n">
        <v>45477</v>
      </c>
      <c r="E399" s="1" t="n">
        <v>46313</v>
      </c>
      <c r="F399" t="inlineStr">
        <is>
          <t>VÄRMLANDS LÄN</t>
        </is>
      </c>
      <c r="G399" t="inlineStr">
        <is>
          <t>SUNNE</t>
        </is>
      </c>
      <c r="H399" t="inlineStr">
        <is>
          <t>Bergvik skog väst AB</t>
        </is>
      </c>
      <c r="I399" t="n">
        <v>1.8</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27484-2025</t>
        </is>
      </c>
      <c r="B400" t="inlineStr">
        <is>
          <t>avverkningsanmälan</t>
        </is>
      </c>
      <c r="C400" t="inlineStr">
        <is>
          <t>Föryngringsavverkning</t>
        </is>
      </c>
      <c r="D400" s="1" t="n">
        <v>45813</v>
      </c>
      <c r="E400" s="1" t="n">
        <v>46313</v>
      </c>
      <c r="F400" t="inlineStr">
        <is>
          <t>VÄRMLANDS LÄN</t>
        </is>
      </c>
      <c r="G400" t="inlineStr">
        <is>
          <t>SUNNE</t>
        </is>
      </c>
      <c r="I400" t="n">
        <v>1.3</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41592-2025</t>
        </is>
      </c>
      <c r="B401" t="inlineStr">
        <is>
          <t>avverkningsanmälan</t>
        </is>
      </c>
      <c r="C401" t="inlineStr">
        <is>
          <t>Föryngringsavverkning</t>
        </is>
      </c>
      <c r="D401" s="1" t="n">
        <v>45901</v>
      </c>
      <c r="E401" s="1" t="n">
        <v>46313</v>
      </c>
      <c r="F401" t="inlineStr">
        <is>
          <t>VÄRMLANDS LÄN</t>
        </is>
      </c>
      <c r="G401" t="inlineStr">
        <is>
          <t>SUNNE</t>
        </is>
      </c>
      <c r="H401" t="inlineStr">
        <is>
          <t>Kyrkan</t>
        </is>
      </c>
      <c r="I401" t="n">
        <v>3</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20519-2026</t>
        </is>
      </c>
      <c r="B402" t="inlineStr">
        <is>
          <t>avverkningsanmälan</t>
        </is>
      </c>
      <c r="C402" t="inlineStr">
        <is>
          <t>Föryngringsavverkning</t>
        </is>
      </c>
      <c r="D402" s="1" t="n">
        <v>46140</v>
      </c>
      <c r="E402" s="1" t="n">
        <v>46313</v>
      </c>
      <c r="F402" t="inlineStr">
        <is>
          <t>VÄRMLANDS LÄN</t>
        </is>
      </c>
      <c r="G402" t="inlineStr">
        <is>
          <t>SUNNE</t>
        </is>
      </c>
      <c r="I402" t="n">
        <v>7.1</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37483-2025</t>
        </is>
      </c>
      <c r="B403" t="inlineStr">
        <is>
          <t>avverkningsanmälan</t>
        </is>
      </c>
      <c r="C403" t="inlineStr">
        <is>
          <t>Föryngringsavverkning</t>
        </is>
      </c>
      <c r="D403" s="1" t="n">
        <v>45877</v>
      </c>
      <c r="E403" s="1" t="n">
        <v>46313</v>
      </c>
      <c r="F403" t="inlineStr">
        <is>
          <t>VÄRMLANDS LÄN</t>
        </is>
      </c>
      <c r="G403" t="inlineStr">
        <is>
          <t>SUNNE</t>
        </is>
      </c>
      <c r="I403" t="n">
        <v>1.2</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3688-2026</t>
        </is>
      </c>
      <c r="B404" t="inlineStr">
        <is>
          <t>avverkningsanmälan</t>
        </is>
      </c>
      <c r="C404" t="inlineStr">
        <is>
          <t>Föryngringsavverkning</t>
        </is>
      </c>
      <c r="D404" s="1" t="n">
        <v>46043</v>
      </c>
      <c r="E404" s="1" t="n">
        <v>46313</v>
      </c>
      <c r="F404" t="inlineStr">
        <is>
          <t>VÄRMLANDS LÄN</t>
        </is>
      </c>
      <c r="G404" t="inlineStr">
        <is>
          <t>SUNNE</t>
        </is>
      </c>
      <c r="I404" t="n">
        <v>1.8</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20800-2026</t>
        </is>
      </c>
      <c r="B405" t="inlineStr">
        <is>
          <t>avverkningsanmälan</t>
        </is>
      </c>
      <c r="C405" t="inlineStr">
        <is>
          <t>Föryngringsavverkning</t>
        </is>
      </c>
      <c r="D405" s="1" t="n">
        <v>46141</v>
      </c>
      <c r="E405" s="1" t="n">
        <v>46313</v>
      </c>
      <c r="F405" t="inlineStr">
        <is>
          <t>VÄRMLANDS LÄN</t>
        </is>
      </c>
      <c r="G405" t="inlineStr">
        <is>
          <t>SUNNE</t>
        </is>
      </c>
      <c r="I405" t="n">
        <v>1.1</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63899-2021</t>
        </is>
      </c>
      <c r="B406" t="inlineStr">
        <is>
          <t>avverkningsanmälan</t>
        </is>
      </c>
      <c r="C406" t="inlineStr">
        <is>
          <t>Avverkning för annat ändamål</t>
        </is>
      </c>
      <c r="D406" s="1" t="n">
        <v>44509</v>
      </c>
      <c r="E406" s="1" t="n">
        <v>46313</v>
      </c>
      <c r="F406" t="inlineStr">
        <is>
          <t>VÄRMLANDS LÄN</t>
        </is>
      </c>
      <c r="G406" t="inlineStr">
        <is>
          <t>SUNNE</t>
        </is>
      </c>
      <c r="H406" t="inlineStr">
        <is>
          <t>Bergvik skog väst AB</t>
        </is>
      </c>
      <c r="I406" t="n">
        <v>0.6</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50130-2023</t>
        </is>
      </c>
      <c r="B407" t="inlineStr">
        <is>
          <t>avverkningsanmälan</t>
        </is>
      </c>
      <c r="C407" t="inlineStr">
        <is>
          <t>Föryngringsavverkning</t>
        </is>
      </c>
      <c r="D407" s="1" t="n">
        <v>45215</v>
      </c>
      <c r="E407" s="1" t="n">
        <v>46313</v>
      </c>
      <c r="F407" t="inlineStr">
        <is>
          <t>VÄRMLANDS LÄN</t>
        </is>
      </c>
      <c r="G407" t="inlineStr">
        <is>
          <t>SUNNE</t>
        </is>
      </c>
      <c r="I407" t="n">
        <v>1.7</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2930-2022</t>
        </is>
      </c>
      <c r="B408" t="inlineStr">
        <is>
          <t>avverkningsanmälan</t>
        </is>
      </c>
      <c r="C408" t="inlineStr">
        <is>
          <t>Föryngringsavverkning</t>
        </is>
      </c>
      <c r="D408" s="1" t="n">
        <v>44581</v>
      </c>
      <c r="E408" s="1" t="n">
        <v>46313</v>
      </c>
      <c r="F408" t="inlineStr">
        <is>
          <t>VÄRMLANDS LÄN</t>
        </is>
      </c>
      <c r="G408" t="inlineStr">
        <is>
          <t>SUNNE</t>
        </is>
      </c>
      <c r="I408" t="n">
        <v>1.1</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16086-2025</t>
        </is>
      </c>
      <c r="B409" t="inlineStr">
        <is>
          <t>avverkningsanmälan</t>
        </is>
      </c>
      <c r="C409" t="inlineStr">
        <is>
          <t>Föryngringsavverkning</t>
        </is>
      </c>
      <c r="D409" s="1" t="n">
        <v>45749</v>
      </c>
      <c r="E409" s="1" t="n">
        <v>46313</v>
      </c>
      <c r="F409" t="inlineStr">
        <is>
          <t>VÄRMLANDS LÄN</t>
        </is>
      </c>
      <c r="G409" t="inlineStr">
        <is>
          <t>SUNNE</t>
        </is>
      </c>
      <c r="I409" t="n">
        <v>1.7</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19497-2023</t>
        </is>
      </c>
      <c r="B410" t="inlineStr">
        <is>
          <t>avverkningsanmälan</t>
        </is>
      </c>
      <c r="C410" t="inlineStr">
        <is>
          <t>Föryngringsavverkning</t>
        </is>
      </c>
      <c r="D410" s="1" t="n">
        <v>45050</v>
      </c>
      <c r="E410" s="1" t="n">
        <v>46313</v>
      </c>
      <c r="F410" t="inlineStr">
        <is>
          <t>VÄRMLANDS LÄN</t>
        </is>
      </c>
      <c r="G410" t="inlineStr">
        <is>
          <t>SUNNE</t>
        </is>
      </c>
      <c r="I410" t="n">
        <v>1</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43017-2025</t>
        </is>
      </c>
      <c r="B411" t="inlineStr">
        <is>
          <t>avverkningsanmälan</t>
        </is>
      </c>
      <c r="C411" t="inlineStr">
        <is>
          <t>Föryngringsavverkning</t>
        </is>
      </c>
      <c r="D411" s="1" t="n">
        <v>45909</v>
      </c>
      <c r="E411" s="1" t="n">
        <v>46313</v>
      </c>
      <c r="F411" t="inlineStr">
        <is>
          <t>VÄRMLANDS LÄN</t>
        </is>
      </c>
      <c r="G411" t="inlineStr">
        <is>
          <t>SUNNE</t>
        </is>
      </c>
      <c r="I411" t="n">
        <v>0.9</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35608-2025</t>
        </is>
      </c>
      <c r="B412" t="inlineStr">
        <is>
          <t>avverkningsanmälan</t>
        </is>
      </c>
      <c r="C412" t="inlineStr">
        <is>
          <t>Föryngringsavverkning</t>
        </is>
      </c>
      <c r="D412" s="1" t="n">
        <v>45859</v>
      </c>
      <c r="E412" s="1" t="n">
        <v>46313</v>
      </c>
      <c r="F412" t="inlineStr">
        <is>
          <t>VÄRMLANDS LÄN</t>
        </is>
      </c>
      <c r="G412" t="inlineStr">
        <is>
          <t>SUNNE</t>
        </is>
      </c>
      <c r="H412" t="inlineStr">
        <is>
          <t>Bergvik skog väst AB</t>
        </is>
      </c>
      <c r="I412" t="n">
        <v>0.5</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21577-2024</t>
        </is>
      </c>
      <c r="B413" t="inlineStr">
        <is>
          <t>avverkningsanmälan</t>
        </is>
      </c>
      <c r="C413" t="inlineStr">
        <is>
          <t>Föryngringsavverkning</t>
        </is>
      </c>
      <c r="D413" s="1" t="n">
        <v>45441</v>
      </c>
      <c r="E413" s="1" t="n">
        <v>46313</v>
      </c>
      <c r="F413" t="inlineStr">
        <is>
          <t>VÄRMLANDS LÄN</t>
        </is>
      </c>
      <c r="G413" t="inlineStr">
        <is>
          <t>SUNNE</t>
        </is>
      </c>
      <c r="I413" t="n">
        <v>1.8</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33772-2025</t>
        </is>
      </c>
      <c r="B414" t="inlineStr">
        <is>
          <t>avverkningsanmälan</t>
        </is>
      </c>
      <c r="C414" t="inlineStr">
        <is>
          <t>Föryngringsavverkning</t>
        </is>
      </c>
      <c r="D414" s="1" t="n">
        <v>45842</v>
      </c>
      <c r="E414" s="1" t="n">
        <v>46313</v>
      </c>
      <c r="F414" t="inlineStr">
        <is>
          <t>VÄRMLANDS LÄN</t>
        </is>
      </c>
      <c r="G414" t="inlineStr">
        <is>
          <t>SUNNE</t>
        </is>
      </c>
      <c r="I414" t="n">
        <v>1.1</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16816-2024</t>
        </is>
      </c>
      <c r="B415" t="inlineStr">
        <is>
          <t>avverkningsanmälan</t>
        </is>
      </c>
      <c r="C415" t="inlineStr">
        <is>
          <t>Avverkning för annat ändamål</t>
        </is>
      </c>
      <c r="D415" s="1" t="n">
        <v>45411</v>
      </c>
      <c r="E415" s="1" t="n">
        <v>46313</v>
      </c>
      <c r="F415" t="inlineStr">
        <is>
          <t>VÄRMLANDS LÄN</t>
        </is>
      </c>
      <c r="G415" t="inlineStr">
        <is>
          <t>SUNNE</t>
        </is>
      </c>
      <c r="I415" t="n">
        <v>1.7</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43453-2025</t>
        </is>
      </c>
      <c r="B416" t="inlineStr">
        <is>
          <t>avverkningsanmälan</t>
        </is>
      </c>
      <c r="C416" t="inlineStr">
        <is>
          <t>Föryngringsavverkning</t>
        </is>
      </c>
      <c r="D416" s="1" t="n">
        <v>45911</v>
      </c>
      <c r="E416" s="1" t="n">
        <v>46313</v>
      </c>
      <c r="F416" t="inlineStr">
        <is>
          <t>VÄRMLANDS LÄN</t>
        </is>
      </c>
      <c r="G416" t="inlineStr">
        <is>
          <t>SUNNE</t>
        </is>
      </c>
      <c r="H416" t="inlineStr">
        <is>
          <t>Bergvik skog väst AB</t>
        </is>
      </c>
      <c r="I416" t="n">
        <v>29.9</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54735-2023</t>
        </is>
      </c>
      <c r="B417" t="inlineStr">
        <is>
          <t>avverkningsanmälan</t>
        </is>
      </c>
      <c r="C417" t="inlineStr">
        <is>
          <t>Föryngringsavverkning</t>
        </is>
      </c>
      <c r="D417" s="1" t="n">
        <v>45236</v>
      </c>
      <c r="E417" s="1" t="n">
        <v>46313</v>
      </c>
      <c r="F417" t="inlineStr">
        <is>
          <t>VÄRMLANDS LÄN</t>
        </is>
      </c>
      <c r="G417" t="inlineStr">
        <is>
          <t>SUNNE</t>
        </is>
      </c>
      <c r="I417" t="n">
        <v>1.4</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58131-2022</t>
        </is>
      </c>
      <c r="B418" t="inlineStr">
        <is>
          <t>avverkningsanmälan</t>
        </is>
      </c>
      <c r="C418" t="inlineStr">
        <is>
          <t>Föryngringsavverkning</t>
        </is>
      </c>
      <c r="D418" s="1" t="n">
        <v>44900</v>
      </c>
      <c r="E418" s="1" t="n">
        <v>46313</v>
      </c>
      <c r="F418" t="inlineStr">
        <is>
          <t>VÄRMLANDS LÄN</t>
        </is>
      </c>
      <c r="G418" t="inlineStr">
        <is>
          <t>SUNNE</t>
        </is>
      </c>
      <c r="I418" t="n">
        <v>0.7</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44361-2025</t>
        </is>
      </c>
      <c r="B419" t="inlineStr">
        <is>
          <t>avverkningsanmälan</t>
        </is>
      </c>
      <c r="C419" t="inlineStr">
        <is>
          <t>Föryngringsavverkning</t>
        </is>
      </c>
      <c r="D419" s="1" t="n">
        <v>45916</v>
      </c>
      <c r="E419" s="1" t="n">
        <v>46313</v>
      </c>
      <c r="F419" t="inlineStr">
        <is>
          <t>VÄRMLANDS LÄN</t>
        </is>
      </c>
      <c r="G419" t="inlineStr">
        <is>
          <t>SUNNE</t>
        </is>
      </c>
      <c r="I419" t="n">
        <v>1.1</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44263-2025</t>
        </is>
      </c>
      <c r="B420" t="inlineStr">
        <is>
          <t>avverkningsanmälan</t>
        </is>
      </c>
      <c r="C420" t="inlineStr">
        <is>
          <t>Föryngringsavverkning</t>
        </is>
      </c>
      <c r="D420" s="1" t="n">
        <v>45916</v>
      </c>
      <c r="E420" s="1" t="n">
        <v>46313</v>
      </c>
      <c r="F420" t="inlineStr">
        <is>
          <t>VÄRMLANDS LÄN</t>
        </is>
      </c>
      <c r="G420" t="inlineStr">
        <is>
          <t>SUNNE</t>
        </is>
      </c>
      <c r="I420" t="n">
        <v>4.9</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44396-2025</t>
        </is>
      </c>
      <c r="B421" t="inlineStr">
        <is>
          <t>avverkningsanmälan</t>
        </is>
      </c>
      <c r="C421" t="inlineStr">
        <is>
          <t>Föryngringsavverkning</t>
        </is>
      </c>
      <c r="D421" s="1" t="n">
        <v>45916</v>
      </c>
      <c r="E421" s="1" t="n">
        <v>46313</v>
      </c>
      <c r="F421" t="inlineStr">
        <is>
          <t>VÄRMLANDS LÄN</t>
        </is>
      </c>
      <c r="G421" t="inlineStr">
        <is>
          <t>SUNNE</t>
        </is>
      </c>
      <c r="I421" t="n">
        <v>7</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44433-2025</t>
        </is>
      </c>
      <c r="B422" t="inlineStr">
        <is>
          <t>avverkningsanmälan</t>
        </is>
      </c>
      <c r="C422" t="inlineStr">
        <is>
          <t>Föryngringsavverkning</t>
        </is>
      </c>
      <c r="D422" s="1" t="n">
        <v>45916</v>
      </c>
      <c r="E422" s="1" t="n">
        <v>46313</v>
      </c>
      <c r="F422" t="inlineStr">
        <is>
          <t>VÄRMLANDS LÄN</t>
        </is>
      </c>
      <c r="G422" t="inlineStr">
        <is>
          <t>SUNNE</t>
        </is>
      </c>
      <c r="H422" t="inlineStr">
        <is>
          <t>Bergvik skog väst AB</t>
        </is>
      </c>
      <c r="I422" t="n">
        <v>1</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21875-2022</t>
        </is>
      </c>
      <c r="B423" t="inlineStr">
        <is>
          <t>avverkningsanmälan</t>
        </is>
      </c>
      <c r="C423" t="inlineStr">
        <is>
          <t>Föryngringsavverkning</t>
        </is>
      </c>
      <c r="D423" s="1" t="n">
        <v>44711</v>
      </c>
      <c r="E423" s="1" t="n">
        <v>46313</v>
      </c>
      <c r="F423" t="inlineStr">
        <is>
          <t>VÄRMLANDS LÄN</t>
        </is>
      </c>
      <c r="G423" t="inlineStr">
        <is>
          <t>SUNNE</t>
        </is>
      </c>
      <c r="I423" t="n">
        <v>0.7</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21321-2026</t>
        </is>
      </c>
      <c r="B424" t="inlineStr">
        <is>
          <t>avverkningsanmälan</t>
        </is>
      </c>
      <c r="C424" t="inlineStr">
        <is>
          <t>Föryngringsavverkning</t>
        </is>
      </c>
      <c r="D424" s="1" t="n">
        <v>46147</v>
      </c>
      <c r="E424" s="1" t="n">
        <v>46313</v>
      </c>
      <c r="F424" t="inlineStr">
        <is>
          <t>VÄRMLANDS LÄN</t>
        </is>
      </c>
      <c r="G424" t="inlineStr">
        <is>
          <t>SUNNE</t>
        </is>
      </c>
      <c r="I424" t="n">
        <v>1.1</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14252-2023</t>
        </is>
      </c>
      <c r="B425" t="inlineStr">
        <is>
          <t>avverkningsanmälan</t>
        </is>
      </c>
      <c r="C425" t="inlineStr">
        <is>
          <t>Föryngringsavverkning</t>
        </is>
      </c>
      <c r="D425" s="1" t="n">
        <v>45009</v>
      </c>
      <c r="E425" s="1" t="n">
        <v>46313</v>
      </c>
      <c r="F425" t="inlineStr">
        <is>
          <t>VÄRMLANDS LÄN</t>
        </is>
      </c>
      <c r="G425" t="inlineStr">
        <is>
          <t>SUNNE</t>
        </is>
      </c>
      <c r="I425" t="n">
        <v>0.6</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45038-2025</t>
        </is>
      </c>
      <c r="B426" t="inlineStr">
        <is>
          <t>avverkningsanmälan</t>
        </is>
      </c>
      <c r="C426" t="inlineStr">
        <is>
          <t>Föryngringsavverkning</t>
        </is>
      </c>
      <c r="D426" s="1" t="n">
        <v>45918</v>
      </c>
      <c r="E426" s="1" t="n">
        <v>46313</v>
      </c>
      <c r="F426" t="inlineStr">
        <is>
          <t>VÄRMLANDS LÄN</t>
        </is>
      </c>
      <c r="G426" t="inlineStr">
        <is>
          <t>SUNNE</t>
        </is>
      </c>
      <c r="I426" t="n">
        <v>3.2</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44816-2025</t>
        </is>
      </c>
      <c r="B427" t="inlineStr">
        <is>
          <t>avverkningsanmälan</t>
        </is>
      </c>
      <c r="C427" t="inlineStr">
        <is>
          <t>Föryngringsavverkning</t>
        </is>
      </c>
      <c r="D427" s="1" t="n">
        <v>45918</v>
      </c>
      <c r="E427" s="1" t="n">
        <v>46313</v>
      </c>
      <c r="F427" t="inlineStr">
        <is>
          <t>VÄRMLANDS LÄN</t>
        </is>
      </c>
      <c r="G427" t="inlineStr">
        <is>
          <t>SUNNE</t>
        </is>
      </c>
      <c r="I427" t="n">
        <v>0.8</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45178-2025</t>
        </is>
      </c>
      <c r="B428" t="inlineStr">
        <is>
          <t>avverkningsanmälan</t>
        </is>
      </c>
      <c r="C428" t="inlineStr">
        <is>
          <t>Föryngringsavverkning</t>
        </is>
      </c>
      <c r="D428" s="1" t="n">
        <v>45919</v>
      </c>
      <c r="E428" s="1" t="n">
        <v>46313</v>
      </c>
      <c r="F428" t="inlineStr">
        <is>
          <t>VÄRMLANDS LÄN</t>
        </is>
      </c>
      <c r="G428" t="inlineStr">
        <is>
          <t>SUNNE</t>
        </is>
      </c>
      <c r="H428" t="inlineStr">
        <is>
          <t>Kommuner</t>
        </is>
      </c>
      <c r="I428" t="n">
        <v>4.9</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5652-2024</t>
        </is>
      </c>
      <c r="B429" t="inlineStr">
        <is>
          <t>avverkningsanmälan</t>
        </is>
      </c>
      <c r="C429" t="inlineStr">
        <is>
          <t>Föryngringsavverkning</t>
        </is>
      </c>
      <c r="D429" s="1" t="n">
        <v>45334</v>
      </c>
      <c r="E429" s="1" t="n">
        <v>46313</v>
      </c>
      <c r="F429" t="inlineStr">
        <is>
          <t>VÄRMLANDS LÄN</t>
        </is>
      </c>
      <c r="G429" t="inlineStr">
        <is>
          <t>SUNNE</t>
        </is>
      </c>
      <c r="I429" t="n">
        <v>1.9</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5653-2024</t>
        </is>
      </c>
      <c r="B430" t="inlineStr">
        <is>
          <t>avverkningsanmälan</t>
        </is>
      </c>
      <c r="C430" t="inlineStr">
        <is>
          <t>Föryngringsavverkning</t>
        </is>
      </c>
      <c r="D430" s="1" t="n">
        <v>45334</v>
      </c>
      <c r="E430" s="1" t="n">
        <v>46313</v>
      </c>
      <c r="F430" t="inlineStr">
        <is>
          <t>VÄRMLANDS LÄN</t>
        </is>
      </c>
      <c r="G430" t="inlineStr">
        <is>
          <t>SUNNE</t>
        </is>
      </c>
      <c r="I430" t="n">
        <v>1</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21221-2026</t>
        </is>
      </c>
      <c r="B431" t="inlineStr">
        <is>
          <t>avverkningsanmälan</t>
        </is>
      </c>
      <c r="C431" t="inlineStr">
        <is>
          <t>Föryngringsavverkning</t>
        </is>
      </c>
      <c r="D431" s="1" t="n">
        <v>46146</v>
      </c>
      <c r="E431" s="1" t="n">
        <v>46313</v>
      </c>
      <c r="F431" t="inlineStr">
        <is>
          <t>VÄRMLANDS LÄN</t>
        </is>
      </c>
      <c r="G431" t="inlineStr">
        <is>
          <t>SUNNE</t>
        </is>
      </c>
      <c r="I431" t="n">
        <v>2.5</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92-2023</t>
        </is>
      </c>
      <c r="B432" t="inlineStr">
        <is>
          <t>avverkningsanmälan</t>
        </is>
      </c>
      <c r="C432" t="inlineStr">
        <is>
          <t>Föryngringsavverkning</t>
        </is>
      </c>
      <c r="D432" s="1" t="n">
        <v>44918</v>
      </c>
      <c r="E432" s="1" t="n">
        <v>46313</v>
      </c>
      <c r="F432" t="inlineStr">
        <is>
          <t>VÄRMLANDS LÄN</t>
        </is>
      </c>
      <c r="G432" t="inlineStr">
        <is>
          <t>SUNNE</t>
        </is>
      </c>
      <c r="I432" t="n">
        <v>0.8</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6481-2025</t>
        </is>
      </c>
      <c r="B433" t="inlineStr">
        <is>
          <t>avverkningsanmälan</t>
        </is>
      </c>
      <c r="C433" t="inlineStr">
        <is>
          <t>Föryngringsavverkning</t>
        </is>
      </c>
      <c r="D433" s="1" t="n">
        <v>45699</v>
      </c>
      <c r="E433" s="1" t="n">
        <v>46313</v>
      </c>
      <c r="F433" t="inlineStr">
        <is>
          <t>VÄRMLANDS LÄN</t>
        </is>
      </c>
      <c r="G433" t="inlineStr">
        <is>
          <t>SUNNE</t>
        </is>
      </c>
      <c r="I433" t="n">
        <v>1.8</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49428-2024</t>
        </is>
      </c>
      <c r="B434" t="inlineStr">
        <is>
          <t>avverkningsanmälan</t>
        </is>
      </c>
      <c r="C434" t="inlineStr">
        <is>
          <t>Avverkning för annat ändamål</t>
        </is>
      </c>
      <c r="D434" s="1" t="n">
        <v>45595</v>
      </c>
      <c r="E434" s="1" t="n">
        <v>46313</v>
      </c>
      <c r="F434" t="inlineStr">
        <is>
          <t>VÄRMLANDS LÄN</t>
        </is>
      </c>
      <c r="G434" t="inlineStr">
        <is>
          <t>SUNNE</t>
        </is>
      </c>
      <c r="I434" t="n">
        <v>1.2</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5861-2023</t>
        </is>
      </c>
      <c r="B435" t="inlineStr">
        <is>
          <t>avverkningsanmälan</t>
        </is>
      </c>
      <c r="C435" t="inlineStr">
        <is>
          <t>Föryngringsavverkning</t>
        </is>
      </c>
      <c r="D435" s="1" t="n">
        <v>44959</v>
      </c>
      <c r="E435" s="1" t="n">
        <v>46313</v>
      </c>
      <c r="F435" t="inlineStr">
        <is>
          <t>VÄRMLANDS LÄN</t>
        </is>
      </c>
      <c r="G435" t="inlineStr">
        <is>
          <t>SUNNE</t>
        </is>
      </c>
      <c r="I435" t="n">
        <v>2.1</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21298-2026</t>
        </is>
      </c>
      <c r="B436" t="inlineStr">
        <is>
          <t>avverkningsanmälan</t>
        </is>
      </c>
      <c r="C436" t="inlineStr">
        <is>
          <t>Föryngringsavverkning</t>
        </is>
      </c>
      <c r="D436" s="1" t="n">
        <v>46147</v>
      </c>
      <c r="E436" s="1" t="n">
        <v>46313</v>
      </c>
      <c r="F436" t="inlineStr">
        <is>
          <t>VÄRMLANDS LÄN</t>
        </is>
      </c>
      <c r="G436" t="inlineStr">
        <is>
          <t>SUNNE</t>
        </is>
      </c>
      <c r="I436" t="n">
        <v>0.9</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45719-2025</t>
        </is>
      </c>
      <c r="B437" t="inlineStr">
        <is>
          <t>avverkningsanmälan</t>
        </is>
      </c>
      <c r="C437" t="inlineStr">
        <is>
          <t>Föryngringsavverkning</t>
        </is>
      </c>
      <c r="D437" s="1" t="n">
        <v>45923</v>
      </c>
      <c r="E437" s="1" t="n">
        <v>46313</v>
      </c>
      <c r="F437" t="inlineStr">
        <is>
          <t>VÄRMLANDS LÄN</t>
        </is>
      </c>
      <c r="G437" t="inlineStr">
        <is>
          <t>SUNNE</t>
        </is>
      </c>
      <c r="I437" t="n">
        <v>2.3</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7338-2025</t>
        </is>
      </c>
      <c r="B438" t="inlineStr">
        <is>
          <t>avverkningsanmälan</t>
        </is>
      </c>
      <c r="C438" t="inlineStr">
        <is>
          <t>Föryngringsavverkning</t>
        </is>
      </c>
      <c r="D438" s="1" t="n">
        <v>45703</v>
      </c>
      <c r="E438" s="1" t="n">
        <v>46313</v>
      </c>
      <c r="F438" t="inlineStr">
        <is>
          <t>VÄRMLANDS LÄN</t>
        </is>
      </c>
      <c r="G438" t="inlineStr">
        <is>
          <t>SUNNE</t>
        </is>
      </c>
      <c r="I438" t="n">
        <v>2.2</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45747-2025</t>
        </is>
      </c>
      <c r="B439" t="inlineStr">
        <is>
          <t>avverkningsanmälan</t>
        </is>
      </c>
      <c r="C439" t="inlineStr">
        <is>
          <t>Föryngringsavverkning</t>
        </is>
      </c>
      <c r="D439" s="1" t="n">
        <v>45923</v>
      </c>
      <c r="E439" s="1" t="n">
        <v>46313</v>
      </c>
      <c r="F439" t="inlineStr">
        <is>
          <t>VÄRMLANDS LÄN</t>
        </is>
      </c>
      <c r="G439" t="inlineStr">
        <is>
          <t>SUNNE</t>
        </is>
      </c>
      <c r="I439" t="n">
        <v>1.4</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45452-2025</t>
        </is>
      </c>
      <c r="B440" t="inlineStr">
        <is>
          <t>avverkningsanmälan</t>
        </is>
      </c>
      <c r="C440" t="inlineStr">
        <is>
          <t>Föryngringsavverkning</t>
        </is>
      </c>
      <c r="D440" s="1" t="n">
        <v>45922</v>
      </c>
      <c r="E440" s="1" t="n">
        <v>46313</v>
      </c>
      <c r="F440" t="inlineStr">
        <is>
          <t>VÄRMLANDS LÄN</t>
        </is>
      </c>
      <c r="G440" t="inlineStr">
        <is>
          <t>SUNNE</t>
        </is>
      </c>
      <c r="I440" t="n">
        <v>1.7</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35039-2025</t>
        </is>
      </c>
      <c r="B441" t="inlineStr">
        <is>
          <t>avverkningsanmälan</t>
        </is>
      </c>
      <c r="C441" t="inlineStr">
        <is>
          <t>Föryngringsavverkning</t>
        </is>
      </c>
      <c r="D441" s="1" t="n">
        <v>45852</v>
      </c>
      <c r="E441" s="1" t="n">
        <v>46313</v>
      </c>
      <c r="F441" t="inlineStr">
        <is>
          <t>VÄRMLANDS LÄN</t>
        </is>
      </c>
      <c r="G441" t="inlineStr">
        <is>
          <t>SUNNE</t>
        </is>
      </c>
      <c r="H441" t="inlineStr">
        <is>
          <t>Bergvik skog väst AB</t>
        </is>
      </c>
      <c r="I441" t="n">
        <v>3.4</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7494-2022</t>
        </is>
      </c>
      <c r="B442" t="inlineStr">
        <is>
          <t>avverkningsanmälan</t>
        </is>
      </c>
      <c r="C442" t="inlineStr">
        <is>
          <t>Föryngringsavverkning</t>
        </is>
      </c>
      <c r="D442" s="1" t="n">
        <v>44607</v>
      </c>
      <c r="E442" s="1" t="n">
        <v>46313</v>
      </c>
      <c r="F442" t="inlineStr">
        <is>
          <t>VÄRMLANDS LÄN</t>
        </is>
      </c>
      <c r="G442" t="inlineStr">
        <is>
          <t>SUNNE</t>
        </is>
      </c>
      <c r="I442" t="n">
        <v>2.4</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21443-2026</t>
        </is>
      </c>
      <c r="B443" t="inlineStr">
        <is>
          <t>avverkningsanmälan</t>
        </is>
      </c>
      <c r="C443" t="inlineStr">
        <is>
          <t>Föryngringsavverkning</t>
        </is>
      </c>
      <c r="D443" s="1" t="n">
        <v>46148</v>
      </c>
      <c r="E443" s="1" t="n">
        <v>46313</v>
      </c>
      <c r="F443" t="inlineStr">
        <is>
          <t>VÄRMLANDS LÄN</t>
        </is>
      </c>
      <c r="G443" t="inlineStr">
        <is>
          <t>SUNNE</t>
        </is>
      </c>
      <c r="I443" t="n">
        <v>6.9</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43302-2022</t>
        </is>
      </c>
      <c r="B444" t="inlineStr">
        <is>
          <t>avverkningsanmälan</t>
        </is>
      </c>
      <c r="C444" t="inlineStr">
        <is>
          <t>Föryngringsavverkning</t>
        </is>
      </c>
      <c r="D444" s="1" t="n">
        <v>44834</v>
      </c>
      <c r="E444" s="1" t="n">
        <v>46313</v>
      </c>
      <c r="F444" t="inlineStr">
        <is>
          <t>VÄRMLANDS LÄN</t>
        </is>
      </c>
      <c r="G444" t="inlineStr">
        <is>
          <t>SUNNE</t>
        </is>
      </c>
      <c r="I444" t="n">
        <v>1.2</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46370-2025</t>
        </is>
      </c>
      <c r="B445" t="inlineStr">
        <is>
          <t>avverkningsanmälan</t>
        </is>
      </c>
      <c r="C445" t="inlineStr">
        <is>
          <t>Föryngringsavverkning</t>
        </is>
      </c>
      <c r="D445" s="1" t="n">
        <v>45925</v>
      </c>
      <c r="E445" s="1" t="n">
        <v>46313</v>
      </c>
      <c r="F445" t="inlineStr">
        <is>
          <t>VÄRMLANDS LÄN</t>
        </is>
      </c>
      <c r="G445" t="inlineStr">
        <is>
          <t>SUNNE</t>
        </is>
      </c>
      <c r="H445" t="inlineStr">
        <is>
          <t>Bergvik skog väst AB</t>
        </is>
      </c>
      <c r="I445" t="n">
        <v>14.6</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46850-2025</t>
        </is>
      </c>
      <c r="B446" t="inlineStr">
        <is>
          <t>avverkningsanmälan</t>
        </is>
      </c>
      <c r="C446" t="inlineStr">
        <is>
          <t>Föryngringsavverkning</t>
        </is>
      </c>
      <c r="D446" s="1" t="n">
        <v>45928</v>
      </c>
      <c r="E446" s="1" t="n">
        <v>46313</v>
      </c>
      <c r="F446" t="inlineStr">
        <is>
          <t>VÄRMLANDS LÄN</t>
        </is>
      </c>
      <c r="G446" t="inlineStr">
        <is>
          <t>SUNNE</t>
        </is>
      </c>
      <c r="I446" t="n">
        <v>1</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34295-2022</t>
        </is>
      </c>
      <c r="B447" t="inlineStr">
        <is>
          <t>avverkningsanmälan</t>
        </is>
      </c>
      <c r="C447" t="inlineStr">
        <is>
          <t>Föryngringsavverkning</t>
        </is>
      </c>
      <c r="D447" s="1" t="n">
        <v>44792</v>
      </c>
      <c r="E447" s="1" t="n">
        <v>46313</v>
      </c>
      <c r="F447" t="inlineStr">
        <is>
          <t>VÄRMLANDS LÄN</t>
        </is>
      </c>
      <c r="G447" t="inlineStr">
        <is>
          <t>SUNNE</t>
        </is>
      </c>
      <c r="I447" t="n">
        <v>1.6</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47025-2025</t>
        </is>
      </c>
      <c r="B448" t="inlineStr">
        <is>
          <t>avverkningsanmälan</t>
        </is>
      </c>
      <c r="C448" t="inlineStr">
        <is>
          <t>Föryngringsavverkning</t>
        </is>
      </c>
      <c r="D448" s="1" t="n">
        <v>45929</v>
      </c>
      <c r="E448" s="1" t="n">
        <v>46313</v>
      </c>
      <c r="F448" t="inlineStr">
        <is>
          <t>VÄRMLANDS LÄN</t>
        </is>
      </c>
      <c r="G448" t="inlineStr">
        <is>
          <t>SUNNE</t>
        </is>
      </c>
      <c r="I448" t="n">
        <v>2</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47133-2025</t>
        </is>
      </c>
      <c r="B449" t="inlineStr">
        <is>
          <t>avverkningsanmälan</t>
        </is>
      </c>
      <c r="C449" t="inlineStr">
        <is>
          <t>Föryngringsavverkning</t>
        </is>
      </c>
      <c r="D449" s="1" t="n">
        <v>45929</v>
      </c>
      <c r="E449" s="1" t="n">
        <v>46313</v>
      </c>
      <c r="F449" t="inlineStr">
        <is>
          <t>VÄRMLANDS LÄN</t>
        </is>
      </c>
      <c r="G449" t="inlineStr">
        <is>
          <t>SUNNE</t>
        </is>
      </c>
      <c r="I449" t="n">
        <v>0.6</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46657-2025</t>
        </is>
      </c>
      <c r="B450" t="inlineStr">
        <is>
          <t>avverkningsanmälan</t>
        </is>
      </c>
      <c r="C450" t="inlineStr">
        <is>
          <t>Föryngringsavverkning</t>
        </is>
      </c>
      <c r="D450" s="1" t="n">
        <v>45926</v>
      </c>
      <c r="E450" s="1" t="n">
        <v>46313</v>
      </c>
      <c r="F450" t="inlineStr">
        <is>
          <t>VÄRMLANDS LÄN</t>
        </is>
      </c>
      <c r="G450" t="inlineStr">
        <is>
          <t>SUNNE</t>
        </is>
      </c>
      <c r="I450" t="n">
        <v>4.3</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46663-2025</t>
        </is>
      </c>
      <c r="B451" t="inlineStr">
        <is>
          <t>avverkningsanmälan</t>
        </is>
      </c>
      <c r="C451" t="inlineStr">
        <is>
          <t>Föryngringsavverkning</t>
        </is>
      </c>
      <c r="D451" s="1" t="n">
        <v>45926</v>
      </c>
      <c r="E451" s="1" t="n">
        <v>46313</v>
      </c>
      <c r="F451" t="inlineStr">
        <is>
          <t>VÄRMLANDS LÄN</t>
        </is>
      </c>
      <c r="G451" t="inlineStr">
        <is>
          <t>SUNNE</t>
        </is>
      </c>
      <c r="I451" t="n">
        <v>3.7</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6669-2023</t>
        </is>
      </c>
      <c r="B452" t="inlineStr">
        <is>
          <t>avverkningsanmälan</t>
        </is>
      </c>
      <c r="C452" t="inlineStr">
        <is>
          <t>Föryngringsavverkning</t>
        </is>
      </c>
      <c r="D452" s="1" t="n">
        <v>44963</v>
      </c>
      <c r="E452" s="1" t="n">
        <v>46313</v>
      </c>
      <c r="F452" t="inlineStr">
        <is>
          <t>VÄRMLANDS LÄN</t>
        </is>
      </c>
      <c r="G452" t="inlineStr">
        <is>
          <t>SUNNE</t>
        </is>
      </c>
      <c r="I452" t="n">
        <v>5.3</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57711-2023</t>
        </is>
      </c>
      <c r="B453" t="inlineStr">
        <is>
          <t>avverkningsanmälan</t>
        </is>
      </c>
      <c r="C453" t="inlineStr">
        <is>
          <t>Föryngringsavverkning</t>
        </is>
      </c>
      <c r="D453" s="1" t="n">
        <v>45243</v>
      </c>
      <c r="E453" s="1" t="n">
        <v>46313</v>
      </c>
      <c r="F453" t="inlineStr">
        <is>
          <t>VÄRMLANDS LÄN</t>
        </is>
      </c>
      <c r="G453" t="inlineStr">
        <is>
          <t>SUNNE</t>
        </is>
      </c>
      <c r="I453" t="n">
        <v>2.8</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33318-2022</t>
        </is>
      </c>
      <c r="B454" t="inlineStr">
        <is>
          <t>avverkningsanmälan</t>
        </is>
      </c>
      <c r="C454" t="inlineStr">
        <is>
          <t>Föryngringsavverkning</t>
        </is>
      </c>
      <c r="D454" s="1" t="n">
        <v>44788</v>
      </c>
      <c r="E454" s="1" t="n">
        <v>46313</v>
      </c>
      <c r="F454" t="inlineStr">
        <is>
          <t>VÄRMLANDS LÄN</t>
        </is>
      </c>
      <c r="G454" t="inlineStr">
        <is>
          <t>SUNNE</t>
        </is>
      </c>
      <c r="I454" t="n">
        <v>2.3</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26309-2023</t>
        </is>
      </c>
      <c r="B455" t="inlineStr">
        <is>
          <t>avverkningsanmälan</t>
        </is>
      </c>
      <c r="C455" t="inlineStr">
        <is>
          <t>Föryngringsavverkning</t>
        </is>
      </c>
      <c r="D455" s="1" t="n">
        <v>45091</v>
      </c>
      <c r="E455" s="1" t="n">
        <v>46313</v>
      </c>
      <c r="F455" t="inlineStr">
        <is>
          <t>VÄRMLANDS LÄN</t>
        </is>
      </c>
      <c r="G455" t="inlineStr">
        <is>
          <t>SUNNE</t>
        </is>
      </c>
      <c r="I455" t="n">
        <v>1.2</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47598-2025</t>
        </is>
      </c>
      <c r="B456" t="inlineStr">
        <is>
          <t>avverkningsanmälan</t>
        </is>
      </c>
      <c r="C456" t="inlineStr">
        <is>
          <t>Föryngringsavverkning</t>
        </is>
      </c>
      <c r="D456" s="1" t="n">
        <v>45931</v>
      </c>
      <c r="E456" s="1" t="n">
        <v>46313</v>
      </c>
      <c r="F456" t="inlineStr">
        <is>
          <t>VÄRMLANDS LÄN</t>
        </is>
      </c>
      <c r="G456" t="inlineStr">
        <is>
          <t>SUNNE</t>
        </is>
      </c>
      <c r="I456" t="n">
        <v>1.7</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18116-2023</t>
        </is>
      </c>
      <c r="B457" t="inlineStr">
        <is>
          <t>avverkningsanmälan</t>
        </is>
      </c>
      <c r="C457" t="inlineStr">
        <is>
          <t>Föryngringsavverkning</t>
        </is>
      </c>
      <c r="D457" s="1" t="n">
        <v>45040</v>
      </c>
      <c r="E457" s="1" t="n">
        <v>46313</v>
      </c>
      <c r="F457" t="inlineStr">
        <is>
          <t>VÄRMLANDS LÄN</t>
        </is>
      </c>
      <c r="G457" t="inlineStr">
        <is>
          <t>SUNNE</t>
        </is>
      </c>
      <c r="I457" t="n">
        <v>2.5</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28572-2022</t>
        </is>
      </c>
      <c r="B458" t="inlineStr">
        <is>
          <t>avverkningsanmälan</t>
        </is>
      </c>
      <c r="C458" t="inlineStr">
        <is>
          <t>Föryngringsavverkning</t>
        </is>
      </c>
      <c r="D458" s="1" t="n">
        <v>44748</v>
      </c>
      <c r="E458" s="1" t="n">
        <v>46313</v>
      </c>
      <c r="F458" t="inlineStr">
        <is>
          <t>VÄRMLANDS LÄN</t>
        </is>
      </c>
      <c r="G458" t="inlineStr">
        <is>
          <t>SUNNE</t>
        </is>
      </c>
      <c r="I458" t="n">
        <v>2.2</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47237-2025</t>
        </is>
      </c>
      <c r="B459" t="inlineStr">
        <is>
          <t>avverkningsanmälan</t>
        </is>
      </c>
      <c r="C459" t="inlineStr">
        <is>
          <t>Föryngringsavverkning</t>
        </is>
      </c>
      <c r="D459" s="1" t="n">
        <v>45930</v>
      </c>
      <c r="E459" s="1" t="n">
        <v>46313</v>
      </c>
      <c r="F459" t="inlineStr">
        <is>
          <t>VÄRMLANDS LÄN</t>
        </is>
      </c>
      <c r="G459" t="inlineStr">
        <is>
          <t>SUNNE</t>
        </is>
      </c>
      <c r="H459" t="inlineStr">
        <is>
          <t>Bergvik skog väst AB</t>
        </is>
      </c>
      <c r="I459" t="n">
        <v>1.3</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47256-2025</t>
        </is>
      </c>
      <c r="B460" t="inlineStr">
        <is>
          <t>avverkningsanmälan</t>
        </is>
      </c>
      <c r="C460" t="inlineStr">
        <is>
          <t>Föryngringsavverkning</t>
        </is>
      </c>
      <c r="D460" s="1" t="n">
        <v>45930</v>
      </c>
      <c r="E460" s="1" t="n">
        <v>46313</v>
      </c>
      <c r="F460" t="inlineStr">
        <is>
          <t>VÄRMLANDS LÄN</t>
        </is>
      </c>
      <c r="G460" t="inlineStr">
        <is>
          <t>SUNNE</t>
        </is>
      </c>
      <c r="H460" t="inlineStr">
        <is>
          <t>Bergvik skog väst AB</t>
        </is>
      </c>
      <c r="I460" t="n">
        <v>2.9</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47273-2025</t>
        </is>
      </c>
      <c r="B461" t="inlineStr">
        <is>
          <t>avverkningsanmälan</t>
        </is>
      </c>
      <c r="C461" t="inlineStr">
        <is>
          <t>Föryngringsavverkning</t>
        </is>
      </c>
      <c r="D461" s="1" t="n">
        <v>45930</v>
      </c>
      <c r="E461" s="1" t="n">
        <v>46313</v>
      </c>
      <c r="F461" t="inlineStr">
        <is>
          <t>VÄRMLANDS LÄN</t>
        </is>
      </c>
      <c r="G461" t="inlineStr">
        <is>
          <t>SUNNE</t>
        </is>
      </c>
      <c r="H461" t="inlineStr">
        <is>
          <t>Bergvik skog väst AB</t>
        </is>
      </c>
      <c r="I461" t="n">
        <v>2.1</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15216-2026</t>
        </is>
      </c>
      <c r="B462" t="inlineStr">
        <is>
          <t>avverkningsanmälan</t>
        </is>
      </c>
      <c r="C462" t="inlineStr">
        <is>
          <t>Föryngringsavverkning</t>
        </is>
      </c>
      <c r="D462" s="1" t="n">
        <v>46105</v>
      </c>
      <c r="E462" s="1" t="n">
        <v>46313</v>
      </c>
      <c r="F462" t="inlineStr">
        <is>
          <t>VÄRMLANDS LÄN</t>
        </is>
      </c>
      <c r="G462" t="inlineStr">
        <is>
          <t>SUNNE</t>
        </is>
      </c>
      <c r="I462" t="n">
        <v>2.4</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21943-2026</t>
        </is>
      </c>
      <c r="B463" t="inlineStr">
        <is>
          <t>avverkningsanmälan</t>
        </is>
      </c>
      <c r="C463" t="inlineStr">
        <is>
          <t>Föryngringsavverkning</t>
        </is>
      </c>
      <c r="D463" s="1" t="n">
        <v>46150</v>
      </c>
      <c r="E463" s="1" t="n">
        <v>46313</v>
      </c>
      <c r="F463" t="inlineStr">
        <is>
          <t>VÄRMLANDS LÄN</t>
        </is>
      </c>
      <c r="G463" t="inlineStr">
        <is>
          <t>SUNNE</t>
        </is>
      </c>
      <c r="I463" t="n">
        <v>8.699999999999999</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39813-2025</t>
        </is>
      </c>
      <c r="B464" t="inlineStr">
        <is>
          <t>avverkningsanmälan</t>
        </is>
      </c>
      <c r="C464" t="inlineStr">
        <is>
          <t>Föryngringsavverkning</t>
        </is>
      </c>
      <c r="D464" s="1" t="n">
        <v>45891</v>
      </c>
      <c r="E464" s="1" t="n">
        <v>46313</v>
      </c>
      <c r="F464" t="inlineStr">
        <is>
          <t>VÄRMLANDS LÄN</t>
        </is>
      </c>
      <c r="G464" t="inlineStr">
        <is>
          <t>SUNNE</t>
        </is>
      </c>
      <c r="H464" t="inlineStr">
        <is>
          <t>Bergvik skog väst AB</t>
        </is>
      </c>
      <c r="I464" t="n">
        <v>4.6</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46102-2023</t>
        </is>
      </c>
      <c r="B465" t="inlineStr">
        <is>
          <t>avverkningsanmälan</t>
        </is>
      </c>
      <c r="C465" t="inlineStr">
        <is>
          <t>Föryngringsavverkning</t>
        </is>
      </c>
      <c r="D465" s="1" t="n">
        <v>45196</v>
      </c>
      <c r="E465" s="1" t="n">
        <v>46313</v>
      </c>
      <c r="F465" t="inlineStr">
        <is>
          <t>VÄRMLANDS LÄN</t>
        </is>
      </c>
      <c r="G465" t="inlineStr">
        <is>
          <t>SUNNE</t>
        </is>
      </c>
      <c r="I465" t="n">
        <v>3.6</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43157-2024</t>
        </is>
      </c>
      <c r="B466" t="inlineStr">
        <is>
          <t>avverkningsanmälan</t>
        </is>
      </c>
      <c r="C466" t="inlineStr">
        <is>
          <t>Föryngringsavverkning</t>
        </is>
      </c>
      <c r="D466" s="1" t="n">
        <v>45567</v>
      </c>
      <c r="E466" s="1" t="n">
        <v>46313</v>
      </c>
      <c r="F466" t="inlineStr">
        <is>
          <t>VÄRMLANDS LÄN</t>
        </is>
      </c>
      <c r="G466" t="inlineStr">
        <is>
          <t>SUNNE</t>
        </is>
      </c>
      <c r="I466" t="n">
        <v>1.2</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55487-2024</t>
        </is>
      </c>
      <c r="B467" t="inlineStr">
        <is>
          <t>avverkningsanmälan</t>
        </is>
      </c>
      <c r="C467" t="inlineStr">
        <is>
          <t>Föryngringsavverkning</t>
        </is>
      </c>
      <c r="D467" s="1" t="n">
        <v>45622</v>
      </c>
      <c r="E467" s="1" t="n">
        <v>46313</v>
      </c>
      <c r="F467" t="inlineStr">
        <is>
          <t>VÄRMLANDS LÄN</t>
        </is>
      </c>
      <c r="G467" t="inlineStr">
        <is>
          <t>SUNNE</t>
        </is>
      </c>
      <c r="I467" t="n">
        <v>5.1</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31075-2024</t>
        </is>
      </c>
      <c r="B468" t="inlineStr">
        <is>
          <t>avverkningsanmälan</t>
        </is>
      </c>
      <c r="C468" t="inlineStr">
        <is>
          <t>Föryngringsavverkning</t>
        </is>
      </c>
      <c r="D468" s="1" t="n">
        <v>45502</v>
      </c>
      <c r="E468" s="1" t="n">
        <v>46313</v>
      </c>
      <c r="F468" t="inlineStr">
        <is>
          <t>VÄRMLANDS LÄN</t>
        </is>
      </c>
      <c r="G468" t="inlineStr">
        <is>
          <t>SUNNE</t>
        </is>
      </c>
      <c r="I468" t="n">
        <v>0.9</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60763-2024</t>
        </is>
      </c>
      <c r="B469" t="inlineStr">
        <is>
          <t>avverkningsanmälan</t>
        </is>
      </c>
      <c r="C469" t="inlineStr">
        <is>
          <t>Avverkning för att bevara och utveckla /försöksver</t>
        </is>
      </c>
      <c r="D469" s="1" t="n">
        <v>45644</v>
      </c>
      <c r="E469" s="1" t="n">
        <v>46313</v>
      </c>
      <c r="F469" t="inlineStr">
        <is>
          <t>VÄRMLANDS LÄN</t>
        </is>
      </c>
      <c r="G469" t="inlineStr">
        <is>
          <t>SUNNE</t>
        </is>
      </c>
      <c r="I469" t="n">
        <v>0.6</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61093-2023</t>
        </is>
      </c>
      <c r="B470" t="inlineStr">
        <is>
          <t>avverkningsanmälan</t>
        </is>
      </c>
      <c r="C470" t="inlineStr">
        <is>
          <t>Föryngringsavverkning</t>
        </is>
      </c>
      <c r="D470" s="1" t="n">
        <v>45261</v>
      </c>
      <c r="E470" s="1" t="n">
        <v>46313</v>
      </c>
      <c r="F470" t="inlineStr">
        <is>
          <t>VÄRMLANDS LÄN</t>
        </is>
      </c>
      <c r="G470" t="inlineStr">
        <is>
          <t>SUNNE</t>
        </is>
      </c>
      <c r="I470" t="n">
        <v>1.6</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12119-2023</t>
        </is>
      </c>
      <c r="B471" t="inlineStr">
        <is>
          <t>avverkningsanmälan</t>
        </is>
      </c>
      <c r="C471" t="inlineStr">
        <is>
          <t>Föryngringsavverkning</t>
        </is>
      </c>
      <c r="D471" s="1" t="n">
        <v>44998</v>
      </c>
      <c r="E471" s="1" t="n">
        <v>46313</v>
      </c>
      <c r="F471" t="inlineStr">
        <is>
          <t>VÄRMLANDS LÄN</t>
        </is>
      </c>
      <c r="G471" t="inlineStr">
        <is>
          <t>SUNNE</t>
        </is>
      </c>
      <c r="I471" t="n">
        <v>1.5</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49206-2025</t>
        </is>
      </c>
      <c r="B472" t="inlineStr">
        <is>
          <t>avverkningsanmälan</t>
        </is>
      </c>
      <c r="C472" t="inlineStr">
        <is>
          <t>Föryngringsavverkning</t>
        </is>
      </c>
      <c r="D472" s="1" t="n">
        <v>45938</v>
      </c>
      <c r="E472" s="1" t="n">
        <v>46313</v>
      </c>
      <c r="F472" t="inlineStr">
        <is>
          <t>VÄRMLANDS LÄN</t>
        </is>
      </c>
      <c r="G472" t="inlineStr">
        <is>
          <t>SUNNE</t>
        </is>
      </c>
      <c r="H472" t="inlineStr">
        <is>
          <t>Övriga statliga verk och myndigheter</t>
        </is>
      </c>
      <c r="I472" t="n">
        <v>3</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32371-2024</t>
        </is>
      </c>
      <c r="B473" t="inlineStr">
        <is>
          <t>avverkningsanmälan</t>
        </is>
      </c>
      <c r="C473" t="inlineStr">
        <is>
          <t>Föryngringsavverkning</t>
        </is>
      </c>
      <c r="D473" s="1" t="n">
        <v>45512</v>
      </c>
      <c r="E473" s="1" t="n">
        <v>46313</v>
      </c>
      <c r="F473" t="inlineStr">
        <is>
          <t>VÄRMLANDS LÄN</t>
        </is>
      </c>
      <c r="G473" t="inlineStr">
        <is>
          <t>SUNNE</t>
        </is>
      </c>
      <c r="I473" t="n">
        <v>3.3</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49066-2025</t>
        </is>
      </c>
      <c r="B474" t="inlineStr">
        <is>
          <t>avverkningsanmälan</t>
        </is>
      </c>
      <c r="C474" t="inlineStr">
        <is>
          <t>Föryngringsavverkning</t>
        </is>
      </c>
      <c r="D474" s="1" t="n">
        <v>45937</v>
      </c>
      <c r="E474" s="1" t="n">
        <v>46313</v>
      </c>
      <c r="F474" t="inlineStr">
        <is>
          <t>VÄRMLANDS LÄN</t>
        </is>
      </c>
      <c r="G474" t="inlineStr">
        <is>
          <t>SUNNE</t>
        </is>
      </c>
      <c r="I474" t="n">
        <v>9.800000000000001</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44484-2022</t>
        </is>
      </c>
      <c r="B475" t="inlineStr">
        <is>
          <t>avverkningsanmälan</t>
        </is>
      </c>
      <c r="C475" t="inlineStr">
        <is>
          <t>Föryngringsavverkning</t>
        </is>
      </c>
      <c r="D475" s="1" t="n">
        <v>44840</v>
      </c>
      <c r="E475" s="1" t="n">
        <v>46313</v>
      </c>
      <c r="F475" t="inlineStr">
        <is>
          <t>VÄRMLANDS LÄN</t>
        </is>
      </c>
      <c r="G475" t="inlineStr">
        <is>
          <t>SUNNE</t>
        </is>
      </c>
      <c r="I475" t="n">
        <v>1.3</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33623-2022</t>
        </is>
      </c>
      <c r="B476" t="inlineStr">
        <is>
          <t>avverkningsanmälan</t>
        </is>
      </c>
      <c r="C476" t="inlineStr">
        <is>
          <t>Föryngringsavverkning</t>
        </is>
      </c>
      <c r="D476" s="1" t="n">
        <v>44789</v>
      </c>
      <c r="E476" s="1" t="n">
        <v>46313</v>
      </c>
      <c r="F476" t="inlineStr">
        <is>
          <t>VÄRMLANDS LÄN</t>
        </is>
      </c>
      <c r="G476" t="inlineStr">
        <is>
          <t>SUNNE</t>
        </is>
      </c>
      <c r="I476" t="n">
        <v>1.4</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50178-2025</t>
        </is>
      </c>
      <c r="B477" t="inlineStr">
        <is>
          <t>avverkningsanmälan</t>
        </is>
      </c>
      <c r="C477" t="inlineStr">
        <is>
          <t>Föryngringsavverkning</t>
        </is>
      </c>
      <c r="D477" s="1" t="n">
        <v>45943</v>
      </c>
      <c r="E477" s="1" t="n">
        <v>46313</v>
      </c>
      <c r="F477" t="inlineStr">
        <is>
          <t>VÄRMLANDS LÄN</t>
        </is>
      </c>
      <c r="G477" t="inlineStr">
        <is>
          <t>SUNNE</t>
        </is>
      </c>
      <c r="I477" t="n">
        <v>0.9</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62039-2022</t>
        </is>
      </c>
      <c r="B478" t="inlineStr">
        <is>
          <t>avverkningsanmälan</t>
        </is>
      </c>
      <c r="C478" t="inlineStr">
        <is>
          <t>Föryngringsavverkning</t>
        </is>
      </c>
      <c r="D478" s="1" t="n">
        <v>44918</v>
      </c>
      <c r="E478" s="1" t="n">
        <v>46313</v>
      </c>
      <c r="F478" t="inlineStr">
        <is>
          <t>VÄRMLANDS LÄN</t>
        </is>
      </c>
      <c r="G478" t="inlineStr">
        <is>
          <t>SUNNE</t>
        </is>
      </c>
      <c r="I478" t="n">
        <v>3.6</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50074-2025</t>
        </is>
      </c>
      <c r="B479" t="inlineStr">
        <is>
          <t>avverkningsanmälan</t>
        </is>
      </c>
      <c r="C479" t="inlineStr">
        <is>
          <t>Föryngringsavverkning</t>
        </is>
      </c>
      <c r="D479" s="1" t="n">
        <v>45943</v>
      </c>
      <c r="E479" s="1" t="n">
        <v>46313</v>
      </c>
      <c r="F479" t="inlineStr">
        <is>
          <t>VÄRMLANDS LÄN</t>
        </is>
      </c>
      <c r="G479" t="inlineStr">
        <is>
          <t>SUNNE</t>
        </is>
      </c>
      <c r="I479" t="n">
        <v>0.4</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3336-2024</t>
        </is>
      </c>
      <c r="B480" t="inlineStr">
        <is>
          <t>avverkningsanmälan</t>
        </is>
      </c>
      <c r="C480" t="inlineStr">
        <is>
          <t>Föryngringsavverkning</t>
        </is>
      </c>
      <c r="D480" s="1" t="n">
        <v>45317</v>
      </c>
      <c r="E480" s="1" t="n">
        <v>46313</v>
      </c>
      <c r="F480" t="inlineStr">
        <is>
          <t>VÄRMLANDS LÄN</t>
        </is>
      </c>
      <c r="G480" t="inlineStr">
        <is>
          <t>SUNNE</t>
        </is>
      </c>
      <c r="I480" t="n">
        <v>1.2</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28026-2023</t>
        </is>
      </c>
      <c r="B481" t="inlineStr">
        <is>
          <t>avverkningsanmälan</t>
        </is>
      </c>
      <c r="C481" t="inlineStr">
        <is>
          <t>Föryngringsavverkning</t>
        </is>
      </c>
      <c r="D481" s="1" t="n">
        <v>45098</v>
      </c>
      <c r="E481" s="1" t="n">
        <v>46313</v>
      </c>
      <c r="F481" t="inlineStr">
        <is>
          <t>VÄRMLANDS LÄN</t>
        </is>
      </c>
      <c r="G481" t="inlineStr">
        <is>
          <t>SUNNE</t>
        </is>
      </c>
      <c r="I481" t="n">
        <v>1.3</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50470-2025</t>
        </is>
      </c>
      <c r="B482" t="inlineStr">
        <is>
          <t>avverkningsanmälan</t>
        </is>
      </c>
      <c r="C482" t="inlineStr">
        <is>
          <t>Föryngringsavverkning</t>
        </is>
      </c>
      <c r="D482" s="1" t="n">
        <v>45945</v>
      </c>
      <c r="E482" s="1" t="n">
        <v>46313</v>
      </c>
      <c r="F482" t="inlineStr">
        <is>
          <t>VÄRMLANDS LÄN</t>
        </is>
      </c>
      <c r="G482" t="inlineStr">
        <is>
          <t>SUNNE</t>
        </is>
      </c>
      <c r="H482" t="inlineStr">
        <is>
          <t>Bergvik skog väst AB</t>
        </is>
      </c>
      <c r="I482" t="n">
        <v>10.2</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50339-2025</t>
        </is>
      </c>
      <c r="B483" t="inlineStr">
        <is>
          <t>avverkningsanmälan</t>
        </is>
      </c>
      <c r="C483" t="inlineStr">
        <is>
          <t>Föryngringsavverkning</t>
        </is>
      </c>
      <c r="D483" s="1" t="n">
        <v>45944</v>
      </c>
      <c r="E483" s="1" t="n">
        <v>46313</v>
      </c>
      <c r="F483" t="inlineStr">
        <is>
          <t>VÄRMLANDS LÄN</t>
        </is>
      </c>
      <c r="G483" t="inlineStr">
        <is>
          <t>SUNNE</t>
        </is>
      </c>
      <c r="I483" t="n">
        <v>11.6</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10547-2022</t>
        </is>
      </c>
      <c r="B484" t="inlineStr">
        <is>
          <t>avverkningsanmälan</t>
        </is>
      </c>
      <c r="C484" t="inlineStr">
        <is>
          <t>Föryngringsavverkning</t>
        </is>
      </c>
      <c r="D484" s="1" t="n">
        <v>44623</v>
      </c>
      <c r="E484" s="1" t="n">
        <v>46313</v>
      </c>
      <c r="F484" t="inlineStr">
        <is>
          <t>VÄRMLANDS LÄN</t>
        </is>
      </c>
      <c r="G484" t="inlineStr">
        <is>
          <t>SUNNE</t>
        </is>
      </c>
      <c r="I484" t="n">
        <v>1</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41017-2024</t>
        </is>
      </c>
      <c r="B485" t="inlineStr">
        <is>
          <t>avverkningsanmälan</t>
        </is>
      </c>
      <c r="C485" t="inlineStr">
        <is>
          <t>Föryngringsavverkning</t>
        </is>
      </c>
      <c r="D485" s="1" t="n">
        <v>45559</v>
      </c>
      <c r="E485" s="1" t="n">
        <v>46313</v>
      </c>
      <c r="F485" t="inlineStr">
        <is>
          <t>VÄRMLANDS LÄN</t>
        </is>
      </c>
      <c r="G485" t="inlineStr">
        <is>
          <t>SUNNE</t>
        </is>
      </c>
      <c r="I485" t="n">
        <v>0.7</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34723-2022</t>
        </is>
      </c>
      <c r="B486" t="inlineStr">
        <is>
          <t>avverkningsanmälan</t>
        </is>
      </c>
      <c r="C486" t="inlineStr">
        <is>
          <t>Föryngringsavverkning</t>
        </is>
      </c>
      <c r="D486" s="1" t="n">
        <v>44795</v>
      </c>
      <c r="E486" s="1" t="n">
        <v>46313</v>
      </c>
      <c r="F486" t="inlineStr">
        <is>
          <t>VÄRMLANDS LÄN</t>
        </is>
      </c>
      <c r="G486" t="inlineStr">
        <is>
          <t>SUNNE</t>
        </is>
      </c>
      <c r="I486" t="n">
        <v>1.8</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9593-2025</t>
        </is>
      </c>
      <c r="B487" t="inlineStr">
        <is>
          <t>avverkningsanmälan</t>
        </is>
      </c>
      <c r="C487" t="inlineStr">
        <is>
          <t>Föryngringsavverkning</t>
        </is>
      </c>
      <c r="D487" s="1" t="n">
        <v>45714</v>
      </c>
      <c r="E487" s="1" t="n">
        <v>46313</v>
      </c>
      <c r="F487" t="inlineStr">
        <is>
          <t>VÄRMLANDS LÄN</t>
        </is>
      </c>
      <c r="G487" t="inlineStr">
        <is>
          <t>SUNNE</t>
        </is>
      </c>
      <c r="I487" t="n">
        <v>1.7</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25796-2024</t>
        </is>
      </c>
      <c r="B488" t="inlineStr">
        <is>
          <t>avverkningsanmälan</t>
        </is>
      </c>
      <c r="C488" t="inlineStr">
        <is>
          <t>Föryngringsavverkning</t>
        </is>
      </c>
      <c r="D488" s="1" t="n">
        <v>45467</v>
      </c>
      <c r="E488" s="1" t="n">
        <v>46313</v>
      </c>
      <c r="F488" t="inlineStr">
        <is>
          <t>VÄRMLANDS LÄN</t>
        </is>
      </c>
      <c r="G488" t="inlineStr">
        <is>
          <t>SUNNE</t>
        </is>
      </c>
      <c r="I488" t="n">
        <v>0.4</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33992-2024</t>
        </is>
      </c>
      <c r="B489" t="inlineStr">
        <is>
          <t>avverkningsanmälan</t>
        </is>
      </c>
      <c r="C489" t="inlineStr">
        <is>
          <t>Föryngringsavverkning</t>
        </is>
      </c>
      <c r="D489" s="1" t="n">
        <v>45523</v>
      </c>
      <c r="E489" s="1" t="n">
        <v>46313</v>
      </c>
      <c r="F489" t="inlineStr">
        <is>
          <t>VÄRMLANDS LÄN</t>
        </is>
      </c>
      <c r="G489" t="inlineStr">
        <is>
          <t>SUNNE</t>
        </is>
      </c>
      <c r="I489" t="n">
        <v>0.3</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51056-2025</t>
        </is>
      </c>
      <c r="B490" t="inlineStr">
        <is>
          <t>avverkningsanmälan</t>
        </is>
      </c>
      <c r="C490" t="inlineStr">
        <is>
          <t>Föryngringsavverkning</t>
        </is>
      </c>
      <c r="D490" s="1" t="n">
        <v>45947</v>
      </c>
      <c r="E490" s="1" t="n">
        <v>46313</v>
      </c>
      <c r="F490" t="inlineStr">
        <is>
          <t>VÄRMLANDS LÄN</t>
        </is>
      </c>
      <c r="G490" t="inlineStr">
        <is>
          <t>SUNNE</t>
        </is>
      </c>
      <c r="I490" t="n">
        <v>0.9</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51343-2025</t>
        </is>
      </c>
      <c r="B491" t="inlineStr">
        <is>
          <t>avverkningsanmälan</t>
        </is>
      </c>
      <c r="C491" t="inlineStr">
        <is>
          <t>Föryngringsavverkning</t>
        </is>
      </c>
      <c r="D491" s="1" t="n">
        <v>45950</v>
      </c>
      <c r="E491" s="1" t="n">
        <v>46313</v>
      </c>
      <c r="F491" t="inlineStr">
        <is>
          <t>VÄRMLANDS LÄN</t>
        </is>
      </c>
      <c r="G491" t="inlineStr">
        <is>
          <t>SUNNE</t>
        </is>
      </c>
      <c r="H491" t="inlineStr">
        <is>
          <t>Bergvik skog väst AB</t>
        </is>
      </c>
      <c r="I491" t="n">
        <v>7.1</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22632-2026</t>
        </is>
      </c>
      <c r="B492" t="inlineStr">
        <is>
          <t>avverkningsanmälan</t>
        </is>
      </c>
      <c r="C492" t="inlineStr">
        <is>
          <t>Föryngringsavverkning</t>
        </is>
      </c>
      <c r="D492" s="1" t="n">
        <v>46155</v>
      </c>
      <c r="E492" s="1" t="n">
        <v>46313</v>
      </c>
      <c r="F492" t="inlineStr">
        <is>
          <t>VÄRMLANDS LÄN</t>
        </is>
      </c>
      <c r="G492" t="inlineStr">
        <is>
          <t>SUNNE</t>
        </is>
      </c>
      <c r="I492" t="n">
        <v>2.2</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34374-2023</t>
        </is>
      </c>
      <c r="B493" t="inlineStr">
        <is>
          <t>avverkningsanmälan</t>
        </is>
      </c>
      <c r="C493" t="inlineStr">
        <is>
          <t>Föryngringsavverkning</t>
        </is>
      </c>
      <c r="D493" s="1" t="n">
        <v>45131</v>
      </c>
      <c r="E493" s="1" t="n">
        <v>46313</v>
      </c>
      <c r="F493" t="inlineStr">
        <is>
          <t>VÄRMLANDS LÄN</t>
        </is>
      </c>
      <c r="G493" t="inlineStr">
        <is>
          <t>SUNNE</t>
        </is>
      </c>
      <c r="I493" t="n">
        <v>11.7</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51423-2025</t>
        </is>
      </c>
      <c r="B494" t="inlineStr">
        <is>
          <t>avverkningsanmälan</t>
        </is>
      </c>
      <c r="C494" t="inlineStr">
        <is>
          <t>Föryngringsavverkning</t>
        </is>
      </c>
      <c r="D494" s="1" t="n">
        <v>45950</v>
      </c>
      <c r="E494" s="1" t="n">
        <v>46313</v>
      </c>
      <c r="F494" t="inlineStr">
        <is>
          <t>VÄRMLANDS LÄN</t>
        </is>
      </c>
      <c r="G494" t="inlineStr">
        <is>
          <t>SUNNE</t>
        </is>
      </c>
      <c r="H494" t="inlineStr">
        <is>
          <t>Bergvik skog väst AB</t>
        </is>
      </c>
      <c r="I494" t="n">
        <v>6.5</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684-2025</t>
        </is>
      </c>
      <c r="B495" t="inlineStr">
        <is>
          <t>avverkningsanmälan</t>
        </is>
      </c>
      <c r="C495" t="inlineStr">
        <is>
          <t>Föryngringsavverkning</t>
        </is>
      </c>
      <c r="D495" s="1" t="n">
        <v>45665</v>
      </c>
      <c r="E495" s="1" t="n">
        <v>46313</v>
      </c>
      <c r="F495" t="inlineStr">
        <is>
          <t>VÄRMLANDS LÄN</t>
        </is>
      </c>
      <c r="G495" t="inlineStr">
        <is>
          <t>SUNNE</t>
        </is>
      </c>
      <c r="I495" t="n">
        <v>9</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45206-2023</t>
        </is>
      </c>
      <c r="B496" t="inlineStr">
        <is>
          <t>avverkningsanmälan</t>
        </is>
      </c>
      <c r="C496" t="inlineStr">
        <is>
          <t>Föryngringsavverkning</t>
        </is>
      </c>
      <c r="D496" s="1" t="n">
        <v>45191</v>
      </c>
      <c r="E496" s="1" t="n">
        <v>46313</v>
      </c>
      <c r="F496" t="inlineStr">
        <is>
          <t>VÄRMLANDS LÄN</t>
        </is>
      </c>
      <c r="G496" t="inlineStr">
        <is>
          <t>SUNNE</t>
        </is>
      </c>
      <c r="I496" t="n">
        <v>1.1</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52175-2025</t>
        </is>
      </c>
      <c r="B497" t="inlineStr">
        <is>
          <t>avverkningsanmälan</t>
        </is>
      </c>
      <c r="C497" t="inlineStr">
        <is>
          <t>Föryngringsavverkning</t>
        </is>
      </c>
      <c r="D497" s="1" t="n">
        <v>45953</v>
      </c>
      <c r="E497" s="1" t="n">
        <v>46313</v>
      </c>
      <c r="F497" t="inlineStr">
        <is>
          <t>VÄRMLANDS LÄN</t>
        </is>
      </c>
      <c r="G497" t="inlineStr">
        <is>
          <t>SUNNE</t>
        </is>
      </c>
      <c r="I497" t="n">
        <v>1.2</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55163-2024</t>
        </is>
      </c>
      <c r="B498" t="inlineStr">
        <is>
          <t>avverkningsanmälan</t>
        </is>
      </c>
      <c r="C498" t="inlineStr">
        <is>
          <t>Föryngringsavverkning</t>
        </is>
      </c>
      <c r="D498" s="1" t="n">
        <v>45621</v>
      </c>
      <c r="E498" s="1" t="n">
        <v>46313</v>
      </c>
      <c r="F498" t="inlineStr">
        <is>
          <t>VÄRMLANDS LÄN</t>
        </is>
      </c>
      <c r="G498" t="inlineStr">
        <is>
          <t>SUNNE</t>
        </is>
      </c>
      <c r="I498" t="n">
        <v>0.9</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20106-2024</t>
        </is>
      </c>
      <c r="B499" t="inlineStr">
        <is>
          <t>avverkningsanmälan</t>
        </is>
      </c>
      <c r="C499" t="inlineStr">
        <is>
          <t>Föryngringsavverkning</t>
        </is>
      </c>
      <c r="D499" s="1" t="n">
        <v>45434</v>
      </c>
      <c r="E499" s="1" t="n">
        <v>46313</v>
      </c>
      <c r="F499" t="inlineStr">
        <is>
          <t>VÄRMLANDS LÄN</t>
        </is>
      </c>
      <c r="G499" t="inlineStr">
        <is>
          <t>SUNNE</t>
        </is>
      </c>
      <c r="I499" t="n">
        <v>1.4</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52187-2025</t>
        </is>
      </c>
      <c r="B500" t="inlineStr">
        <is>
          <t>avverkningsanmälan</t>
        </is>
      </c>
      <c r="C500" t="inlineStr">
        <is>
          <t>Föryngringsavverkning</t>
        </is>
      </c>
      <c r="D500" s="1" t="n">
        <v>45953</v>
      </c>
      <c r="E500" s="1" t="n">
        <v>46313</v>
      </c>
      <c r="F500" t="inlineStr">
        <is>
          <t>VÄRMLANDS LÄN</t>
        </is>
      </c>
      <c r="G500" t="inlineStr">
        <is>
          <t>SUNNE</t>
        </is>
      </c>
      <c r="I500" t="n">
        <v>3.6</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51850-2025</t>
        </is>
      </c>
      <c r="B501" t="inlineStr">
        <is>
          <t>avverkningsanmälan</t>
        </is>
      </c>
      <c r="C501" t="inlineStr">
        <is>
          <t>Föryngringsavverkning</t>
        </is>
      </c>
      <c r="D501" s="1" t="n">
        <v>45952</v>
      </c>
      <c r="E501" s="1" t="n">
        <v>46313</v>
      </c>
      <c r="F501" t="inlineStr">
        <is>
          <t>VÄRMLANDS LÄN</t>
        </is>
      </c>
      <c r="G501" t="inlineStr">
        <is>
          <t>SUNNE</t>
        </is>
      </c>
      <c r="I501" t="n">
        <v>0.5</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52469-2025</t>
        </is>
      </c>
      <c r="B502" t="inlineStr">
        <is>
          <t>avverkningsanmälan</t>
        </is>
      </c>
      <c r="C502" t="inlineStr">
        <is>
          <t>Föryngringsavverkning</t>
        </is>
      </c>
      <c r="D502" s="1" t="n">
        <v>45954</v>
      </c>
      <c r="E502" s="1" t="n">
        <v>46313</v>
      </c>
      <c r="F502" t="inlineStr">
        <is>
          <t>VÄRMLANDS LÄN</t>
        </is>
      </c>
      <c r="G502" t="inlineStr">
        <is>
          <t>SUNNE</t>
        </is>
      </c>
      <c r="I502" t="n">
        <v>1.1</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6569-2023</t>
        </is>
      </c>
      <c r="B503" t="inlineStr">
        <is>
          <t>avverkningsanmälan</t>
        </is>
      </c>
      <c r="C503" t="inlineStr">
        <is>
          <t>Föryngringsavverkning</t>
        </is>
      </c>
      <c r="D503" s="1" t="n">
        <v>44966</v>
      </c>
      <c r="E503" s="1" t="n">
        <v>46313</v>
      </c>
      <c r="F503" t="inlineStr">
        <is>
          <t>VÄRMLANDS LÄN</t>
        </is>
      </c>
      <c r="G503" t="inlineStr">
        <is>
          <t>SUNNE</t>
        </is>
      </c>
      <c r="I503" t="n">
        <v>4.5</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22643-2026</t>
        </is>
      </c>
      <c r="B504" t="inlineStr">
        <is>
          <t>avverkningsanmälan</t>
        </is>
      </c>
      <c r="C504" t="inlineStr">
        <is>
          <t>Föryngringsavverkning</t>
        </is>
      </c>
      <c r="D504" s="1" t="n">
        <v>46155</v>
      </c>
      <c r="E504" s="1" t="n">
        <v>46313</v>
      </c>
      <c r="F504" t="inlineStr">
        <is>
          <t>VÄRMLANDS LÄN</t>
        </is>
      </c>
      <c r="G504" t="inlineStr">
        <is>
          <t>SUNNE</t>
        </is>
      </c>
      <c r="I504" t="n">
        <v>1.4</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52472-2025</t>
        </is>
      </c>
      <c r="B505" t="inlineStr">
        <is>
          <t>avverkningsanmälan</t>
        </is>
      </c>
      <c r="C505" t="inlineStr">
        <is>
          <t>Föryngringsavverkning</t>
        </is>
      </c>
      <c r="D505" s="1" t="n">
        <v>45954</v>
      </c>
      <c r="E505" s="1" t="n">
        <v>46313</v>
      </c>
      <c r="F505" t="inlineStr">
        <is>
          <t>VÄRMLANDS LÄN</t>
        </is>
      </c>
      <c r="G505" t="inlineStr">
        <is>
          <t>SUNNE</t>
        </is>
      </c>
      <c r="I505" t="n">
        <v>3.7</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19938-2025</t>
        </is>
      </c>
      <c r="B506" t="inlineStr">
        <is>
          <t>avverkningsanmälan</t>
        </is>
      </c>
      <c r="C506" t="inlineStr">
        <is>
          <t>Föryngringsavverkning</t>
        </is>
      </c>
      <c r="D506" s="1" t="n">
        <v>45771</v>
      </c>
      <c r="E506" s="1" t="n">
        <v>46313</v>
      </c>
      <c r="F506" t="inlineStr">
        <is>
          <t>VÄRMLANDS LÄN</t>
        </is>
      </c>
      <c r="G506" t="inlineStr">
        <is>
          <t>SUNNE</t>
        </is>
      </c>
      <c r="I506" t="n">
        <v>1.7</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9004-2023</t>
        </is>
      </c>
      <c r="B507" t="inlineStr">
        <is>
          <t>avverkningsanmälan</t>
        </is>
      </c>
      <c r="C507" t="inlineStr">
        <is>
          <t>Föryngringsavverkning</t>
        </is>
      </c>
      <c r="D507" s="1" t="n">
        <v>44979</v>
      </c>
      <c r="E507" s="1" t="n">
        <v>46313</v>
      </c>
      <c r="F507" t="inlineStr">
        <is>
          <t>VÄRMLANDS LÄN</t>
        </is>
      </c>
      <c r="G507" t="inlineStr">
        <is>
          <t>SUNNE</t>
        </is>
      </c>
      <c r="I507" t="n">
        <v>1.4</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43822-2025</t>
        </is>
      </c>
      <c r="B508" t="inlineStr">
        <is>
          <t>avverkningsanmälan</t>
        </is>
      </c>
      <c r="C508" t="inlineStr">
        <is>
          <t>Avverkning för annat ändamål</t>
        </is>
      </c>
      <c r="D508" s="1" t="n">
        <v>45912</v>
      </c>
      <c r="E508" s="1" t="n">
        <v>46313</v>
      </c>
      <c r="F508" t="inlineStr">
        <is>
          <t>VÄRMLANDS LÄN</t>
        </is>
      </c>
      <c r="G508" t="inlineStr">
        <is>
          <t>SUNNE</t>
        </is>
      </c>
      <c r="I508" t="n">
        <v>2</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53687-2025</t>
        </is>
      </c>
      <c r="B509" t="inlineStr">
        <is>
          <t>avverkningsanmälan</t>
        </is>
      </c>
      <c r="C509" t="inlineStr">
        <is>
          <t>Föryngringsavverkning</t>
        </is>
      </c>
      <c r="D509" s="1" t="n">
        <v>45960</v>
      </c>
      <c r="E509" s="1" t="n">
        <v>46313</v>
      </c>
      <c r="F509" t="inlineStr">
        <is>
          <t>VÄRMLANDS LÄN</t>
        </is>
      </c>
      <c r="G509" t="inlineStr">
        <is>
          <t>SUNNE</t>
        </is>
      </c>
      <c r="H509" t="inlineStr">
        <is>
          <t>Bergvik skog väst AB</t>
        </is>
      </c>
      <c r="I509" t="n">
        <v>1.5</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25199-2023</t>
        </is>
      </c>
      <c r="B510" t="inlineStr">
        <is>
          <t>avverkningsanmälan</t>
        </is>
      </c>
      <c r="C510" t="inlineStr">
        <is>
          <t>Föryngringsavverkning</t>
        </is>
      </c>
      <c r="D510" s="1" t="n">
        <v>45086</v>
      </c>
      <c r="E510" s="1" t="n">
        <v>46313</v>
      </c>
      <c r="F510" t="inlineStr">
        <is>
          <t>VÄRMLANDS LÄN</t>
        </is>
      </c>
      <c r="G510" t="inlineStr">
        <is>
          <t>SUNNE</t>
        </is>
      </c>
      <c r="I510" t="n">
        <v>0.5</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19941-2025</t>
        </is>
      </c>
      <c r="B511" t="inlineStr">
        <is>
          <t>avverkningsanmälan</t>
        </is>
      </c>
      <c r="C511" t="inlineStr">
        <is>
          <t>Föryngringsavverkning</t>
        </is>
      </c>
      <c r="D511" s="1" t="n">
        <v>45771</v>
      </c>
      <c r="E511" s="1" t="n">
        <v>46313</v>
      </c>
      <c r="F511" t="inlineStr">
        <is>
          <t>VÄRMLANDS LÄN</t>
        </is>
      </c>
      <c r="G511" t="inlineStr">
        <is>
          <t>SUNNE</t>
        </is>
      </c>
      <c r="I511" t="n">
        <v>1.6</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23066-2026</t>
        </is>
      </c>
      <c r="B512" t="inlineStr">
        <is>
          <t>avverkningsanmälan</t>
        </is>
      </c>
      <c r="C512" t="inlineStr">
        <is>
          <t>Föryngringsavverkning</t>
        </is>
      </c>
      <c r="D512" s="1" t="n">
        <v>46161</v>
      </c>
      <c r="E512" s="1" t="n">
        <v>46313</v>
      </c>
      <c r="F512" t="inlineStr">
        <is>
          <t>VÄRMLANDS LÄN</t>
        </is>
      </c>
      <c r="G512" t="inlineStr">
        <is>
          <t>SUNNE</t>
        </is>
      </c>
      <c r="I512" t="n">
        <v>0.6</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9076-2023</t>
        </is>
      </c>
      <c r="B513" t="inlineStr">
        <is>
          <t>avverkningsanmälan</t>
        </is>
      </c>
      <c r="C513" t="inlineStr">
        <is>
          <t>Föryngringsavverkning</t>
        </is>
      </c>
      <c r="D513" s="1" t="n">
        <v>44979</v>
      </c>
      <c r="E513" s="1" t="n">
        <v>46313</v>
      </c>
      <c r="F513" t="inlineStr">
        <is>
          <t>VÄRMLANDS LÄN</t>
        </is>
      </c>
      <c r="G513" t="inlineStr">
        <is>
          <t>SUNNE</t>
        </is>
      </c>
      <c r="I513" t="n">
        <v>2.3</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53695-2025</t>
        </is>
      </c>
      <c r="B514" t="inlineStr">
        <is>
          <t>avverkningsanmälan</t>
        </is>
      </c>
      <c r="C514" t="inlineStr">
        <is>
          <t>Föryngringsavverkning</t>
        </is>
      </c>
      <c r="D514" s="1" t="n">
        <v>45960</v>
      </c>
      <c r="E514" s="1" t="n">
        <v>46313</v>
      </c>
      <c r="F514" t="inlineStr">
        <is>
          <t>VÄRMLANDS LÄN</t>
        </is>
      </c>
      <c r="G514" t="inlineStr">
        <is>
          <t>SUNNE</t>
        </is>
      </c>
      <c r="H514" t="inlineStr">
        <is>
          <t>Bergvik skog väst AB</t>
        </is>
      </c>
      <c r="I514" t="n">
        <v>4.1</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6023-2025</t>
        </is>
      </c>
      <c r="B515" t="inlineStr">
        <is>
          <t>avverkningsanmälan</t>
        </is>
      </c>
      <c r="C515" t="inlineStr">
        <is>
          <t>Föryngringsavverkning</t>
        </is>
      </c>
      <c r="D515" s="1" t="n">
        <v>45695</v>
      </c>
      <c r="E515" s="1" t="n">
        <v>46313</v>
      </c>
      <c r="F515" t="inlineStr">
        <is>
          <t>VÄRMLANDS LÄN</t>
        </is>
      </c>
      <c r="G515" t="inlineStr">
        <is>
          <t>SUNNE</t>
        </is>
      </c>
      <c r="I515" t="n">
        <v>1.1</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25902-2025</t>
        </is>
      </c>
      <c r="B516" t="inlineStr">
        <is>
          <t>avverkningsanmälan</t>
        </is>
      </c>
      <c r="C516" t="inlineStr">
        <is>
          <t>Föryngringsavverkning</t>
        </is>
      </c>
      <c r="D516" s="1" t="n">
        <v>45804</v>
      </c>
      <c r="E516" s="1" t="n">
        <v>46313</v>
      </c>
      <c r="F516" t="inlineStr">
        <is>
          <t>VÄRMLANDS LÄN</t>
        </is>
      </c>
      <c r="G516" t="inlineStr">
        <is>
          <t>SUNNE</t>
        </is>
      </c>
      <c r="I516" t="n">
        <v>1.8</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23113-2026</t>
        </is>
      </c>
      <c r="B517" t="inlineStr">
        <is>
          <t>avverkningsanmälan</t>
        </is>
      </c>
      <c r="C517" t="inlineStr">
        <is>
          <t>Föryngringsavverkning</t>
        </is>
      </c>
      <c r="D517" s="1" t="n">
        <v>46161</v>
      </c>
      <c r="E517" s="1" t="n">
        <v>46313</v>
      </c>
      <c r="F517" t="inlineStr">
        <is>
          <t>VÄRMLANDS LÄN</t>
        </is>
      </c>
      <c r="G517" t="inlineStr">
        <is>
          <t>SUNNE</t>
        </is>
      </c>
      <c r="I517" t="n">
        <v>1.4</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54051-2025</t>
        </is>
      </c>
      <c r="B518" t="inlineStr">
        <is>
          <t>avverkningsanmälan</t>
        </is>
      </c>
      <c r="C518" t="inlineStr">
        <is>
          <t>Föryngringsavverkning</t>
        </is>
      </c>
      <c r="D518" s="1" t="n">
        <v>45963</v>
      </c>
      <c r="E518" s="1" t="n">
        <v>46313</v>
      </c>
      <c r="F518" t="inlineStr">
        <is>
          <t>VÄRMLANDS LÄN</t>
        </is>
      </c>
      <c r="G518" t="inlineStr">
        <is>
          <t>SUNNE</t>
        </is>
      </c>
      <c r="I518" t="n">
        <v>1.5</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54433-2025</t>
        </is>
      </c>
      <c r="B519" t="inlineStr">
        <is>
          <t>avverkningsanmälan</t>
        </is>
      </c>
      <c r="C519" t="inlineStr">
        <is>
          <t>Föryngringsavverkning</t>
        </is>
      </c>
      <c r="D519" s="1" t="n">
        <v>45965</v>
      </c>
      <c r="E519" s="1" t="n">
        <v>46313</v>
      </c>
      <c r="F519" t="inlineStr">
        <is>
          <t>VÄRMLANDS LÄN</t>
        </is>
      </c>
      <c r="G519" t="inlineStr">
        <is>
          <t>SUNNE</t>
        </is>
      </c>
      <c r="I519" t="n">
        <v>1.4</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54047-2025</t>
        </is>
      </c>
      <c r="B520" t="inlineStr">
        <is>
          <t>avverkningsanmälan</t>
        </is>
      </c>
      <c r="C520" t="inlineStr">
        <is>
          <t>Föryngringsavverkning</t>
        </is>
      </c>
      <c r="D520" s="1" t="n">
        <v>45963</v>
      </c>
      <c r="E520" s="1" t="n">
        <v>46313</v>
      </c>
      <c r="F520" t="inlineStr">
        <is>
          <t>VÄRMLANDS LÄN</t>
        </is>
      </c>
      <c r="G520" t="inlineStr">
        <is>
          <t>SUNNE</t>
        </is>
      </c>
      <c r="I520" t="n">
        <v>3.6</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54049-2025</t>
        </is>
      </c>
      <c r="B521" t="inlineStr">
        <is>
          <t>avverkningsanmälan</t>
        </is>
      </c>
      <c r="C521" t="inlineStr">
        <is>
          <t>Föryngringsavverkning</t>
        </is>
      </c>
      <c r="D521" s="1" t="n">
        <v>45963</v>
      </c>
      <c r="E521" s="1" t="n">
        <v>46313</v>
      </c>
      <c r="F521" t="inlineStr">
        <is>
          <t>VÄRMLANDS LÄN</t>
        </is>
      </c>
      <c r="G521" t="inlineStr">
        <is>
          <t>SUNNE</t>
        </is>
      </c>
      <c r="I521" t="n">
        <v>5.8</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55153-2024</t>
        </is>
      </c>
      <c r="B522" t="inlineStr">
        <is>
          <t>avverkningsanmälan</t>
        </is>
      </c>
      <c r="C522" t="inlineStr">
        <is>
          <t>Föryngringsavverkning</t>
        </is>
      </c>
      <c r="D522" s="1" t="n">
        <v>45621</v>
      </c>
      <c r="E522" s="1" t="n">
        <v>46313</v>
      </c>
      <c r="F522" t="inlineStr">
        <is>
          <t>VÄRMLANDS LÄN</t>
        </is>
      </c>
      <c r="G522" t="inlineStr">
        <is>
          <t>SUNNE</t>
        </is>
      </c>
      <c r="I522" t="n">
        <v>0.6</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34711-2022</t>
        </is>
      </c>
      <c r="B523" t="inlineStr">
        <is>
          <t>avverkningsanmälan</t>
        </is>
      </c>
      <c r="C523" t="inlineStr">
        <is>
          <t>Föryngringsavverkning</t>
        </is>
      </c>
      <c r="D523" s="1" t="n">
        <v>44795</v>
      </c>
      <c r="E523" s="1" t="n">
        <v>46313</v>
      </c>
      <c r="F523" t="inlineStr">
        <is>
          <t>VÄRMLANDS LÄN</t>
        </is>
      </c>
      <c r="G523" t="inlineStr">
        <is>
          <t>SUNNE</t>
        </is>
      </c>
      <c r="I523" t="n">
        <v>0.9</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44170-2024</t>
        </is>
      </c>
      <c r="B524" t="inlineStr">
        <is>
          <t>avverkningsanmälan</t>
        </is>
      </c>
      <c r="C524" t="inlineStr">
        <is>
          <t>Föryngringsavverkning</t>
        </is>
      </c>
      <c r="D524" s="1" t="n">
        <v>45572</v>
      </c>
      <c r="E524" s="1" t="n">
        <v>46313</v>
      </c>
      <c r="F524" t="inlineStr">
        <is>
          <t>VÄRMLANDS LÄN</t>
        </is>
      </c>
      <c r="G524" t="inlineStr">
        <is>
          <t>SUNNE</t>
        </is>
      </c>
      <c r="I524" t="n">
        <v>0.7</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54050-2025</t>
        </is>
      </c>
      <c r="B525" t="inlineStr">
        <is>
          <t>avverkningsanmälan</t>
        </is>
      </c>
      <c r="C525" t="inlineStr">
        <is>
          <t>Föryngringsavverkning</t>
        </is>
      </c>
      <c r="D525" s="1" t="n">
        <v>45963</v>
      </c>
      <c r="E525" s="1" t="n">
        <v>46313</v>
      </c>
      <c r="F525" t="inlineStr">
        <is>
          <t>VÄRMLANDS LÄN</t>
        </is>
      </c>
      <c r="G525" t="inlineStr">
        <is>
          <t>SUNNE</t>
        </is>
      </c>
      <c r="I525" t="n">
        <v>1.1</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54048-2025</t>
        </is>
      </c>
      <c r="B526" t="inlineStr">
        <is>
          <t>avverkningsanmälan</t>
        </is>
      </c>
      <c r="C526" t="inlineStr">
        <is>
          <t>Föryngringsavverkning</t>
        </is>
      </c>
      <c r="D526" s="1" t="n">
        <v>45963</v>
      </c>
      <c r="E526" s="1" t="n">
        <v>46313</v>
      </c>
      <c r="F526" t="inlineStr">
        <is>
          <t>VÄRMLANDS LÄN</t>
        </is>
      </c>
      <c r="G526" t="inlineStr">
        <is>
          <t>SUNNE</t>
        </is>
      </c>
      <c r="I526" t="n">
        <v>2</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54429-2025</t>
        </is>
      </c>
      <c r="B527" t="inlineStr">
        <is>
          <t>avverkningsanmälan</t>
        </is>
      </c>
      <c r="C527" t="inlineStr">
        <is>
          <t>Föryngringsavverkning</t>
        </is>
      </c>
      <c r="D527" s="1" t="n">
        <v>45965</v>
      </c>
      <c r="E527" s="1" t="n">
        <v>46313</v>
      </c>
      <c r="F527" t="inlineStr">
        <is>
          <t>VÄRMLANDS LÄN</t>
        </is>
      </c>
      <c r="G527" t="inlineStr">
        <is>
          <t>SUNNE</t>
        </is>
      </c>
      <c r="I527" t="n">
        <v>2.6</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54432-2025</t>
        </is>
      </c>
      <c r="B528" t="inlineStr">
        <is>
          <t>avverkningsanmälan</t>
        </is>
      </c>
      <c r="C528" t="inlineStr">
        <is>
          <t>Föryngringsavverkning</t>
        </is>
      </c>
      <c r="D528" s="1" t="n">
        <v>45965</v>
      </c>
      <c r="E528" s="1" t="n">
        <v>46313</v>
      </c>
      <c r="F528" t="inlineStr">
        <is>
          <t>VÄRMLANDS LÄN</t>
        </is>
      </c>
      <c r="G528" t="inlineStr">
        <is>
          <t>SUNNE</t>
        </is>
      </c>
      <c r="I528" t="n">
        <v>1.1</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23064-2026</t>
        </is>
      </c>
      <c r="B529" t="inlineStr">
        <is>
          <t>avverkningsanmälan</t>
        </is>
      </c>
      <c r="C529" t="inlineStr">
        <is>
          <t>Föryngringsavverkning</t>
        </is>
      </c>
      <c r="D529" s="1" t="n">
        <v>46161</v>
      </c>
      <c r="E529" s="1" t="n">
        <v>46313</v>
      </c>
      <c r="F529" t="inlineStr">
        <is>
          <t>VÄRMLANDS LÄN</t>
        </is>
      </c>
      <c r="G529" t="inlineStr">
        <is>
          <t>SUNNE</t>
        </is>
      </c>
      <c r="I529" t="n">
        <v>2</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54744-2025</t>
        </is>
      </c>
      <c r="B530" t="inlineStr">
        <is>
          <t>avverkningsanmälan</t>
        </is>
      </c>
      <c r="C530" t="inlineStr">
        <is>
          <t>Föryngringsavverkning</t>
        </is>
      </c>
      <c r="D530" s="1" t="n">
        <v>45966</v>
      </c>
      <c r="E530" s="1" t="n">
        <v>46313</v>
      </c>
      <c r="F530" t="inlineStr">
        <is>
          <t>VÄRMLANDS LÄN</t>
        </is>
      </c>
      <c r="G530" t="inlineStr">
        <is>
          <t>SUNNE</t>
        </is>
      </c>
      <c r="I530" t="n">
        <v>1.5</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54860-2025</t>
        </is>
      </c>
      <c r="B531" t="inlineStr">
        <is>
          <t>avverkningsanmälan</t>
        </is>
      </c>
      <c r="C531" t="inlineStr">
        <is>
          <t>Föryngringsavverkning</t>
        </is>
      </c>
      <c r="D531" s="1" t="n">
        <v>45966</v>
      </c>
      <c r="E531" s="1" t="n">
        <v>46313</v>
      </c>
      <c r="F531" t="inlineStr">
        <is>
          <t>VÄRMLANDS LÄN</t>
        </is>
      </c>
      <c r="G531" t="inlineStr">
        <is>
          <t>SUNNE</t>
        </is>
      </c>
      <c r="I531" t="n">
        <v>0.5</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54898-2025</t>
        </is>
      </c>
      <c r="B532" t="inlineStr">
        <is>
          <t>avverkningsanmälan</t>
        </is>
      </c>
      <c r="C532" t="inlineStr">
        <is>
          <t>Föryngringsavverkning</t>
        </is>
      </c>
      <c r="D532" s="1" t="n">
        <v>45967</v>
      </c>
      <c r="E532" s="1" t="n">
        <v>46313</v>
      </c>
      <c r="F532" t="inlineStr">
        <is>
          <t>VÄRMLANDS LÄN</t>
        </is>
      </c>
      <c r="G532" t="inlineStr">
        <is>
          <t>SUNNE</t>
        </is>
      </c>
      <c r="I532" t="n">
        <v>1.5</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35322-2023</t>
        </is>
      </c>
      <c r="B533" t="inlineStr">
        <is>
          <t>avverkningsanmälan</t>
        </is>
      </c>
      <c r="C533" t="inlineStr">
        <is>
          <t>Föryngringsavverkning</t>
        </is>
      </c>
      <c r="D533" s="1" t="n">
        <v>45146</v>
      </c>
      <c r="E533" s="1" t="n">
        <v>46313</v>
      </c>
      <c r="F533" t="inlineStr">
        <is>
          <t>VÄRMLANDS LÄN</t>
        </is>
      </c>
      <c r="G533" t="inlineStr">
        <is>
          <t>SUNNE</t>
        </is>
      </c>
      <c r="I533" t="n">
        <v>0.7</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58092-2022</t>
        </is>
      </c>
      <c r="B534" t="inlineStr">
        <is>
          <t>avverkningsanmälan</t>
        </is>
      </c>
      <c r="C534" t="inlineStr">
        <is>
          <t>Föryngringsavverkning</t>
        </is>
      </c>
      <c r="D534" s="1" t="n">
        <v>44900</v>
      </c>
      <c r="E534" s="1" t="n">
        <v>46313</v>
      </c>
      <c r="F534" t="inlineStr">
        <is>
          <t>VÄRMLANDS LÄN</t>
        </is>
      </c>
      <c r="G534" t="inlineStr">
        <is>
          <t>SUNNE</t>
        </is>
      </c>
      <c r="I534" t="n">
        <v>1.4</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24626-2023</t>
        </is>
      </c>
      <c r="B535" t="inlineStr">
        <is>
          <t>avverkningsanmälan</t>
        </is>
      </c>
      <c r="C535" t="inlineStr">
        <is>
          <t>Föryngringsavverkning</t>
        </is>
      </c>
      <c r="D535" s="1" t="n">
        <v>45084</v>
      </c>
      <c r="E535" s="1" t="n">
        <v>46313</v>
      </c>
      <c r="F535" t="inlineStr">
        <is>
          <t>VÄRMLANDS LÄN</t>
        </is>
      </c>
      <c r="G535" t="inlineStr">
        <is>
          <t>SUNNE</t>
        </is>
      </c>
      <c r="I535" t="n">
        <v>0.7</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51634-2024</t>
        </is>
      </c>
      <c r="B536" t="inlineStr">
        <is>
          <t>avverkningsanmälan</t>
        </is>
      </c>
      <c r="C536" t="inlineStr">
        <is>
          <t>Föryngringsavverkning</t>
        </is>
      </c>
      <c r="D536" s="1" t="n">
        <v>45605</v>
      </c>
      <c r="E536" s="1" t="n">
        <v>46313</v>
      </c>
      <c r="F536" t="inlineStr">
        <is>
          <t>VÄRMLANDS LÄN</t>
        </is>
      </c>
      <c r="G536" t="inlineStr">
        <is>
          <t>SUNNE</t>
        </is>
      </c>
      <c r="I536" t="n">
        <v>0.6</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22954-2026</t>
        </is>
      </c>
      <c r="B537" t="inlineStr">
        <is>
          <t>avverkningsanmälan</t>
        </is>
      </c>
      <c r="C537" t="inlineStr">
        <is>
          <t>Föryngringsavverkning</t>
        </is>
      </c>
      <c r="D537" s="1" t="n">
        <v>46160</v>
      </c>
      <c r="E537" s="1" t="n">
        <v>46313</v>
      </c>
      <c r="F537" t="inlineStr">
        <is>
          <t>VÄRMLANDS LÄN</t>
        </is>
      </c>
      <c r="G537" t="inlineStr">
        <is>
          <t>SUNNE</t>
        </is>
      </c>
      <c r="I537" t="n">
        <v>0.9</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22958-2026</t>
        </is>
      </c>
      <c r="B538" t="inlineStr">
        <is>
          <t>avverkningsanmälan</t>
        </is>
      </c>
      <c r="C538" t="inlineStr">
        <is>
          <t>Föryngringsavverkning</t>
        </is>
      </c>
      <c r="D538" s="1" t="n">
        <v>46160</v>
      </c>
      <c r="E538" s="1" t="n">
        <v>46313</v>
      </c>
      <c r="F538" t="inlineStr">
        <is>
          <t>VÄRMLANDS LÄN</t>
        </is>
      </c>
      <c r="G538" t="inlineStr">
        <is>
          <t>SUNNE</t>
        </is>
      </c>
      <c r="I538" t="n">
        <v>0.5</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18821-2024</t>
        </is>
      </c>
      <c r="B539" t="inlineStr">
        <is>
          <t>avverkningsanmälan</t>
        </is>
      </c>
      <c r="C539" t="inlineStr">
        <is>
          <t>Föryngringsavverkning</t>
        </is>
      </c>
      <c r="D539" s="1" t="n">
        <v>45426</v>
      </c>
      <c r="E539" s="1" t="n">
        <v>46313</v>
      </c>
      <c r="F539" t="inlineStr">
        <is>
          <t>VÄRMLANDS LÄN</t>
        </is>
      </c>
      <c r="G539" t="inlineStr">
        <is>
          <t>SUNNE</t>
        </is>
      </c>
      <c r="I539" t="n">
        <v>5.4</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55867-2025</t>
        </is>
      </c>
      <c r="B540" t="inlineStr">
        <is>
          <t>avverkningsanmälan</t>
        </is>
      </c>
      <c r="C540" t="inlineStr">
        <is>
          <t>Föryngringsavverkning</t>
        </is>
      </c>
      <c r="D540" s="1" t="n">
        <v>45973</v>
      </c>
      <c r="E540" s="1" t="n">
        <v>46313</v>
      </c>
      <c r="F540" t="inlineStr">
        <is>
          <t>VÄRMLANDS LÄN</t>
        </is>
      </c>
      <c r="G540" t="inlineStr">
        <is>
          <t>SUNNE</t>
        </is>
      </c>
      <c r="I540" t="n">
        <v>0.7</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27061-2024</t>
        </is>
      </c>
      <c r="B541" t="inlineStr">
        <is>
          <t>avverkningsanmälan</t>
        </is>
      </c>
      <c r="C541" t="inlineStr">
        <is>
          <t>Föryngringsavverkning</t>
        </is>
      </c>
      <c r="D541" s="1" t="n">
        <v>45471</v>
      </c>
      <c r="E541" s="1" t="n">
        <v>46313</v>
      </c>
      <c r="F541" t="inlineStr">
        <is>
          <t>VÄRMLANDS LÄN</t>
        </is>
      </c>
      <c r="G541" t="inlineStr">
        <is>
          <t>SUNNE</t>
        </is>
      </c>
      <c r="I541" t="n">
        <v>1.9</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44231-2023</t>
        </is>
      </c>
      <c r="B542" t="inlineStr">
        <is>
          <t>avverkningsanmälan</t>
        </is>
      </c>
      <c r="C542" t="inlineStr">
        <is>
          <t>Föryngringsavverkning</t>
        </is>
      </c>
      <c r="D542" s="1" t="n">
        <v>45188</v>
      </c>
      <c r="E542" s="1" t="n">
        <v>46313</v>
      </c>
      <c r="F542" t="inlineStr">
        <is>
          <t>VÄRMLANDS LÄN</t>
        </is>
      </c>
      <c r="G542" t="inlineStr">
        <is>
          <t>SUNNE</t>
        </is>
      </c>
      <c r="I542" t="n">
        <v>1.9</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14564-2023</t>
        </is>
      </c>
      <c r="B543" t="inlineStr">
        <is>
          <t>avverkningsanmälan</t>
        </is>
      </c>
      <c r="C543" t="inlineStr">
        <is>
          <t>Föryngringsavverkning</t>
        </is>
      </c>
      <c r="D543" s="1" t="n">
        <v>45013</v>
      </c>
      <c r="E543" s="1" t="n">
        <v>46313</v>
      </c>
      <c r="F543" t="inlineStr">
        <is>
          <t>VÄRMLANDS LÄN</t>
        </is>
      </c>
      <c r="G543" t="inlineStr">
        <is>
          <t>SUNNE</t>
        </is>
      </c>
      <c r="I543" t="n">
        <v>1.5</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32408-2022</t>
        </is>
      </c>
      <c r="B544" t="inlineStr">
        <is>
          <t>avverkningsanmälan</t>
        </is>
      </c>
      <c r="C544" t="inlineStr">
        <is>
          <t>Föryngringsavverkning</t>
        </is>
      </c>
      <c r="D544" s="1" t="n">
        <v>44782</v>
      </c>
      <c r="E544" s="1" t="n">
        <v>46313</v>
      </c>
      <c r="F544" t="inlineStr">
        <is>
          <t>VÄRMLANDS LÄN</t>
        </is>
      </c>
      <c r="G544" t="inlineStr">
        <is>
          <t>SUNNE</t>
        </is>
      </c>
      <c r="I544" t="n">
        <v>1.1</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36119-2025</t>
        </is>
      </c>
      <c r="B545" t="inlineStr">
        <is>
          <t>avverkningsanmälan</t>
        </is>
      </c>
      <c r="C545" t="inlineStr">
        <is>
          <t>Avverkning för annat ändamål</t>
        </is>
      </c>
      <c r="D545" s="1" t="n">
        <v>45866</v>
      </c>
      <c r="E545" s="1" t="n">
        <v>46313</v>
      </c>
      <c r="F545" t="inlineStr">
        <is>
          <t>VÄRMLANDS LÄN</t>
        </is>
      </c>
      <c r="G545" t="inlineStr">
        <is>
          <t>SUNNE</t>
        </is>
      </c>
      <c r="I545" t="n">
        <v>3.3</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56391-2025</t>
        </is>
      </c>
      <c r="B546" t="inlineStr">
        <is>
          <t>avverkningsanmälan</t>
        </is>
      </c>
      <c r="C546" t="inlineStr">
        <is>
          <t>Föryngringsavverkning</t>
        </is>
      </c>
      <c r="D546" s="1" t="n">
        <v>45974</v>
      </c>
      <c r="E546" s="1" t="n">
        <v>46313</v>
      </c>
      <c r="F546" t="inlineStr">
        <is>
          <t>VÄRMLANDS LÄN</t>
        </is>
      </c>
      <c r="G546" t="inlineStr">
        <is>
          <t>SUNNE</t>
        </is>
      </c>
      <c r="I546" t="n">
        <v>1.4</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11687-2025</t>
        </is>
      </c>
      <c r="B547" t="inlineStr">
        <is>
          <t>avverkningsanmälan</t>
        </is>
      </c>
      <c r="C547" t="inlineStr">
        <is>
          <t>Föryngringsavverkning</t>
        </is>
      </c>
      <c r="D547" s="1" t="n">
        <v>45726</v>
      </c>
      <c r="E547" s="1" t="n">
        <v>46313</v>
      </c>
      <c r="F547" t="inlineStr">
        <is>
          <t>VÄRMLANDS LÄN</t>
        </is>
      </c>
      <c r="G547" t="inlineStr">
        <is>
          <t>SUNNE</t>
        </is>
      </c>
      <c r="I547" t="n">
        <v>0.8</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7053-2023</t>
        </is>
      </c>
      <c r="B548" t="inlineStr">
        <is>
          <t>avverkningsanmälan</t>
        </is>
      </c>
      <c r="C548" t="inlineStr">
        <is>
          <t>Föryngringsavverkning</t>
        </is>
      </c>
      <c r="D548" s="1" t="n">
        <v>44969</v>
      </c>
      <c r="E548" s="1" t="n">
        <v>46313</v>
      </c>
      <c r="F548" t="inlineStr">
        <is>
          <t>VÄRMLANDS LÄN</t>
        </is>
      </c>
      <c r="G548" t="inlineStr">
        <is>
          <t>SUNNE</t>
        </is>
      </c>
      <c r="I548" t="n">
        <v>3.6</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46777-2022</t>
        </is>
      </c>
      <c r="B549" t="inlineStr">
        <is>
          <t>avverkningsanmälan</t>
        </is>
      </c>
      <c r="C549" t="inlineStr">
        <is>
          <t>Föryngringsavverkning</t>
        </is>
      </c>
      <c r="D549" s="1" t="n">
        <v>44851</v>
      </c>
      <c r="E549" s="1" t="n">
        <v>46313</v>
      </c>
      <c r="F549" t="inlineStr">
        <is>
          <t>VÄRMLANDS LÄN</t>
        </is>
      </c>
      <c r="G549" t="inlineStr">
        <is>
          <t>SUNNE</t>
        </is>
      </c>
      <c r="I549" t="n">
        <v>0.6</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15172-2022</t>
        </is>
      </c>
      <c r="B550" t="inlineStr">
        <is>
          <t>avverkningsanmälan</t>
        </is>
      </c>
      <c r="C550" t="inlineStr">
        <is>
          <t>Föryngringsavverkning</t>
        </is>
      </c>
      <c r="D550" s="1" t="n">
        <v>44658</v>
      </c>
      <c r="E550" s="1" t="n">
        <v>46313</v>
      </c>
      <c r="F550" t="inlineStr">
        <is>
          <t>VÄRMLANDS LÄN</t>
        </is>
      </c>
      <c r="G550" t="inlineStr">
        <is>
          <t>SUNNE</t>
        </is>
      </c>
      <c r="I550" t="n">
        <v>2</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19954-2024</t>
        </is>
      </c>
      <c r="B551" t="inlineStr">
        <is>
          <t>avverkningsanmälan</t>
        </is>
      </c>
      <c r="C551" t="inlineStr">
        <is>
          <t>Föryngringsavverkning</t>
        </is>
      </c>
      <c r="D551" s="1" t="n">
        <v>45433</v>
      </c>
      <c r="E551" s="1" t="n">
        <v>46313</v>
      </c>
      <c r="F551" t="inlineStr">
        <is>
          <t>VÄRMLANDS LÄN</t>
        </is>
      </c>
      <c r="G551" t="inlineStr">
        <is>
          <t>SUNNE</t>
        </is>
      </c>
      <c r="I551" t="n">
        <v>1.8</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18489-2026</t>
        </is>
      </c>
      <c r="B552" t="inlineStr">
        <is>
          <t>avverkningsanmälan</t>
        </is>
      </c>
      <c r="C552" t="inlineStr">
        <is>
          <t>Föryngringsavverkning</t>
        </is>
      </c>
      <c r="D552" s="1" t="n">
        <v>46127</v>
      </c>
      <c r="E552" s="1" t="n">
        <v>46313</v>
      </c>
      <c r="F552" t="inlineStr">
        <is>
          <t>VÄRMLANDS LÄN</t>
        </is>
      </c>
      <c r="G552" t="inlineStr">
        <is>
          <t>SUNNE</t>
        </is>
      </c>
      <c r="I552" t="n">
        <v>1.4</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5006-2025</t>
        </is>
      </c>
      <c r="B553" t="inlineStr">
        <is>
          <t>avverkningsanmälan</t>
        </is>
      </c>
      <c r="C553" t="inlineStr">
        <is>
          <t>Föryngringsavverkning</t>
        </is>
      </c>
      <c r="D553" s="1" t="n">
        <v>45691</v>
      </c>
      <c r="E553" s="1" t="n">
        <v>46313</v>
      </c>
      <c r="F553" t="inlineStr">
        <is>
          <t>VÄRMLANDS LÄN</t>
        </is>
      </c>
      <c r="G553" t="inlineStr">
        <is>
          <t>SUNNE</t>
        </is>
      </c>
      <c r="I553" t="n">
        <v>1.2</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39454-2024</t>
        </is>
      </c>
      <c r="B554" t="inlineStr">
        <is>
          <t>avverkningsanmälan</t>
        </is>
      </c>
      <c r="C554" t="inlineStr">
        <is>
          <t>Föryngringsavverkning</t>
        </is>
      </c>
      <c r="D554" s="1" t="n">
        <v>45551</v>
      </c>
      <c r="E554" s="1" t="n">
        <v>46313</v>
      </c>
      <c r="F554" t="inlineStr">
        <is>
          <t>VÄRMLANDS LÄN</t>
        </is>
      </c>
      <c r="G554" t="inlineStr">
        <is>
          <t>SUNNE</t>
        </is>
      </c>
      <c r="I554" t="n">
        <v>0.6</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36578-2023</t>
        </is>
      </c>
      <c r="B555" t="inlineStr">
        <is>
          <t>avverkningsanmälan</t>
        </is>
      </c>
      <c r="C555" t="inlineStr">
        <is>
          <t>Föryngringsavverkning</t>
        </is>
      </c>
      <c r="D555" s="1" t="n">
        <v>45153</v>
      </c>
      <c r="E555" s="1" t="n">
        <v>46313</v>
      </c>
      <c r="F555" t="inlineStr">
        <is>
          <t>VÄRMLANDS LÄN</t>
        </is>
      </c>
      <c r="G555" t="inlineStr">
        <is>
          <t>SUNNE</t>
        </is>
      </c>
      <c r="I555" t="n">
        <v>6.7</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38377-2024</t>
        </is>
      </c>
      <c r="B556" t="inlineStr">
        <is>
          <t>avverkningsanmälan</t>
        </is>
      </c>
      <c r="C556" t="inlineStr">
        <is>
          <t>Föryngringsavverkning</t>
        </is>
      </c>
      <c r="D556" s="1" t="n">
        <v>45545</v>
      </c>
      <c r="E556" s="1" t="n">
        <v>46313</v>
      </c>
      <c r="F556" t="inlineStr">
        <is>
          <t>VÄRMLANDS LÄN</t>
        </is>
      </c>
      <c r="G556" t="inlineStr">
        <is>
          <t>SUNNE</t>
        </is>
      </c>
      <c r="I556" t="n">
        <v>4.1</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20615-2024</t>
        </is>
      </c>
      <c r="B557" t="inlineStr">
        <is>
          <t>avverkningsanmälan</t>
        </is>
      </c>
      <c r="C557" t="inlineStr">
        <is>
          <t>Föryngringsavverkning</t>
        </is>
      </c>
      <c r="D557" s="1" t="n">
        <v>45436</v>
      </c>
      <c r="E557" s="1" t="n">
        <v>46313</v>
      </c>
      <c r="F557" t="inlineStr">
        <is>
          <t>VÄRMLANDS LÄN</t>
        </is>
      </c>
      <c r="G557" t="inlineStr">
        <is>
          <t>SUNNE</t>
        </is>
      </c>
      <c r="I557" t="n">
        <v>2.8</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14042-2025</t>
        </is>
      </c>
      <c r="B558" t="inlineStr">
        <is>
          <t>avverkningsanmälan</t>
        </is>
      </c>
      <c r="C558" t="inlineStr">
        <is>
          <t>Föryngringsavverkning</t>
        </is>
      </c>
      <c r="D558" s="1" t="n">
        <v>45740</v>
      </c>
      <c r="E558" s="1" t="n">
        <v>46313</v>
      </c>
      <c r="F558" t="inlineStr">
        <is>
          <t>VÄRMLANDS LÄN</t>
        </is>
      </c>
      <c r="G558" t="inlineStr">
        <is>
          <t>SUNNE</t>
        </is>
      </c>
      <c r="H558" t="inlineStr">
        <is>
          <t>Bergvik skog väst AB</t>
        </is>
      </c>
      <c r="I558" t="n">
        <v>3.4</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14060-2025</t>
        </is>
      </c>
      <c r="B559" t="inlineStr">
        <is>
          <t>avverkningsanmälan</t>
        </is>
      </c>
      <c r="C559" t="inlineStr">
        <is>
          <t>Föryngringsavverkning</t>
        </is>
      </c>
      <c r="D559" s="1" t="n">
        <v>45740</v>
      </c>
      <c r="E559" s="1" t="n">
        <v>46313</v>
      </c>
      <c r="F559" t="inlineStr">
        <is>
          <t>VÄRMLANDS LÄN</t>
        </is>
      </c>
      <c r="G559" t="inlineStr">
        <is>
          <t>SUNNE</t>
        </is>
      </c>
      <c r="I559" t="n">
        <v>3.3</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57303-2025</t>
        </is>
      </c>
      <c r="B560" t="inlineStr">
        <is>
          <t>avverkningsanmälan</t>
        </is>
      </c>
      <c r="C560" t="inlineStr">
        <is>
          <t>Föryngringsavverkning</t>
        </is>
      </c>
      <c r="D560" s="1" t="n">
        <v>45979</v>
      </c>
      <c r="E560" s="1" t="n">
        <v>46313</v>
      </c>
      <c r="F560" t="inlineStr">
        <is>
          <t>VÄRMLANDS LÄN</t>
        </is>
      </c>
      <c r="G560" t="inlineStr">
        <is>
          <t>SUNNE</t>
        </is>
      </c>
      <c r="H560" t="inlineStr">
        <is>
          <t>Kyrkan</t>
        </is>
      </c>
      <c r="I560" t="n">
        <v>12</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57306-2025</t>
        </is>
      </c>
      <c r="B561" t="inlineStr">
        <is>
          <t>avverkningsanmälan</t>
        </is>
      </c>
      <c r="C561" t="inlineStr">
        <is>
          <t>Föryngringsavverkning</t>
        </is>
      </c>
      <c r="D561" s="1" t="n">
        <v>45979</v>
      </c>
      <c r="E561" s="1" t="n">
        <v>46313</v>
      </c>
      <c r="F561" t="inlineStr">
        <is>
          <t>VÄRMLANDS LÄN</t>
        </is>
      </c>
      <c r="G561" t="inlineStr">
        <is>
          <t>SUNNE</t>
        </is>
      </c>
      <c r="H561" t="inlineStr">
        <is>
          <t>Kyrkan</t>
        </is>
      </c>
      <c r="I561" t="n">
        <v>1.8</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57902-2025</t>
        </is>
      </c>
      <c r="B562" t="inlineStr">
        <is>
          <t>avverkningsanmälan</t>
        </is>
      </c>
      <c r="C562" t="inlineStr">
        <is>
          <t>Föryngringsavverkning</t>
        </is>
      </c>
      <c r="D562" s="1" t="n">
        <v>45981</v>
      </c>
      <c r="E562" s="1" t="n">
        <v>46313</v>
      </c>
      <c r="F562" t="inlineStr">
        <is>
          <t>VÄRMLANDS LÄN</t>
        </is>
      </c>
      <c r="G562" t="inlineStr">
        <is>
          <t>SUNNE</t>
        </is>
      </c>
      <c r="I562" t="n">
        <v>1.6</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48861-2024</t>
        </is>
      </c>
      <c r="B563" t="inlineStr">
        <is>
          <t>avverkningsanmälan</t>
        </is>
      </c>
      <c r="C563" t="inlineStr">
        <is>
          <t>Föryngringsavverkning</t>
        </is>
      </c>
      <c r="D563" s="1" t="n">
        <v>45593</v>
      </c>
      <c r="E563" s="1" t="n">
        <v>46313</v>
      </c>
      <c r="F563" t="inlineStr">
        <is>
          <t>VÄRMLANDS LÄN</t>
        </is>
      </c>
      <c r="G563" t="inlineStr">
        <is>
          <t>SUNNE</t>
        </is>
      </c>
      <c r="H563" t="inlineStr">
        <is>
          <t>Kyrkan</t>
        </is>
      </c>
      <c r="I563" t="n">
        <v>0.6</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4536-2023</t>
        </is>
      </c>
      <c r="B564" t="inlineStr">
        <is>
          <t>avverkningsanmälan</t>
        </is>
      </c>
      <c r="C564" t="inlineStr">
        <is>
          <t>Föryngringsavverkning</t>
        </is>
      </c>
      <c r="D564" s="1" t="n">
        <v>44956</v>
      </c>
      <c r="E564" s="1" t="n">
        <v>46313</v>
      </c>
      <c r="F564" t="inlineStr">
        <is>
          <t>VÄRMLANDS LÄN</t>
        </is>
      </c>
      <c r="G564" t="inlineStr">
        <is>
          <t>SUNNE</t>
        </is>
      </c>
      <c r="I564" t="n">
        <v>3.7</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58421-2025</t>
        </is>
      </c>
      <c r="B565" t="inlineStr">
        <is>
          <t>avverkningsanmälan</t>
        </is>
      </c>
      <c r="C565" t="inlineStr">
        <is>
          <t>Föryngringsavverkning</t>
        </is>
      </c>
      <c r="D565" s="1" t="n">
        <v>45985</v>
      </c>
      <c r="E565" s="1" t="n">
        <v>46313</v>
      </c>
      <c r="F565" t="inlineStr">
        <is>
          <t>VÄRMLANDS LÄN</t>
        </is>
      </c>
      <c r="G565" t="inlineStr">
        <is>
          <t>SUNNE</t>
        </is>
      </c>
      <c r="I565" t="n">
        <v>1.1</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35337-2022</t>
        </is>
      </c>
      <c r="B566" t="inlineStr">
        <is>
          <t>avverkningsanmälan</t>
        </is>
      </c>
      <c r="C566" t="inlineStr">
        <is>
          <t>Föryngringsavverkning</t>
        </is>
      </c>
      <c r="D566" s="1" t="n">
        <v>44798</v>
      </c>
      <c r="E566" s="1" t="n">
        <v>46313</v>
      </c>
      <c r="F566" t="inlineStr">
        <is>
          <t>VÄRMLANDS LÄN</t>
        </is>
      </c>
      <c r="G566" t="inlineStr">
        <is>
          <t>SUNNE</t>
        </is>
      </c>
      <c r="I566" t="n">
        <v>1</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58178-2025</t>
        </is>
      </c>
      <c r="B567" t="inlineStr">
        <is>
          <t>avverkningsanmälan</t>
        </is>
      </c>
      <c r="C567" t="inlineStr">
        <is>
          <t>Föryngringsavverkning</t>
        </is>
      </c>
      <c r="D567" s="1" t="n">
        <v>45982</v>
      </c>
      <c r="E567" s="1" t="n">
        <v>46313</v>
      </c>
      <c r="F567" t="inlineStr">
        <is>
          <t>VÄRMLANDS LÄN</t>
        </is>
      </c>
      <c r="G567" t="inlineStr">
        <is>
          <t>SUNNE</t>
        </is>
      </c>
      <c r="I567" t="n">
        <v>0.7</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58180-2025</t>
        </is>
      </c>
      <c r="B568" t="inlineStr">
        <is>
          <t>avverkningsanmälan</t>
        </is>
      </c>
      <c r="C568" t="inlineStr">
        <is>
          <t>Föryngringsavverkning</t>
        </is>
      </c>
      <c r="D568" s="1" t="n">
        <v>45982</v>
      </c>
      <c r="E568" s="1" t="n">
        <v>46313</v>
      </c>
      <c r="F568" t="inlineStr">
        <is>
          <t>VÄRMLANDS LÄN</t>
        </is>
      </c>
      <c r="G568" t="inlineStr">
        <is>
          <t>SUNNE</t>
        </is>
      </c>
      <c r="I568" t="n">
        <v>3.7</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58298-2025</t>
        </is>
      </c>
      <c r="B569" t="inlineStr">
        <is>
          <t>avverkningsanmälan</t>
        </is>
      </c>
      <c r="C569" t="inlineStr">
        <is>
          <t>Föryngringsavverkning</t>
        </is>
      </c>
      <c r="D569" s="1" t="n">
        <v>45985</v>
      </c>
      <c r="E569" s="1" t="n">
        <v>46313</v>
      </c>
      <c r="F569" t="inlineStr">
        <is>
          <t>VÄRMLANDS LÄN</t>
        </is>
      </c>
      <c r="G569" t="inlineStr">
        <is>
          <t>SUNNE</t>
        </is>
      </c>
      <c r="I569" t="n">
        <v>1.7</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32011-2022</t>
        </is>
      </c>
      <c r="B570" t="inlineStr">
        <is>
          <t>avverkningsanmälan</t>
        </is>
      </c>
      <c r="C570" t="inlineStr">
        <is>
          <t>Föryngringsavverkning</t>
        </is>
      </c>
      <c r="D570" s="1" t="n">
        <v>44778</v>
      </c>
      <c r="E570" s="1" t="n">
        <v>46313</v>
      </c>
      <c r="F570" t="inlineStr">
        <is>
          <t>VÄRMLANDS LÄN</t>
        </is>
      </c>
      <c r="G570" t="inlineStr">
        <is>
          <t>SUNNE</t>
        </is>
      </c>
      <c r="I570" t="n">
        <v>2.5</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60996-2024</t>
        </is>
      </c>
      <c r="B571" t="inlineStr">
        <is>
          <t>avverkningsanmälan</t>
        </is>
      </c>
      <c r="C571" t="inlineStr">
        <is>
          <t>Föryngringsavverkning</t>
        </is>
      </c>
      <c r="D571" s="1" t="n">
        <v>45645</v>
      </c>
      <c r="E571" s="1" t="n">
        <v>46313</v>
      </c>
      <c r="F571" t="inlineStr">
        <is>
          <t>VÄRMLANDS LÄN</t>
        </is>
      </c>
      <c r="G571" t="inlineStr">
        <is>
          <t>SUNNE</t>
        </is>
      </c>
      <c r="I571" t="n">
        <v>8</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23815-2026</t>
        </is>
      </c>
      <c r="B572" t="inlineStr">
        <is>
          <t>avverkningsanmälan</t>
        </is>
      </c>
      <c r="C572" t="inlineStr">
        <is>
          <t>Föryngringsavverkning</t>
        </is>
      </c>
      <c r="D572" s="1" t="n">
        <v>46164</v>
      </c>
      <c r="E572" s="1" t="n">
        <v>46313</v>
      </c>
      <c r="F572" t="inlineStr">
        <is>
          <t>VÄRMLANDS LÄN</t>
        </is>
      </c>
      <c r="G572" t="inlineStr">
        <is>
          <t>SUNNE</t>
        </is>
      </c>
      <c r="I572" t="n">
        <v>5.7</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14378-2022</t>
        </is>
      </c>
      <c r="B573" t="inlineStr">
        <is>
          <t>avverkningsanmälan</t>
        </is>
      </c>
      <c r="C573" t="inlineStr">
        <is>
          <t>Föryngringsavverkning</t>
        </is>
      </c>
      <c r="D573" s="1" t="n">
        <v>44652</v>
      </c>
      <c r="E573" s="1" t="n">
        <v>46313</v>
      </c>
      <c r="F573" t="inlineStr">
        <is>
          <t>VÄRMLANDS LÄN</t>
        </is>
      </c>
      <c r="G573" t="inlineStr">
        <is>
          <t>SUNNE</t>
        </is>
      </c>
      <c r="I573" t="n">
        <v>3</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50353-2023</t>
        </is>
      </c>
      <c r="B574" t="inlineStr">
        <is>
          <t>avverkningsanmälan</t>
        </is>
      </c>
      <c r="C574" t="inlineStr">
        <is>
          <t>Föryngringsavverkning</t>
        </is>
      </c>
      <c r="D574" s="1" t="n">
        <v>45216</v>
      </c>
      <c r="E574" s="1" t="n">
        <v>46313</v>
      </c>
      <c r="F574" t="inlineStr">
        <is>
          <t>VÄRMLANDS LÄN</t>
        </is>
      </c>
      <c r="G574" t="inlineStr">
        <is>
          <t>SUNNE</t>
        </is>
      </c>
      <c r="I574" t="n">
        <v>0.6</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16358-2023</t>
        </is>
      </c>
      <c r="B575" t="inlineStr">
        <is>
          <t>avverkningsanmälan</t>
        </is>
      </c>
      <c r="C575" t="inlineStr">
        <is>
          <t>Föryngringsavverkning</t>
        </is>
      </c>
      <c r="D575" s="1" t="n">
        <v>45028</v>
      </c>
      <c r="E575" s="1" t="n">
        <v>46313</v>
      </c>
      <c r="F575" t="inlineStr">
        <is>
          <t>VÄRMLANDS LÄN</t>
        </is>
      </c>
      <c r="G575" t="inlineStr">
        <is>
          <t>SUNNE</t>
        </is>
      </c>
      <c r="I575" t="n">
        <v>0.6</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59361-2025</t>
        </is>
      </c>
      <c r="B576" t="inlineStr">
        <is>
          <t>avverkningsanmälan</t>
        </is>
      </c>
      <c r="C576" t="inlineStr">
        <is>
          <t>Föryngringsavverkning</t>
        </is>
      </c>
      <c r="D576" s="1" t="n">
        <v>45989</v>
      </c>
      <c r="E576" s="1" t="n">
        <v>46313</v>
      </c>
      <c r="F576" t="inlineStr">
        <is>
          <t>VÄRMLANDS LÄN</t>
        </is>
      </c>
      <c r="G576" t="inlineStr">
        <is>
          <t>SUNNE</t>
        </is>
      </c>
      <c r="I576" t="n">
        <v>3.5</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73231-2021</t>
        </is>
      </c>
      <c r="B577" t="inlineStr">
        <is>
          <t>avverkningsanmälan</t>
        </is>
      </c>
      <c r="C577" t="inlineStr">
        <is>
          <t>Föryngringsavverkning</t>
        </is>
      </c>
      <c r="D577" s="1" t="n">
        <v>44550</v>
      </c>
      <c r="E577" s="1" t="n">
        <v>46313</v>
      </c>
      <c r="F577" t="inlineStr">
        <is>
          <t>VÄRMLANDS LÄN</t>
        </is>
      </c>
      <c r="G577" t="inlineStr">
        <is>
          <t>SUNNE</t>
        </is>
      </c>
      <c r="I577" t="n">
        <v>1.6</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29824-2025</t>
        </is>
      </c>
      <c r="B578" t="inlineStr">
        <is>
          <t>avverkningsanmälan</t>
        </is>
      </c>
      <c r="C578" t="inlineStr">
        <is>
          <t>Föryngringsavverkning</t>
        </is>
      </c>
      <c r="D578" s="1" t="n">
        <v>45825</v>
      </c>
      <c r="E578" s="1" t="n">
        <v>46313</v>
      </c>
      <c r="F578" t="inlineStr">
        <is>
          <t>VÄRMLANDS LÄN</t>
        </is>
      </c>
      <c r="G578" t="inlineStr">
        <is>
          <t>SUNNE</t>
        </is>
      </c>
      <c r="I578" t="n">
        <v>4.5</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6-2022</t>
        </is>
      </c>
      <c r="B579" t="inlineStr">
        <is>
          <t>avverkningsanmälan</t>
        </is>
      </c>
      <c r="C579" t="inlineStr">
        <is>
          <t>Föryngringsavverkning</t>
        </is>
      </c>
      <c r="D579" s="1" t="n">
        <v>44563</v>
      </c>
      <c r="E579" s="1" t="n">
        <v>46313</v>
      </c>
      <c r="F579" t="inlineStr">
        <is>
          <t>VÄRMLANDS LÄN</t>
        </is>
      </c>
      <c r="G579" t="inlineStr">
        <is>
          <t>SUNNE</t>
        </is>
      </c>
      <c r="I579" t="n">
        <v>3.7</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59363-2025</t>
        </is>
      </c>
      <c r="B580" t="inlineStr">
        <is>
          <t>avverkningsanmälan</t>
        </is>
      </c>
      <c r="C580" t="inlineStr">
        <is>
          <t>Föryngringsavverkning</t>
        </is>
      </c>
      <c r="D580" s="1" t="n">
        <v>45989</v>
      </c>
      <c r="E580" s="1" t="n">
        <v>46313</v>
      </c>
      <c r="F580" t="inlineStr">
        <is>
          <t>VÄRMLANDS LÄN</t>
        </is>
      </c>
      <c r="G580" t="inlineStr">
        <is>
          <t>SUNNE</t>
        </is>
      </c>
      <c r="I580" t="n">
        <v>1.3</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24411-2026</t>
        </is>
      </c>
      <c r="B581" t="inlineStr">
        <is>
          <t>avverkningsanmälan</t>
        </is>
      </c>
      <c r="C581" t="inlineStr">
        <is>
          <t>Föryngringsavverkning</t>
        </is>
      </c>
      <c r="D581" s="1" t="n">
        <v>46169</v>
      </c>
      <c r="E581" s="1" t="n">
        <v>46313</v>
      </c>
      <c r="F581" t="inlineStr">
        <is>
          <t>VÄRMLANDS LÄN</t>
        </is>
      </c>
      <c r="G581" t="inlineStr">
        <is>
          <t>SUNNE</t>
        </is>
      </c>
      <c r="H581" t="inlineStr">
        <is>
          <t>Bergvik skog väst AB</t>
        </is>
      </c>
      <c r="I581" t="n">
        <v>9.1</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59775-2025</t>
        </is>
      </c>
      <c r="B582" t="inlineStr">
        <is>
          <t>avverkningsanmälan</t>
        </is>
      </c>
      <c r="C582" t="inlineStr">
        <is>
          <t>Föryngringsavverkning</t>
        </is>
      </c>
      <c r="D582" s="1" t="n">
        <v>45992</v>
      </c>
      <c r="E582" s="1" t="n">
        <v>46313</v>
      </c>
      <c r="F582" t="inlineStr">
        <is>
          <t>VÄRMLANDS LÄN</t>
        </is>
      </c>
      <c r="G582" t="inlineStr">
        <is>
          <t>SUNNE</t>
        </is>
      </c>
      <c r="I582" t="n">
        <v>3</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59791-2025</t>
        </is>
      </c>
      <c r="B583" t="inlineStr">
        <is>
          <t>avverkningsanmälan</t>
        </is>
      </c>
      <c r="C583" t="inlineStr">
        <is>
          <t>Föryngringsavverkning</t>
        </is>
      </c>
      <c r="D583" s="1" t="n">
        <v>45992</v>
      </c>
      <c r="E583" s="1" t="n">
        <v>46313</v>
      </c>
      <c r="F583" t="inlineStr">
        <is>
          <t>VÄRMLANDS LÄN</t>
        </is>
      </c>
      <c r="G583" t="inlineStr">
        <is>
          <t>SUNNE</t>
        </is>
      </c>
      <c r="I583" t="n">
        <v>0.9</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42480-2023</t>
        </is>
      </c>
      <c r="B584" t="inlineStr">
        <is>
          <t>avverkningsanmälan</t>
        </is>
      </c>
      <c r="C584" t="inlineStr">
        <is>
          <t>Föryngringsavverkning</t>
        </is>
      </c>
      <c r="D584" s="1" t="n">
        <v>45180</v>
      </c>
      <c r="E584" s="1" t="n">
        <v>46313</v>
      </c>
      <c r="F584" t="inlineStr">
        <is>
          <t>VÄRMLANDS LÄN</t>
        </is>
      </c>
      <c r="G584" t="inlineStr">
        <is>
          <t>SUNNE</t>
        </is>
      </c>
      <c r="I584" t="n">
        <v>3</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24341-2026</t>
        </is>
      </c>
      <c r="B585" t="inlineStr">
        <is>
          <t>avverkningsanmälan</t>
        </is>
      </c>
      <c r="C585" t="inlineStr">
        <is>
          <t>Föryngringsavverkning</t>
        </is>
      </c>
      <c r="D585" s="1" t="n">
        <v>46169</v>
      </c>
      <c r="E585" s="1" t="n">
        <v>46313</v>
      </c>
      <c r="F585" t="inlineStr">
        <is>
          <t>VÄRMLANDS LÄN</t>
        </is>
      </c>
      <c r="G585" t="inlineStr">
        <is>
          <t>SUNNE</t>
        </is>
      </c>
      <c r="I585" t="n">
        <v>2.4</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59700-2025</t>
        </is>
      </c>
      <c r="B586" t="inlineStr">
        <is>
          <t>avverkningsanmälan</t>
        </is>
      </c>
      <c r="C586" t="inlineStr">
        <is>
          <t>Föryngringsavverkning</t>
        </is>
      </c>
      <c r="D586" s="1" t="n">
        <v>45992</v>
      </c>
      <c r="E586" s="1" t="n">
        <v>46313</v>
      </c>
      <c r="F586" t="inlineStr">
        <is>
          <t>VÄRMLANDS LÄN</t>
        </is>
      </c>
      <c r="G586" t="inlineStr">
        <is>
          <t>SUNNE</t>
        </is>
      </c>
      <c r="I586" t="n">
        <v>0.7</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59561-2025</t>
        </is>
      </c>
      <c r="B587" t="inlineStr">
        <is>
          <t>avverkningsanmälan</t>
        </is>
      </c>
      <c r="C587" t="inlineStr">
        <is>
          <t>Föryngringsavverkning</t>
        </is>
      </c>
      <c r="D587" s="1" t="n">
        <v>45991</v>
      </c>
      <c r="E587" s="1" t="n">
        <v>46313</v>
      </c>
      <c r="F587" t="inlineStr">
        <is>
          <t>VÄRMLANDS LÄN</t>
        </is>
      </c>
      <c r="G587" t="inlineStr">
        <is>
          <t>SUNNE</t>
        </is>
      </c>
      <c r="I587" t="n">
        <v>4.1</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60027-2025</t>
        </is>
      </c>
      <c r="B588" t="inlineStr">
        <is>
          <t>avverkningsanmälan</t>
        </is>
      </c>
      <c r="C588" t="inlineStr">
        <is>
          <t>Föryngringsavverkning</t>
        </is>
      </c>
      <c r="D588" s="1" t="n">
        <v>45993</v>
      </c>
      <c r="E588" s="1" t="n">
        <v>46313</v>
      </c>
      <c r="F588" t="inlineStr">
        <is>
          <t>VÄRMLANDS LÄN</t>
        </is>
      </c>
      <c r="G588" t="inlineStr">
        <is>
          <t>SUNNE</t>
        </is>
      </c>
      <c r="I588" t="n">
        <v>2.6</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60020-2025</t>
        </is>
      </c>
      <c r="B589" t="inlineStr">
        <is>
          <t>avverkningsanmälan</t>
        </is>
      </c>
      <c r="C589" t="inlineStr">
        <is>
          <t>Föryngringsavverkning</t>
        </is>
      </c>
      <c r="D589" s="1" t="n">
        <v>45993</v>
      </c>
      <c r="E589" s="1" t="n">
        <v>46313</v>
      </c>
      <c r="F589" t="inlineStr">
        <is>
          <t>VÄRMLANDS LÄN</t>
        </is>
      </c>
      <c r="G589" t="inlineStr">
        <is>
          <t>SUNNE</t>
        </is>
      </c>
      <c r="I589" t="n">
        <v>2.1</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60070-2025</t>
        </is>
      </c>
      <c r="B590" t="inlineStr">
        <is>
          <t>avverkningsanmälan</t>
        </is>
      </c>
      <c r="C590" t="inlineStr">
        <is>
          <t>Föryngringsavverkning</t>
        </is>
      </c>
      <c r="D590" s="1" t="n">
        <v>45993</v>
      </c>
      <c r="E590" s="1" t="n">
        <v>46313</v>
      </c>
      <c r="F590" t="inlineStr">
        <is>
          <t>VÄRMLANDS LÄN</t>
        </is>
      </c>
      <c r="G590" t="inlineStr">
        <is>
          <t>SUNNE</t>
        </is>
      </c>
      <c r="I590" t="n">
        <v>5.2</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24314-2026</t>
        </is>
      </c>
      <c r="B591" t="inlineStr">
        <is>
          <t>avverkningsanmälan</t>
        </is>
      </c>
      <c r="C591" t="inlineStr">
        <is>
          <t>Föryngringsavverkning</t>
        </is>
      </c>
      <c r="D591" s="1" t="n">
        <v>46169</v>
      </c>
      <c r="E591" s="1" t="n">
        <v>46313</v>
      </c>
      <c r="F591" t="inlineStr">
        <is>
          <t>VÄRMLANDS LÄN</t>
        </is>
      </c>
      <c r="G591" t="inlineStr">
        <is>
          <t>SUNNE</t>
        </is>
      </c>
      <c r="I591" t="n">
        <v>1.1</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59783-2025</t>
        </is>
      </c>
      <c r="B592" t="inlineStr">
        <is>
          <t>avverkningsanmälan</t>
        </is>
      </c>
      <c r="C592" t="inlineStr">
        <is>
          <t>Föryngringsavverkning</t>
        </is>
      </c>
      <c r="D592" s="1" t="n">
        <v>45992</v>
      </c>
      <c r="E592" s="1" t="n">
        <v>46313</v>
      </c>
      <c r="F592" t="inlineStr">
        <is>
          <t>VÄRMLANDS LÄN</t>
        </is>
      </c>
      <c r="G592" t="inlineStr">
        <is>
          <t>SUNNE</t>
        </is>
      </c>
      <c r="I592" t="n">
        <v>0.5</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59799-2025</t>
        </is>
      </c>
      <c r="B593" t="inlineStr">
        <is>
          <t>avverkningsanmälan</t>
        </is>
      </c>
      <c r="C593" t="inlineStr">
        <is>
          <t>Föryngringsavverkning</t>
        </is>
      </c>
      <c r="D593" s="1" t="n">
        <v>45992</v>
      </c>
      <c r="E593" s="1" t="n">
        <v>46313</v>
      </c>
      <c r="F593" t="inlineStr">
        <is>
          <t>VÄRMLANDS LÄN</t>
        </is>
      </c>
      <c r="G593" t="inlineStr">
        <is>
          <t>SUNNE</t>
        </is>
      </c>
      <c r="I593" t="n">
        <v>0.6</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60126-2025</t>
        </is>
      </c>
      <c r="B594" t="inlineStr">
        <is>
          <t>avverkningsanmälan</t>
        </is>
      </c>
      <c r="C594" t="inlineStr">
        <is>
          <t>Föryngringsavverkning</t>
        </is>
      </c>
      <c r="D594" s="1" t="n">
        <v>45994</v>
      </c>
      <c r="E594" s="1" t="n">
        <v>46313</v>
      </c>
      <c r="F594" t="inlineStr">
        <is>
          <t>VÄRMLANDS LÄN</t>
        </is>
      </c>
      <c r="G594" t="inlineStr">
        <is>
          <t>SUNNE</t>
        </is>
      </c>
      <c r="I594" t="n">
        <v>8.5</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45992-2023</t>
        </is>
      </c>
      <c r="B595" t="inlineStr">
        <is>
          <t>avverkningsanmälan</t>
        </is>
      </c>
      <c r="C595" t="inlineStr">
        <is>
          <t>Föryngringsavverkning</t>
        </is>
      </c>
      <c r="D595" s="1" t="n">
        <v>45196</v>
      </c>
      <c r="E595" s="1" t="n">
        <v>46313</v>
      </c>
      <c r="F595" t="inlineStr">
        <is>
          <t>VÄRMLANDS LÄN</t>
        </is>
      </c>
      <c r="G595" t="inlineStr">
        <is>
          <t>SUNNE</t>
        </is>
      </c>
      <c r="I595" t="n">
        <v>1.1</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57737-2022</t>
        </is>
      </c>
      <c r="B596" t="inlineStr">
        <is>
          <t>avverkningsanmälan</t>
        </is>
      </c>
      <c r="C596" t="inlineStr">
        <is>
          <t>Föryngringsavverkning</t>
        </is>
      </c>
      <c r="D596" s="1" t="n">
        <v>44897</v>
      </c>
      <c r="E596" s="1" t="n">
        <v>46313</v>
      </c>
      <c r="F596" t="inlineStr">
        <is>
          <t>VÄRMLANDS LÄN</t>
        </is>
      </c>
      <c r="G596" t="inlineStr">
        <is>
          <t>SUNNE</t>
        </is>
      </c>
      <c r="I596" t="n">
        <v>1.5</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60271-2025</t>
        </is>
      </c>
      <c r="B597" t="inlineStr">
        <is>
          <t>avverkningsanmälan</t>
        </is>
      </c>
      <c r="C597" t="inlineStr">
        <is>
          <t>Föryngringsavverkning</t>
        </is>
      </c>
      <c r="D597" s="1" t="n">
        <v>45994</v>
      </c>
      <c r="E597" s="1" t="n">
        <v>46313</v>
      </c>
      <c r="F597" t="inlineStr">
        <is>
          <t>VÄRMLANDS LÄN</t>
        </is>
      </c>
      <c r="G597" t="inlineStr">
        <is>
          <t>SUNNE</t>
        </is>
      </c>
      <c r="I597" t="n">
        <v>0.6</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48729-2024</t>
        </is>
      </c>
      <c r="B598" t="inlineStr">
        <is>
          <t>avverkningsanmälan</t>
        </is>
      </c>
      <c r="C598" t="inlineStr">
        <is>
          <t>Föryngringsavverkning</t>
        </is>
      </c>
      <c r="D598" s="1" t="n">
        <v>45593</v>
      </c>
      <c r="E598" s="1" t="n">
        <v>46313</v>
      </c>
      <c r="F598" t="inlineStr">
        <is>
          <t>VÄRMLANDS LÄN</t>
        </is>
      </c>
      <c r="G598" t="inlineStr">
        <is>
          <t>SUNNE</t>
        </is>
      </c>
      <c r="H598" t="inlineStr">
        <is>
          <t>Kommuner</t>
        </is>
      </c>
      <c r="I598" t="n">
        <v>4.5</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60399-2025</t>
        </is>
      </c>
      <c r="B599" t="inlineStr">
        <is>
          <t>avverkningsanmälan</t>
        </is>
      </c>
      <c r="C599" t="inlineStr">
        <is>
          <t>Föryngringsavverkning</t>
        </is>
      </c>
      <c r="D599" s="1" t="n">
        <v>45995</v>
      </c>
      <c r="E599" s="1" t="n">
        <v>46313</v>
      </c>
      <c r="F599" t="inlineStr">
        <is>
          <t>VÄRMLANDS LÄN</t>
        </is>
      </c>
      <c r="G599" t="inlineStr">
        <is>
          <t>SUNNE</t>
        </is>
      </c>
      <c r="I599" t="n">
        <v>1.4</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29129-2022</t>
        </is>
      </c>
      <c r="B600" t="inlineStr">
        <is>
          <t>avverkningsanmälan</t>
        </is>
      </c>
      <c r="C600" t="inlineStr">
        <is>
          <t>Föryngringsavverkning</t>
        </is>
      </c>
      <c r="D600" s="1" t="n">
        <v>44750</v>
      </c>
      <c r="E600" s="1" t="n">
        <v>46313</v>
      </c>
      <c r="F600" t="inlineStr">
        <is>
          <t>VÄRMLANDS LÄN</t>
        </is>
      </c>
      <c r="G600" t="inlineStr">
        <is>
          <t>SUNNE</t>
        </is>
      </c>
      <c r="I600" t="n">
        <v>2.1</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61110-2025</t>
        </is>
      </c>
      <c r="B601" t="inlineStr">
        <is>
          <t>avverkningsanmälan</t>
        </is>
      </c>
      <c r="C601" t="inlineStr">
        <is>
          <t>Föryngringsavverkning</t>
        </is>
      </c>
      <c r="D601" s="1" t="n">
        <v>45999</v>
      </c>
      <c r="E601" s="1" t="n">
        <v>46313</v>
      </c>
      <c r="F601" t="inlineStr">
        <is>
          <t>VÄRMLANDS LÄN</t>
        </is>
      </c>
      <c r="G601" t="inlineStr">
        <is>
          <t>SUNNE</t>
        </is>
      </c>
      <c r="I601" t="n">
        <v>4.6</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27091-2022</t>
        </is>
      </c>
      <c r="B602" t="inlineStr">
        <is>
          <t>avverkningsanmälan</t>
        </is>
      </c>
      <c r="C602" t="inlineStr">
        <is>
          <t>Föryngringsavverkning</t>
        </is>
      </c>
      <c r="D602" s="1" t="n">
        <v>44741</v>
      </c>
      <c r="E602" s="1" t="n">
        <v>46313</v>
      </c>
      <c r="F602" t="inlineStr">
        <is>
          <t>VÄRMLANDS LÄN</t>
        </is>
      </c>
      <c r="G602" t="inlineStr">
        <is>
          <t>SUNNE</t>
        </is>
      </c>
      <c r="I602" t="n">
        <v>0.4</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61001-2025</t>
        </is>
      </c>
      <c r="B603" t="inlineStr">
        <is>
          <t>avverkningsanmälan</t>
        </is>
      </c>
      <c r="C603" t="inlineStr">
        <is>
          <t>Föryngringsavverkning</t>
        </is>
      </c>
      <c r="D603" s="1" t="n">
        <v>45999</v>
      </c>
      <c r="E603" s="1" t="n">
        <v>46313</v>
      </c>
      <c r="F603" t="inlineStr">
        <is>
          <t>VÄRMLANDS LÄN</t>
        </is>
      </c>
      <c r="G603" t="inlineStr">
        <is>
          <t>SUNNE</t>
        </is>
      </c>
      <c r="I603" t="n">
        <v>0.7</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40986-2022</t>
        </is>
      </c>
      <c r="B604" t="inlineStr">
        <is>
          <t>avverkningsanmälan</t>
        </is>
      </c>
      <c r="C604" t="inlineStr">
        <is>
          <t>Föryngringsavverkning</t>
        </is>
      </c>
      <c r="D604" s="1" t="n">
        <v>44823</v>
      </c>
      <c r="E604" s="1" t="n">
        <v>46313</v>
      </c>
      <c r="F604" t="inlineStr">
        <is>
          <t>VÄRMLANDS LÄN</t>
        </is>
      </c>
      <c r="G604" t="inlineStr">
        <is>
          <t>SUNNE</t>
        </is>
      </c>
      <c r="H604" t="inlineStr">
        <is>
          <t>Kyrkan</t>
        </is>
      </c>
      <c r="I604" t="n">
        <v>5.7</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46147-2023</t>
        </is>
      </c>
      <c r="B605" t="inlineStr">
        <is>
          <t>avverkningsanmälan</t>
        </is>
      </c>
      <c r="C605" t="inlineStr">
        <is>
          <t>Föryngringsavverkning</t>
        </is>
      </c>
      <c r="D605" s="1" t="n">
        <v>45196</v>
      </c>
      <c r="E605" s="1" t="n">
        <v>46313</v>
      </c>
      <c r="F605" t="inlineStr">
        <is>
          <t>VÄRMLANDS LÄN</t>
        </is>
      </c>
      <c r="G605" t="inlineStr">
        <is>
          <t>SUNNE</t>
        </is>
      </c>
      <c r="I605" t="n">
        <v>0.7</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24251-2026</t>
        </is>
      </c>
      <c r="B606" t="inlineStr">
        <is>
          <t>avverkningsanmälan</t>
        </is>
      </c>
      <c r="C606" t="inlineStr">
        <is>
          <t>Avverkning för annat ändamål</t>
        </is>
      </c>
      <c r="D606" s="1" t="n">
        <v>46168</v>
      </c>
      <c r="E606" s="1" t="n">
        <v>46313</v>
      </c>
      <c r="F606" t="inlineStr">
        <is>
          <t>VÄRMLANDS LÄN</t>
        </is>
      </c>
      <c r="G606" t="inlineStr">
        <is>
          <t>SUNNE</t>
        </is>
      </c>
      <c r="I606" t="n">
        <v>0.3</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24415-2026</t>
        </is>
      </c>
      <c r="B607" t="inlineStr">
        <is>
          <t>avverkningsanmälan</t>
        </is>
      </c>
      <c r="C607" t="inlineStr">
        <is>
          <t>Föryngringsavverkning</t>
        </is>
      </c>
      <c r="D607" s="1" t="n">
        <v>46169</v>
      </c>
      <c r="E607" s="1" t="n">
        <v>46313</v>
      </c>
      <c r="F607" t="inlineStr">
        <is>
          <t>VÄRMLANDS LÄN</t>
        </is>
      </c>
      <c r="G607" t="inlineStr">
        <is>
          <t>SUNNE</t>
        </is>
      </c>
      <c r="I607" t="n">
        <v>16.1</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51842-2023</t>
        </is>
      </c>
      <c r="B608" t="inlineStr">
        <is>
          <t>avverkningsanmälan</t>
        </is>
      </c>
      <c r="C608" t="inlineStr">
        <is>
          <t>Föryngringsavverkning</t>
        </is>
      </c>
      <c r="D608" s="1" t="n">
        <v>45223</v>
      </c>
      <c r="E608" s="1" t="n">
        <v>46313</v>
      </c>
      <c r="F608" t="inlineStr">
        <is>
          <t>VÄRMLANDS LÄN</t>
        </is>
      </c>
      <c r="G608" t="inlineStr">
        <is>
          <t>SUNNE</t>
        </is>
      </c>
      <c r="I608" t="n">
        <v>0.7</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34141-2023</t>
        </is>
      </c>
      <c r="B609" t="inlineStr">
        <is>
          <t>avverkningsanmälan</t>
        </is>
      </c>
      <c r="C609" t="inlineStr">
        <is>
          <t>Föryngringsavverkning</t>
        </is>
      </c>
      <c r="D609" s="1" t="n">
        <v>45136</v>
      </c>
      <c r="E609" s="1" t="n">
        <v>46313</v>
      </c>
      <c r="F609" t="inlineStr">
        <is>
          <t>VÄRMLANDS LÄN</t>
        </is>
      </c>
      <c r="G609" t="inlineStr">
        <is>
          <t>SUNNE</t>
        </is>
      </c>
      <c r="I609" t="n">
        <v>0.6</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13142-2024</t>
        </is>
      </c>
      <c r="B610" t="inlineStr">
        <is>
          <t>avverkningsanmälan</t>
        </is>
      </c>
      <c r="C610" t="inlineStr">
        <is>
          <t>Föryngringsavverkning</t>
        </is>
      </c>
      <c r="D610" s="1" t="n">
        <v>45386</v>
      </c>
      <c r="E610" s="1" t="n">
        <v>46313</v>
      </c>
      <c r="F610" t="inlineStr">
        <is>
          <t>VÄRMLANDS LÄN</t>
        </is>
      </c>
      <c r="G610" t="inlineStr">
        <is>
          <t>SUNNE</t>
        </is>
      </c>
      <c r="I610" t="n">
        <v>4</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61002-2025</t>
        </is>
      </c>
      <c r="B611" t="inlineStr">
        <is>
          <t>avverkningsanmälan</t>
        </is>
      </c>
      <c r="C611" t="inlineStr">
        <is>
          <t>Föryngringsavverkning</t>
        </is>
      </c>
      <c r="D611" s="1" t="n">
        <v>45999</v>
      </c>
      <c r="E611" s="1" t="n">
        <v>46313</v>
      </c>
      <c r="F611" t="inlineStr">
        <is>
          <t>VÄRMLANDS LÄN</t>
        </is>
      </c>
      <c r="G611" t="inlineStr">
        <is>
          <t>SUNNE</t>
        </is>
      </c>
      <c r="I611" t="n">
        <v>1.6</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59291-2024</t>
        </is>
      </c>
      <c r="B612" t="inlineStr">
        <is>
          <t>avverkningsanmälan</t>
        </is>
      </c>
      <c r="C612" t="inlineStr">
        <is>
          <t>Föryngringsavverkning</t>
        </is>
      </c>
      <c r="D612" s="1" t="n">
        <v>45636</v>
      </c>
      <c r="E612" s="1" t="n">
        <v>46313</v>
      </c>
      <c r="F612" t="inlineStr">
        <is>
          <t>VÄRMLANDS LÄN</t>
        </is>
      </c>
      <c r="G612" t="inlineStr">
        <is>
          <t>SUNNE</t>
        </is>
      </c>
      <c r="I612" t="n">
        <v>1.7</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24522-2026</t>
        </is>
      </c>
      <c r="B613" t="inlineStr">
        <is>
          <t>avverkningsanmälan</t>
        </is>
      </c>
      <c r="C613" t="inlineStr">
        <is>
          <t>Föryngringsavverkning</t>
        </is>
      </c>
      <c r="D613" s="1" t="n">
        <v>46170</v>
      </c>
      <c r="E613" s="1" t="n">
        <v>46313</v>
      </c>
      <c r="F613" t="inlineStr">
        <is>
          <t>VÄRMLANDS LÄN</t>
        </is>
      </c>
      <c r="G613" t="inlineStr">
        <is>
          <t>SUNNE</t>
        </is>
      </c>
      <c r="I613" t="n">
        <v>1.2</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61882-2025</t>
        </is>
      </c>
      <c r="B614" t="inlineStr">
        <is>
          <t>avverkningsanmälan</t>
        </is>
      </c>
      <c r="C614" t="inlineStr">
        <is>
          <t>Föryngringsavverkning</t>
        </is>
      </c>
      <c r="D614" s="1" t="n">
        <v>46003</v>
      </c>
      <c r="E614" s="1" t="n">
        <v>46313</v>
      </c>
      <c r="F614" t="inlineStr">
        <is>
          <t>VÄRMLANDS LÄN</t>
        </is>
      </c>
      <c r="G614" t="inlineStr">
        <is>
          <t>SUNNE</t>
        </is>
      </c>
      <c r="I614" t="n">
        <v>0.6</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36851-2024</t>
        </is>
      </c>
      <c r="B615" t="inlineStr">
        <is>
          <t>avverkningsanmälan</t>
        </is>
      </c>
      <c r="C615" t="inlineStr">
        <is>
          <t>Föryngringsavverkning</t>
        </is>
      </c>
      <c r="D615" s="1" t="n">
        <v>45538</v>
      </c>
      <c r="E615" s="1" t="n">
        <v>46313</v>
      </c>
      <c r="F615" t="inlineStr">
        <is>
          <t>VÄRMLANDS LÄN</t>
        </is>
      </c>
      <c r="G615" t="inlineStr">
        <is>
          <t>SUNNE</t>
        </is>
      </c>
      <c r="I615" t="n">
        <v>0.5</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A 18171-2025</t>
        </is>
      </c>
      <c r="B616" t="inlineStr">
        <is>
          <t>avverkningsanmälan</t>
        </is>
      </c>
      <c r="C616" t="inlineStr">
        <is>
          <t>Föryngringsavverkning</t>
        </is>
      </c>
      <c r="D616" s="1" t="n">
        <v>45761</v>
      </c>
      <c r="E616" s="1" t="n">
        <v>46313</v>
      </c>
      <c r="F616" t="inlineStr">
        <is>
          <t>VÄRMLANDS LÄN</t>
        </is>
      </c>
      <c r="G616" t="inlineStr">
        <is>
          <t>SUNNE</t>
        </is>
      </c>
      <c r="H616" t="inlineStr">
        <is>
          <t>Bergvik skog väst AB</t>
        </is>
      </c>
      <c r="I616" t="n">
        <v>7.5</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A 61760-2025</t>
        </is>
      </c>
      <c r="B617" t="inlineStr">
        <is>
          <t>avverkningsanmälan</t>
        </is>
      </c>
      <c r="C617" t="inlineStr">
        <is>
          <t>Föryngringsavverkning</t>
        </is>
      </c>
      <c r="D617" s="1" t="n">
        <v>46002</v>
      </c>
      <c r="E617" s="1" t="n">
        <v>46313</v>
      </c>
      <c r="F617" t="inlineStr">
        <is>
          <t>VÄRMLANDS LÄN</t>
        </is>
      </c>
      <c r="G617" t="inlineStr">
        <is>
          <t>SUNNE</t>
        </is>
      </c>
      <c r="I617" t="n">
        <v>1.8</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A 48814-2023</t>
        </is>
      </c>
      <c r="B618" t="inlineStr">
        <is>
          <t>avverkningsanmälan</t>
        </is>
      </c>
      <c r="C618" t="inlineStr">
        <is>
          <t>Föryngringsavverkning</t>
        </is>
      </c>
      <c r="D618" s="1" t="n">
        <v>45209</v>
      </c>
      <c r="E618" s="1" t="n">
        <v>46313</v>
      </c>
      <c r="F618" t="inlineStr">
        <is>
          <t>VÄRMLANDS LÄN</t>
        </is>
      </c>
      <c r="G618" t="inlineStr">
        <is>
          <t>SUNNE</t>
        </is>
      </c>
      <c r="I618" t="n">
        <v>7.7</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A 62965-2021</t>
        </is>
      </c>
      <c r="B619" t="inlineStr">
        <is>
          <t>avverkningsanmälan</t>
        </is>
      </c>
      <c r="C619" t="inlineStr">
        <is>
          <t>Föryngringsavverkning</t>
        </is>
      </c>
      <c r="D619" s="1" t="n">
        <v>44505</v>
      </c>
      <c r="E619" s="1" t="n">
        <v>46313</v>
      </c>
      <c r="F619" t="inlineStr">
        <is>
          <t>VÄRMLANDS LÄN</t>
        </is>
      </c>
      <c r="G619" t="inlineStr">
        <is>
          <t>SUNNE</t>
        </is>
      </c>
      <c r="I619" t="n">
        <v>16.3</v>
      </c>
      <c r="J619" t="n">
        <v>0</v>
      </c>
      <c r="K619" t="n">
        <v>0</v>
      </c>
      <c r="L619" t="n">
        <v>0</v>
      </c>
      <c r="M619" t="n">
        <v>0</v>
      </c>
      <c r="N619" t="n">
        <v>0</v>
      </c>
      <c r="O619" t="n">
        <v>0</v>
      </c>
      <c r="P619" t="n">
        <v>0</v>
      </c>
      <c r="Q619" t="n">
        <v>0</v>
      </c>
      <c r="R619" t="n">
        <v>0</v>
      </c>
      <c r="S619" t="n">
        <v>0</v>
      </c>
      <c r="T619" t="n">
        <v>0</v>
      </c>
      <c r="U619" t="n">
        <v>0</v>
      </c>
      <c r="V619" s="2" t="inlineStr"/>
    </row>
    <row r="620" ht="15" customHeight="1">
      <c r="A620" t="inlineStr">
        <is>
          <t>A 24762-2026</t>
        </is>
      </c>
      <c r="B620" t="inlineStr">
        <is>
          <t>avverkningsanmälan</t>
        </is>
      </c>
      <c r="C620" t="inlineStr">
        <is>
          <t>Föryngringsavverkning</t>
        </is>
      </c>
      <c r="D620" s="1" t="n">
        <v>46171</v>
      </c>
      <c r="E620" s="1" t="n">
        <v>46313</v>
      </c>
      <c r="F620" t="inlineStr">
        <is>
          <t>VÄRMLANDS LÄN</t>
        </is>
      </c>
      <c r="G620" t="inlineStr">
        <is>
          <t>SUNNE</t>
        </is>
      </c>
      <c r="I620" t="n">
        <v>2.4</v>
      </c>
      <c r="J620" t="n">
        <v>0</v>
      </c>
      <c r="K620" t="n">
        <v>0</v>
      </c>
      <c r="L620" t="n">
        <v>0</v>
      </c>
      <c r="M620" t="n">
        <v>0</v>
      </c>
      <c r="N620" t="n">
        <v>0</v>
      </c>
      <c r="O620" t="n">
        <v>0</v>
      </c>
      <c r="P620" t="n">
        <v>0</v>
      </c>
      <c r="Q620" t="n">
        <v>0</v>
      </c>
      <c r="R620" t="n">
        <v>0</v>
      </c>
      <c r="S620" t="n">
        <v>0</v>
      </c>
      <c r="T620" t="n">
        <v>0</v>
      </c>
      <c r="U620" t="n">
        <v>0</v>
      </c>
      <c r="V620" s="2" t="inlineStr"/>
    </row>
    <row r="621" ht="15" customHeight="1">
      <c r="A621" t="inlineStr">
        <is>
          <t>A 24787-2026</t>
        </is>
      </c>
      <c r="B621" t="inlineStr">
        <is>
          <t>avverkningsanmälan</t>
        </is>
      </c>
      <c r="C621" t="inlineStr">
        <is>
          <t>Föryngringsavverkning</t>
        </is>
      </c>
      <c r="D621" s="1" t="n">
        <v>46171</v>
      </c>
      <c r="E621" s="1" t="n">
        <v>46313</v>
      </c>
      <c r="F621" t="inlineStr">
        <is>
          <t>VÄRMLANDS LÄN</t>
        </is>
      </c>
      <c r="G621" t="inlineStr">
        <is>
          <t>SUNNE</t>
        </is>
      </c>
      <c r="I621" t="n">
        <v>3.5</v>
      </c>
      <c r="J621" t="n">
        <v>0</v>
      </c>
      <c r="K621" t="n">
        <v>0</v>
      </c>
      <c r="L621" t="n">
        <v>0</v>
      </c>
      <c r="M621" t="n">
        <v>0</v>
      </c>
      <c r="N621" t="n">
        <v>0</v>
      </c>
      <c r="O621" t="n">
        <v>0</v>
      </c>
      <c r="P621" t="n">
        <v>0</v>
      </c>
      <c r="Q621" t="n">
        <v>0</v>
      </c>
      <c r="R621" t="n">
        <v>0</v>
      </c>
      <c r="S621" t="n">
        <v>0</v>
      </c>
      <c r="T621" t="n">
        <v>0</v>
      </c>
      <c r="U621" t="n">
        <v>0</v>
      </c>
      <c r="V621" s="2" t="inlineStr"/>
    </row>
    <row r="622" ht="15" customHeight="1">
      <c r="A622" t="inlineStr">
        <is>
          <t>A 62067-2025</t>
        </is>
      </c>
      <c r="B622" t="inlineStr">
        <is>
          <t>avverkningsanmälan</t>
        </is>
      </c>
      <c r="C622" t="inlineStr">
        <is>
          <t>Föryngringsavverkning</t>
        </is>
      </c>
      <c r="D622" s="1" t="n">
        <v>46006</v>
      </c>
      <c r="E622" s="1" t="n">
        <v>46313</v>
      </c>
      <c r="F622" t="inlineStr">
        <is>
          <t>VÄRMLANDS LÄN</t>
        </is>
      </c>
      <c r="G622" t="inlineStr">
        <is>
          <t>SUNNE</t>
        </is>
      </c>
      <c r="I622" t="n">
        <v>0.7</v>
      </c>
      <c r="J622" t="n">
        <v>0</v>
      </c>
      <c r="K622" t="n">
        <v>0</v>
      </c>
      <c r="L622" t="n">
        <v>0</v>
      </c>
      <c r="M622" t="n">
        <v>0</v>
      </c>
      <c r="N622" t="n">
        <v>0</v>
      </c>
      <c r="O622" t="n">
        <v>0</v>
      </c>
      <c r="P622" t="n">
        <v>0</v>
      </c>
      <c r="Q622" t="n">
        <v>0</v>
      </c>
      <c r="R622" t="n">
        <v>0</v>
      </c>
      <c r="S622" t="n">
        <v>0</v>
      </c>
      <c r="T622" t="n">
        <v>0</v>
      </c>
      <c r="U622" t="n">
        <v>0</v>
      </c>
      <c r="V622" s="2" t="inlineStr"/>
    </row>
    <row r="623" ht="15" customHeight="1">
      <c r="A623" t="inlineStr">
        <is>
          <t>A 62073-2025</t>
        </is>
      </c>
      <c r="B623" t="inlineStr">
        <is>
          <t>avverkningsanmälan</t>
        </is>
      </c>
      <c r="C623" t="inlineStr">
        <is>
          <t>Föryngringsavverkning</t>
        </is>
      </c>
      <c r="D623" s="1" t="n">
        <v>46006</v>
      </c>
      <c r="E623" s="1" t="n">
        <v>46313</v>
      </c>
      <c r="F623" t="inlineStr">
        <is>
          <t>VÄRMLANDS LÄN</t>
        </is>
      </c>
      <c r="G623" t="inlineStr">
        <is>
          <t>SUNNE</t>
        </is>
      </c>
      <c r="I623" t="n">
        <v>0.3</v>
      </c>
      <c r="J623" t="n">
        <v>0</v>
      </c>
      <c r="K623" t="n">
        <v>0</v>
      </c>
      <c r="L623" t="n">
        <v>0</v>
      </c>
      <c r="M623" t="n">
        <v>0</v>
      </c>
      <c r="N623" t="n">
        <v>0</v>
      </c>
      <c r="O623" t="n">
        <v>0</v>
      </c>
      <c r="P623" t="n">
        <v>0</v>
      </c>
      <c r="Q623" t="n">
        <v>0</v>
      </c>
      <c r="R623" t="n">
        <v>0</v>
      </c>
      <c r="S623" t="n">
        <v>0</v>
      </c>
      <c r="T623" t="n">
        <v>0</v>
      </c>
      <c r="U623" t="n">
        <v>0</v>
      </c>
      <c r="V623" s="2" t="inlineStr"/>
    </row>
    <row r="624" ht="15" customHeight="1">
      <c r="A624" t="inlineStr">
        <is>
          <t>A 16518-2023</t>
        </is>
      </c>
      <c r="B624" t="inlineStr">
        <is>
          <t>avverkningsanmälan</t>
        </is>
      </c>
      <c r="C624" t="inlineStr">
        <is>
          <t>Föryngringsavverkning</t>
        </is>
      </c>
      <c r="D624" s="1" t="n">
        <v>45029</v>
      </c>
      <c r="E624" s="1" t="n">
        <v>46313</v>
      </c>
      <c r="F624" t="inlineStr">
        <is>
          <t>VÄRMLANDS LÄN</t>
        </is>
      </c>
      <c r="G624" t="inlineStr">
        <is>
          <t>SUNNE</t>
        </is>
      </c>
      <c r="I624" t="n">
        <v>3</v>
      </c>
      <c r="J624" t="n">
        <v>0</v>
      </c>
      <c r="K624" t="n">
        <v>0</v>
      </c>
      <c r="L624" t="n">
        <v>0</v>
      </c>
      <c r="M624" t="n">
        <v>0</v>
      </c>
      <c r="N624" t="n">
        <v>0</v>
      </c>
      <c r="O624" t="n">
        <v>0</v>
      </c>
      <c r="P624" t="n">
        <v>0</v>
      </c>
      <c r="Q624" t="n">
        <v>0</v>
      </c>
      <c r="R624" t="n">
        <v>0</v>
      </c>
      <c r="S624" t="n">
        <v>0</v>
      </c>
      <c r="T624" t="n">
        <v>0</v>
      </c>
      <c r="U624" t="n">
        <v>0</v>
      </c>
      <c r="V624" s="2" t="inlineStr"/>
    </row>
    <row r="625" ht="15" customHeight="1">
      <c r="A625" t="inlineStr">
        <is>
          <t>A 62070-2025</t>
        </is>
      </c>
      <c r="B625" t="inlineStr">
        <is>
          <t>avverkningsanmälan</t>
        </is>
      </c>
      <c r="C625" t="inlineStr">
        <is>
          <t>Föryngringsavverkning</t>
        </is>
      </c>
      <c r="D625" s="1" t="n">
        <v>46006</v>
      </c>
      <c r="E625" s="1" t="n">
        <v>46313</v>
      </c>
      <c r="F625" t="inlineStr">
        <is>
          <t>VÄRMLANDS LÄN</t>
        </is>
      </c>
      <c r="G625" t="inlineStr">
        <is>
          <t>SUNNE</t>
        </is>
      </c>
      <c r="I625" t="n">
        <v>0.5</v>
      </c>
      <c r="J625" t="n">
        <v>0</v>
      </c>
      <c r="K625" t="n">
        <v>0</v>
      </c>
      <c r="L625" t="n">
        <v>0</v>
      </c>
      <c r="M625" t="n">
        <v>0</v>
      </c>
      <c r="N625" t="n">
        <v>0</v>
      </c>
      <c r="O625" t="n">
        <v>0</v>
      </c>
      <c r="P625" t="n">
        <v>0</v>
      </c>
      <c r="Q625" t="n">
        <v>0</v>
      </c>
      <c r="R625" t="n">
        <v>0</v>
      </c>
      <c r="S625" t="n">
        <v>0</v>
      </c>
      <c r="T625" t="n">
        <v>0</v>
      </c>
      <c r="U625" t="n">
        <v>0</v>
      </c>
      <c r="V625" s="2" t="inlineStr"/>
    </row>
    <row r="626" ht="15" customHeight="1">
      <c r="A626" t="inlineStr">
        <is>
          <t>A 53428-2024</t>
        </is>
      </c>
      <c r="B626" t="inlineStr">
        <is>
          <t>avverkningsanmälan</t>
        </is>
      </c>
      <c r="C626" t="inlineStr">
        <is>
          <t>Föryngringsavverkning</t>
        </is>
      </c>
      <c r="D626" s="1" t="n">
        <v>45614</v>
      </c>
      <c r="E626" s="1" t="n">
        <v>46313</v>
      </c>
      <c r="F626" t="inlineStr">
        <is>
          <t>VÄRMLANDS LÄN</t>
        </is>
      </c>
      <c r="G626" t="inlineStr">
        <is>
          <t>SUNNE</t>
        </is>
      </c>
      <c r="I626" t="n">
        <v>1.7</v>
      </c>
      <c r="J626" t="n">
        <v>0</v>
      </c>
      <c r="K626" t="n">
        <v>0</v>
      </c>
      <c r="L626" t="n">
        <v>0</v>
      </c>
      <c r="M626" t="n">
        <v>0</v>
      </c>
      <c r="N626" t="n">
        <v>0</v>
      </c>
      <c r="O626" t="n">
        <v>0</v>
      </c>
      <c r="P626" t="n">
        <v>0</v>
      </c>
      <c r="Q626" t="n">
        <v>0</v>
      </c>
      <c r="R626" t="n">
        <v>0</v>
      </c>
      <c r="S626" t="n">
        <v>0</v>
      </c>
      <c r="T626" t="n">
        <v>0</v>
      </c>
      <c r="U626" t="n">
        <v>0</v>
      </c>
      <c r="V626" s="2" t="inlineStr"/>
    </row>
    <row r="627" ht="15" customHeight="1">
      <c r="A627" t="inlineStr">
        <is>
          <t>A 20978-2023</t>
        </is>
      </c>
      <c r="B627" t="inlineStr">
        <is>
          <t>avverkningsanmälan</t>
        </is>
      </c>
      <c r="C627" t="inlineStr">
        <is>
          <t>Föryngringsavverkning</t>
        </is>
      </c>
      <c r="D627" s="1" t="n">
        <v>45061</v>
      </c>
      <c r="E627" s="1" t="n">
        <v>46313</v>
      </c>
      <c r="F627" t="inlineStr">
        <is>
          <t>VÄRMLANDS LÄN</t>
        </is>
      </c>
      <c r="G627" t="inlineStr">
        <is>
          <t>SUNNE</t>
        </is>
      </c>
      <c r="I627" t="n">
        <v>0.6</v>
      </c>
      <c r="J627" t="n">
        <v>0</v>
      </c>
      <c r="K627" t="n">
        <v>0</v>
      </c>
      <c r="L627" t="n">
        <v>0</v>
      </c>
      <c r="M627" t="n">
        <v>0</v>
      </c>
      <c r="N627" t="n">
        <v>0</v>
      </c>
      <c r="O627" t="n">
        <v>0</v>
      </c>
      <c r="P627" t="n">
        <v>0</v>
      </c>
      <c r="Q627" t="n">
        <v>0</v>
      </c>
      <c r="R627" t="n">
        <v>0</v>
      </c>
      <c r="S627" t="n">
        <v>0</v>
      </c>
      <c r="T627" t="n">
        <v>0</v>
      </c>
      <c r="U627" t="n">
        <v>0</v>
      </c>
      <c r="V627" s="2" t="inlineStr"/>
    </row>
    <row r="628" ht="15" customHeight="1">
      <c r="A628" t="inlineStr">
        <is>
          <t>A 33505-2023</t>
        </is>
      </c>
      <c r="B628" t="inlineStr">
        <is>
          <t>avverkningsanmälan</t>
        </is>
      </c>
      <c r="C628" t="inlineStr">
        <is>
          <t>Föryngringsavverkning</t>
        </is>
      </c>
      <c r="D628" s="1" t="n">
        <v>45118</v>
      </c>
      <c r="E628" s="1" t="n">
        <v>46313</v>
      </c>
      <c r="F628" t="inlineStr">
        <is>
          <t>VÄRMLANDS LÄN</t>
        </is>
      </c>
      <c r="G628" t="inlineStr">
        <is>
          <t>SUNNE</t>
        </is>
      </c>
      <c r="I628" t="n">
        <v>4.6</v>
      </c>
      <c r="J628" t="n">
        <v>0</v>
      </c>
      <c r="K628" t="n">
        <v>0</v>
      </c>
      <c r="L628" t="n">
        <v>0</v>
      </c>
      <c r="M628" t="n">
        <v>0</v>
      </c>
      <c r="N628" t="n">
        <v>0</v>
      </c>
      <c r="O628" t="n">
        <v>0</v>
      </c>
      <c r="P628" t="n">
        <v>0</v>
      </c>
      <c r="Q628" t="n">
        <v>0</v>
      </c>
      <c r="R628" t="n">
        <v>0</v>
      </c>
      <c r="S628" t="n">
        <v>0</v>
      </c>
      <c r="T628" t="n">
        <v>0</v>
      </c>
      <c r="U628" t="n">
        <v>0</v>
      </c>
      <c r="V628" s="2" t="inlineStr"/>
    </row>
    <row r="629" ht="15" customHeight="1">
      <c r="A629" t="inlineStr">
        <is>
          <t>A 24331-2024</t>
        </is>
      </c>
      <c r="B629" t="inlineStr">
        <is>
          <t>avverkningsanmälan</t>
        </is>
      </c>
      <c r="C629" t="inlineStr">
        <is>
          <t>Föryngringsavverkning</t>
        </is>
      </c>
      <c r="D629" s="1" t="n">
        <v>45457</v>
      </c>
      <c r="E629" s="1" t="n">
        <v>46313</v>
      </c>
      <c r="F629" t="inlineStr">
        <is>
          <t>VÄRMLANDS LÄN</t>
        </is>
      </c>
      <c r="G629" t="inlineStr">
        <is>
          <t>SUNNE</t>
        </is>
      </c>
      <c r="I629" t="n">
        <v>1.8</v>
      </c>
      <c r="J629" t="n">
        <v>0</v>
      </c>
      <c r="K629" t="n">
        <v>0</v>
      </c>
      <c r="L629" t="n">
        <v>0</v>
      </c>
      <c r="M629" t="n">
        <v>0</v>
      </c>
      <c r="N629" t="n">
        <v>0</v>
      </c>
      <c r="O629" t="n">
        <v>0</v>
      </c>
      <c r="P629" t="n">
        <v>0</v>
      </c>
      <c r="Q629" t="n">
        <v>0</v>
      </c>
      <c r="R629" t="n">
        <v>0</v>
      </c>
      <c r="S629" t="n">
        <v>0</v>
      </c>
      <c r="T629" t="n">
        <v>0</v>
      </c>
      <c r="U629" t="n">
        <v>0</v>
      </c>
      <c r="V629" s="2" t="inlineStr"/>
    </row>
    <row r="630" ht="15" customHeight="1">
      <c r="A630" t="inlineStr">
        <is>
          <t>A 7054-2023</t>
        </is>
      </c>
      <c r="B630" t="inlineStr">
        <is>
          <t>avverkningsanmälan</t>
        </is>
      </c>
      <c r="C630" t="inlineStr">
        <is>
          <t>Föryngringsavverkning</t>
        </is>
      </c>
      <c r="D630" s="1" t="n">
        <v>44969</v>
      </c>
      <c r="E630" s="1" t="n">
        <v>46313</v>
      </c>
      <c r="F630" t="inlineStr">
        <is>
          <t>VÄRMLANDS LÄN</t>
        </is>
      </c>
      <c r="G630" t="inlineStr">
        <is>
          <t>SUNNE</t>
        </is>
      </c>
      <c r="I630" t="n">
        <v>0.7</v>
      </c>
      <c r="J630" t="n">
        <v>0</v>
      </c>
      <c r="K630" t="n">
        <v>0</v>
      </c>
      <c r="L630" t="n">
        <v>0</v>
      </c>
      <c r="M630" t="n">
        <v>0</v>
      </c>
      <c r="N630" t="n">
        <v>0</v>
      </c>
      <c r="O630" t="n">
        <v>0</v>
      </c>
      <c r="P630" t="n">
        <v>0</v>
      </c>
      <c r="Q630" t="n">
        <v>0</v>
      </c>
      <c r="R630" t="n">
        <v>0</v>
      </c>
      <c r="S630" t="n">
        <v>0</v>
      </c>
      <c r="T630" t="n">
        <v>0</v>
      </c>
      <c r="U630" t="n">
        <v>0</v>
      </c>
      <c r="V630" s="2" t="inlineStr"/>
    </row>
    <row r="631" ht="15" customHeight="1">
      <c r="A631" t="inlineStr">
        <is>
          <t>A 7055-2023</t>
        </is>
      </c>
      <c r="B631" t="inlineStr">
        <is>
          <t>avverkningsanmälan</t>
        </is>
      </c>
      <c r="C631" t="inlineStr">
        <is>
          <t>Föryngringsavverkning</t>
        </is>
      </c>
      <c r="D631" s="1" t="n">
        <v>44969</v>
      </c>
      <c r="E631" s="1" t="n">
        <v>46313</v>
      </c>
      <c r="F631" t="inlineStr">
        <is>
          <t>VÄRMLANDS LÄN</t>
        </is>
      </c>
      <c r="G631" t="inlineStr">
        <is>
          <t>SUNNE</t>
        </is>
      </c>
      <c r="I631" t="n">
        <v>1.5</v>
      </c>
      <c r="J631" t="n">
        <v>0</v>
      </c>
      <c r="K631" t="n">
        <v>0</v>
      </c>
      <c r="L631" t="n">
        <v>0</v>
      </c>
      <c r="M631" t="n">
        <v>0</v>
      </c>
      <c r="N631" t="n">
        <v>0</v>
      </c>
      <c r="O631" t="n">
        <v>0</v>
      </c>
      <c r="P631" t="n">
        <v>0</v>
      </c>
      <c r="Q631" t="n">
        <v>0</v>
      </c>
      <c r="R631" t="n">
        <v>0</v>
      </c>
      <c r="S631" t="n">
        <v>0</v>
      </c>
      <c r="T631" t="n">
        <v>0</v>
      </c>
      <c r="U631" t="n">
        <v>0</v>
      </c>
      <c r="V631" s="2" t="inlineStr"/>
    </row>
    <row r="632" ht="15" customHeight="1">
      <c r="A632" t="inlineStr">
        <is>
          <t>A 60182-2022</t>
        </is>
      </c>
      <c r="B632" t="inlineStr">
        <is>
          <t>avverkningsanmälan</t>
        </is>
      </c>
      <c r="C632" t="inlineStr">
        <is>
          <t>Föryngringsavverkning</t>
        </is>
      </c>
      <c r="D632" s="1" t="n">
        <v>44910</v>
      </c>
      <c r="E632" s="1" t="n">
        <v>46313</v>
      </c>
      <c r="F632" t="inlineStr">
        <is>
          <t>VÄRMLANDS LÄN</t>
        </is>
      </c>
      <c r="G632" t="inlineStr">
        <is>
          <t>SUNNE</t>
        </is>
      </c>
      <c r="I632" t="n">
        <v>0.4</v>
      </c>
      <c r="J632" t="n">
        <v>0</v>
      </c>
      <c r="K632" t="n">
        <v>0</v>
      </c>
      <c r="L632" t="n">
        <v>0</v>
      </c>
      <c r="M632" t="n">
        <v>0</v>
      </c>
      <c r="N632" t="n">
        <v>0</v>
      </c>
      <c r="O632" t="n">
        <v>0</v>
      </c>
      <c r="P632" t="n">
        <v>0</v>
      </c>
      <c r="Q632" t="n">
        <v>0</v>
      </c>
      <c r="R632" t="n">
        <v>0</v>
      </c>
      <c r="S632" t="n">
        <v>0</v>
      </c>
      <c r="T632" t="n">
        <v>0</v>
      </c>
      <c r="U632" t="n">
        <v>0</v>
      </c>
      <c r="V632" s="2" t="inlineStr"/>
    </row>
    <row r="633" ht="15" customHeight="1">
      <c r="A633" t="inlineStr">
        <is>
          <t>A 63280-2025</t>
        </is>
      </c>
      <c r="B633" t="inlineStr">
        <is>
          <t>avverkningsanmälan</t>
        </is>
      </c>
      <c r="C633" t="inlineStr">
        <is>
          <t>Föryngringsavverkning</t>
        </is>
      </c>
      <c r="D633" s="1" t="n">
        <v>46010</v>
      </c>
      <c r="E633" s="1" t="n">
        <v>46313</v>
      </c>
      <c r="F633" t="inlineStr">
        <is>
          <t>VÄRMLANDS LÄN</t>
        </is>
      </c>
      <c r="G633" t="inlineStr">
        <is>
          <t>SUNNE</t>
        </is>
      </c>
      <c r="H633" t="inlineStr">
        <is>
          <t>Kyrkan</t>
        </is>
      </c>
      <c r="I633" t="n">
        <v>7.9</v>
      </c>
      <c r="J633" t="n">
        <v>0</v>
      </c>
      <c r="K633" t="n">
        <v>0</v>
      </c>
      <c r="L633" t="n">
        <v>0</v>
      </c>
      <c r="M633" t="n">
        <v>0</v>
      </c>
      <c r="N633" t="n">
        <v>0</v>
      </c>
      <c r="O633" t="n">
        <v>0</v>
      </c>
      <c r="P633" t="n">
        <v>0</v>
      </c>
      <c r="Q633" t="n">
        <v>0</v>
      </c>
      <c r="R633" t="n">
        <v>0</v>
      </c>
      <c r="S633" t="n">
        <v>0</v>
      </c>
      <c r="T633" t="n">
        <v>0</v>
      </c>
      <c r="U633" t="n">
        <v>0</v>
      </c>
      <c r="V633" s="2" t="inlineStr"/>
    </row>
    <row r="634" ht="15" customHeight="1">
      <c r="A634" t="inlineStr">
        <is>
          <t>A 18179-2023</t>
        </is>
      </c>
      <c r="B634" t="inlineStr">
        <is>
          <t>avverkningsanmälan</t>
        </is>
      </c>
      <c r="C634" t="inlineStr">
        <is>
          <t>Föryngringsavverkning</t>
        </is>
      </c>
      <c r="D634" s="1" t="n">
        <v>45041</v>
      </c>
      <c r="E634" s="1" t="n">
        <v>46313</v>
      </c>
      <c r="F634" t="inlineStr">
        <is>
          <t>VÄRMLANDS LÄN</t>
        </is>
      </c>
      <c r="G634" t="inlineStr">
        <is>
          <t>SUNNE</t>
        </is>
      </c>
      <c r="I634" t="n">
        <v>1.8</v>
      </c>
      <c r="J634" t="n">
        <v>0</v>
      </c>
      <c r="K634" t="n">
        <v>0</v>
      </c>
      <c r="L634" t="n">
        <v>0</v>
      </c>
      <c r="M634" t="n">
        <v>0</v>
      </c>
      <c r="N634" t="n">
        <v>0</v>
      </c>
      <c r="O634" t="n">
        <v>0</v>
      </c>
      <c r="P634" t="n">
        <v>0</v>
      </c>
      <c r="Q634" t="n">
        <v>0</v>
      </c>
      <c r="R634" t="n">
        <v>0</v>
      </c>
      <c r="S634" t="n">
        <v>0</v>
      </c>
      <c r="T634" t="n">
        <v>0</v>
      </c>
      <c r="U634" t="n">
        <v>0</v>
      </c>
      <c r="V634" s="2" t="inlineStr"/>
    </row>
    <row r="635" ht="15" customHeight="1">
      <c r="A635" t="inlineStr">
        <is>
          <t>A 43083-2022</t>
        </is>
      </c>
      <c r="B635" t="inlineStr">
        <is>
          <t>avverkningsanmälan</t>
        </is>
      </c>
      <c r="C635" t="inlineStr">
        <is>
          <t>Föryngringsavverkning</t>
        </is>
      </c>
      <c r="D635" s="1" t="n">
        <v>44833</v>
      </c>
      <c r="E635" s="1" t="n">
        <v>46313</v>
      </c>
      <c r="F635" t="inlineStr">
        <is>
          <t>VÄRMLANDS LÄN</t>
        </is>
      </c>
      <c r="G635" t="inlineStr">
        <is>
          <t>SUNNE</t>
        </is>
      </c>
      <c r="I635" t="n">
        <v>3.1</v>
      </c>
      <c r="J635" t="n">
        <v>0</v>
      </c>
      <c r="K635" t="n">
        <v>0</v>
      </c>
      <c r="L635" t="n">
        <v>0</v>
      </c>
      <c r="M635" t="n">
        <v>0</v>
      </c>
      <c r="N635" t="n">
        <v>0</v>
      </c>
      <c r="O635" t="n">
        <v>0</v>
      </c>
      <c r="P635" t="n">
        <v>0</v>
      </c>
      <c r="Q635" t="n">
        <v>0</v>
      </c>
      <c r="R635" t="n">
        <v>0</v>
      </c>
      <c r="S635" t="n">
        <v>0</v>
      </c>
      <c r="T635" t="n">
        <v>0</v>
      </c>
      <c r="U635" t="n">
        <v>0</v>
      </c>
      <c r="V635" s="2" t="inlineStr"/>
    </row>
    <row r="636" ht="15" customHeight="1">
      <c r="A636" t="inlineStr">
        <is>
          <t>A 63705-2025</t>
        </is>
      </c>
      <c r="B636" t="inlineStr">
        <is>
          <t>avverkningsanmälan</t>
        </is>
      </c>
      <c r="C636" t="inlineStr">
        <is>
          <t>Föryngringsavverkning</t>
        </is>
      </c>
      <c r="D636" s="1" t="n">
        <v>46014</v>
      </c>
      <c r="E636" s="1" t="n">
        <v>46313</v>
      </c>
      <c r="F636" t="inlineStr">
        <is>
          <t>VÄRMLANDS LÄN</t>
        </is>
      </c>
      <c r="G636" t="inlineStr">
        <is>
          <t>SUNNE</t>
        </is>
      </c>
      <c r="I636" t="n">
        <v>0.3</v>
      </c>
      <c r="J636" t="n">
        <v>0</v>
      </c>
      <c r="K636" t="n">
        <v>0</v>
      </c>
      <c r="L636" t="n">
        <v>0</v>
      </c>
      <c r="M636" t="n">
        <v>0</v>
      </c>
      <c r="N636" t="n">
        <v>0</v>
      </c>
      <c r="O636" t="n">
        <v>0</v>
      </c>
      <c r="P636" t="n">
        <v>0</v>
      </c>
      <c r="Q636" t="n">
        <v>0</v>
      </c>
      <c r="R636" t="n">
        <v>0</v>
      </c>
      <c r="S636" t="n">
        <v>0</v>
      </c>
      <c r="T636" t="n">
        <v>0</v>
      </c>
      <c r="U636" t="n">
        <v>0</v>
      </c>
      <c r="V636" s="2" t="inlineStr"/>
    </row>
    <row r="637" ht="15" customHeight="1">
      <c r="A637" t="inlineStr">
        <is>
          <t>A 60541-2023</t>
        </is>
      </c>
      <c r="B637" t="inlineStr">
        <is>
          <t>avverkningsanmälan</t>
        </is>
      </c>
      <c r="C637" t="inlineStr">
        <is>
          <t>Föryngringsavverkning</t>
        </is>
      </c>
      <c r="D637" s="1" t="n">
        <v>45259</v>
      </c>
      <c r="E637" s="1" t="n">
        <v>46313</v>
      </c>
      <c r="F637" t="inlineStr">
        <is>
          <t>VÄRMLANDS LÄN</t>
        </is>
      </c>
      <c r="G637" t="inlineStr">
        <is>
          <t>SUNNE</t>
        </is>
      </c>
      <c r="I637" t="n">
        <v>11.1</v>
      </c>
      <c r="J637" t="n">
        <v>0</v>
      </c>
      <c r="K637" t="n">
        <v>0</v>
      </c>
      <c r="L637" t="n">
        <v>0</v>
      </c>
      <c r="M637" t="n">
        <v>0</v>
      </c>
      <c r="N637" t="n">
        <v>0</v>
      </c>
      <c r="O637" t="n">
        <v>0</v>
      </c>
      <c r="P637" t="n">
        <v>0</v>
      </c>
      <c r="Q637" t="n">
        <v>0</v>
      </c>
      <c r="R637" t="n">
        <v>0</v>
      </c>
      <c r="S637" t="n">
        <v>0</v>
      </c>
      <c r="T637" t="n">
        <v>0</v>
      </c>
      <c r="U637" t="n">
        <v>0</v>
      </c>
      <c r="V637" s="2" t="inlineStr"/>
    </row>
    <row r="638" ht="15" customHeight="1">
      <c r="A638" t="inlineStr">
        <is>
          <t>A 68000-2021</t>
        </is>
      </c>
      <c r="B638" t="inlineStr">
        <is>
          <t>avverkningsanmälan</t>
        </is>
      </c>
      <c r="C638" t="inlineStr">
        <is>
          <t>Föryngringsavverkning</t>
        </is>
      </c>
      <c r="D638" s="1" t="n">
        <v>44525</v>
      </c>
      <c r="E638" s="1" t="n">
        <v>46313</v>
      </c>
      <c r="F638" t="inlineStr">
        <is>
          <t>VÄRMLANDS LÄN</t>
        </is>
      </c>
      <c r="G638" t="inlineStr">
        <is>
          <t>SUNNE</t>
        </is>
      </c>
      <c r="I638" t="n">
        <v>1.1</v>
      </c>
      <c r="J638" t="n">
        <v>0</v>
      </c>
      <c r="K638" t="n">
        <v>0</v>
      </c>
      <c r="L638" t="n">
        <v>0</v>
      </c>
      <c r="M638" t="n">
        <v>0</v>
      </c>
      <c r="N638" t="n">
        <v>0</v>
      </c>
      <c r="O638" t="n">
        <v>0</v>
      </c>
      <c r="P638" t="n">
        <v>0</v>
      </c>
      <c r="Q638" t="n">
        <v>0</v>
      </c>
      <c r="R638" t="n">
        <v>0</v>
      </c>
      <c r="S638" t="n">
        <v>0</v>
      </c>
      <c r="T638" t="n">
        <v>0</v>
      </c>
      <c r="U638" t="n">
        <v>0</v>
      </c>
      <c r="V638" s="2" t="inlineStr"/>
    </row>
    <row r="639" ht="15" customHeight="1">
      <c r="A639" t="inlineStr">
        <is>
          <t>A 63704-2025</t>
        </is>
      </c>
      <c r="B639" t="inlineStr">
        <is>
          <t>avverkningsanmälan</t>
        </is>
      </c>
      <c r="C639" t="inlineStr">
        <is>
          <t>Föryngringsavverkning</t>
        </is>
      </c>
      <c r="D639" s="1" t="n">
        <v>46014</v>
      </c>
      <c r="E639" s="1" t="n">
        <v>46313</v>
      </c>
      <c r="F639" t="inlineStr">
        <is>
          <t>VÄRMLANDS LÄN</t>
        </is>
      </c>
      <c r="G639" t="inlineStr">
        <is>
          <t>SUNNE</t>
        </is>
      </c>
      <c r="I639" t="n">
        <v>3.2</v>
      </c>
      <c r="J639" t="n">
        <v>0</v>
      </c>
      <c r="K639" t="n">
        <v>0</v>
      </c>
      <c r="L639" t="n">
        <v>0</v>
      </c>
      <c r="M639" t="n">
        <v>0</v>
      </c>
      <c r="N639" t="n">
        <v>0</v>
      </c>
      <c r="O639" t="n">
        <v>0</v>
      </c>
      <c r="P639" t="n">
        <v>0</v>
      </c>
      <c r="Q639" t="n">
        <v>0</v>
      </c>
      <c r="R639" t="n">
        <v>0</v>
      </c>
      <c r="S639" t="n">
        <v>0</v>
      </c>
      <c r="T639" t="n">
        <v>0</v>
      </c>
      <c r="U639" t="n">
        <v>0</v>
      </c>
      <c r="V639" s="2" t="inlineStr"/>
    </row>
    <row r="640" ht="15" customHeight="1">
      <c r="A640" t="inlineStr">
        <is>
          <t>A 67-2026</t>
        </is>
      </c>
      <c r="B640" t="inlineStr">
        <is>
          <t>avverkningsanmälan</t>
        </is>
      </c>
      <c r="C640" t="inlineStr">
        <is>
          <t>Föryngringsavverkning</t>
        </is>
      </c>
      <c r="D640" s="1" t="n">
        <v>46014</v>
      </c>
      <c r="E640" s="1" t="n">
        <v>46313</v>
      </c>
      <c r="F640" t="inlineStr">
        <is>
          <t>VÄRMLANDS LÄN</t>
        </is>
      </c>
      <c r="G640" t="inlineStr">
        <is>
          <t>SUNNE</t>
        </is>
      </c>
      <c r="I640" t="n">
        <v>0.7</v>
      </c>
      <c r="J640" t="n">
        <v>0</v>
      </c>
      <c r="K640" t="n">
        <v>0</v>
      </c>
      <c r="L640" t="n">
        <v>0</v>
      </c>
      <c r="M640" t="n">
        <v>0</v>
      </c>
      <c r="N640" t="n">
        <v>0</v>
      </c>
      <c r="O640" t="n">
        <v>0</v>
      </c>
      <c r="P640" t="n">
        <v>0</v>
      </c>
      <c r="Q640" t="n">
        <v>0</v>
      </c>
      <c r="R640" t="n">
        <v>0</v>
      </c>
      <c r="S640" t="n">
        <v>0</v>
      </c>
      <c r="T640" t="n">
        <v>0</v>
      </c>
      <c r="U640" t="n">
        <v>0</v>
      </c>
      <c r="V640" s="2" t="inlineStr"/>
    </row>
    <row r="641" ht="15" customHeight="1">
      <c r="A641" t="inlineStr">
        <is>
          <t>A 60633-2024</t>
        </is>
      </c>
      <c r="B641" t="inlineStr">
        <is>
          <t>avverkningsanmälan</t>
        </is>
      </c>
      <c r="C641" t="inlineStr">
        <is>
          <t>Föryngringsavverkning</t>
        </is>
      </c>
      <c r="D641" s="1" t="n">
        <v>45644</v>
      </c>
      <c r="E641" s="1" t="n">
        <v>46313</v>
      </c>
      <c r="F641" t="inlineStr">
        <is>
          <t>VÄRMLANDS LÄN</t>
        </is>
      </c>
      <c r="G641" t="inlineStr">
        <is>
          <t>SUNNE</t>
        </is>
      </c>
      <c r="I641" t="n">
        <v>0.6</v>
      </c>
      <c r="J641" t="n">
        <v>0</v>
      </c>
      <c r="K641" t="n">
        <v>0</v>
      </c>
      <c r="L641" t="n">
        <v>0</v>
      </c>
      <c r="M641" t="n">
        <v>0</v>
      </c>
      <c r="N641" t="n">
        <v>0</v>
      </c>
      <c r="O641" t="n">
        <v>0</v>
      </c>
      <c r="P641" t="n">
        <v>0</v>
      </c>
      <c r="Q641" t="n">
        <v>0</v>
      </c>
      <c r="R641" t="n">
        <v>0</v>
      </c>
      <c r="S641" t="n">
        <v>0</v>
      </c>
      <c r="T641" t="n">
        <v>0</v>
      </c>
      <c r="U641" t="n">
        <v>0</v>
      </c>
      <c r="V641" s="2" t="inlineStr"/>
    </row>
    <row r="642" ht="15" customHeight="1">
      <c r="A642" t="inlineStr">
        <is>
          <t>A 64048-2025</t>
        </is>
      </c>
      <c r="B642" t="inlineStr">
        <is>
          <t>avverkningsanmälan</t>
        </is>
      </c>
      <c r="C642" t="inlineStr">
        <is>
          <t>Föryngringsavverkning</t>
        </is>
      </c>
      <c r="D642" s="1" t="n">
        <v>46021</v>
      </c>
      <c r="E642" s="1" t="n">
        <v>46313</v>
      </c>
      <c r="F642" t="inlineStr">
        <is>
          <t>VÄRMLANDS LÄN</t>
        </is>
      </c>
      <c r="G642" t="inlineStr">
        <is>
          <t>SUNNE</t>
        </is>
      </c>
      <c r="I642" t="n">
        <v>1.6</v>
      </c>
      <c r="J642" t="n">
        <v>0</v>
      </c>
      <c r="K642" t="n">
        <v>0</v>
      </c>
      <c r="L642" t="n">
        <v>0</v>
      </c>
      <c r="M642" t="n">
        <v>0</v>
      </c>
      <c r="N642" t="n">
        <v>0</v>
      </c>
      <c r="O642" t="n">
        <v>0</v>
      </c>
      <c r="P642" t="n">
        <v>0</v>
      </c>
      <c r="Q642" t="n">
        <v>0</v>
      </c>
      <c r="R642" t="n">
        <v>0</v>
      </c>
      <c r="S642" t="n">
        <v>0</v>
      </c>
      <c r="T642" t="n">
        <v>0</v>
      </c>
      <c r="U642" t="n">
        <v>0</v>
      </c>
      <c r="V642" s="2" t="inlineStr"/>
    </row>
    <row r="643" ht="15" customHeight="1">
      <c r="A643" t="inlineStr">
        <is>
          <t>A 47092-2024</t>
        </is>
      </c>
      <c r="B643" t="inlineStr">
        <is>
          <t>avverkningsanmälan</t>
        </is>
      </c>
      <c r="C643" t="inlineStr">
        <is>
          <t>Föryngringsavverkning</t>
        </is>
      </c>
      <c r="D643" s="1" t="n">
        <v>45586</v>
      </c>
      <c r="E643" s="1" t="n">
        <v>46313</v>
      </c>
      <c r="F643" t="inlineStr">
        <is>
          <t>VÄRMLANDS LÄN</t>
        </is>
      </c>
      <c r="G643" t="inlineStr">
        <is>
          <t>SUNNE</t>
        </is>
      </c>
      <c r="H643" t="inlineStr">
        <is>
          <t>Kommuner</t>
        </is>
      </c>
      <c r="I643" t="n">
        <v>1.1</v>
      </c>
      <c r="J643" t="n">
        <v>0</v>
      </c>
      <c r="K643" t="n">
        <v>0</v>
      </c>
      <c r="L643" t="n">
        <v>0</v>
      </c>
      <c r="M643" t="n">
        <v>0</v>
      </c>
      <c r="N643" t="n">
        <v>0</v>
      </c>
      <c r="O643" t="n">
        <v>0</v>
      </c>
      <c r="P643" t="n">
        <v>0</v>
      </c>
      <c r="Q643" t="n">
        <v>0</v>
      </c>
      <c r="R643" t="n">
        <v>0</v>
      </c>
      <c r="S643" t="n">
        <v>0</v>
      </c>
      <c r="T643" t="n">
        <v>0</v>
      </c>
      <c r="U643" t="n">
        <v>0</v>
      </c>
      <c r="V643" s="2" t="inlineStr"/>
    </row>
    <row r="644" ht="15" customHeight="1">
      <c r="A644" t="inlineStr">
        <is>
          <t>A 63832-2025</t>
        </is>
      </c>
      <c r="B644" t="inlineStr">
        <is>
          <t>avverkningsanmälan</t>
        </is>
      </c>
      <c r="C644" t="inlineStr">
        <is>
          <t>Föryngringsavverkning</t>
        </is>
      </c>
      <c r="D644" s="1" t="n">
        <v>46020</v>
      </c>
      <c r="E644" s="1" t="n">
        <v>46313</v>
      </c>
      <c r="F644" t="inlineStr">
        <is>
          <t>VÄRMLANDS LÄN</t>
        </is>
      </c>
      <c r="G644" t="inlineStr">
        <is>
          <t>SUNNE</t>
        </is>
      </c>
      <c r="I644" t="n">
        <v>3.3</v>
      </c>
      <c r="J644" t="n">
        <v>0</v>
      </c>
      <c r="K644" t="n">
        <v>0</v>
      </c>
      <c r="L644" t="n">
        <v>0</v>
      </c>
      <c r="M644" t="n">
        <v>0</v>
      </c>
      <c r="N644" t="n">
        <v>0</v>
      </c>
      <c r="O644" t="n">
        <v>0</v>
      </c>
      <c r="P644" t="n">
        <v>0</v>
      </c>
      <c r="Q644" t="n">
        <v>0</v>
      </c>
      <c r="R644" t="n">
        <v>0</v>
      </c>
      <c r="S644" t="n">
        <v>0</v>
      </c>
      <c r="T644" t="n">
        <v>0</v>
      </c>
      <c r="U644" t="n">
        <v>0</v>
      </c>
      <c r="V644" s="2" t="inlineStr"/>
    </row>
    <row r="645" ht="15" customHeight="1">
      <c r="A645" t="inlineStr">
        <is>
          <t>A 64030-2025</t>
        </is>
      </c>
      <c r="B645" t="inlineStr">
        <is>
          <t>avverkningsanmälan</t>
        </is>
      </c>
      <c r="C645" t="inlineStr">
        <is>
          <t>Föryngringsavverkning</t>
        </is>
      </c>
      <c r="D645" s="1" t="n">
        <v>46021</v>
      </c>
      <c r="E645" s="1" t="n">
        <v>46313</v>
      </c>
      <c r="F645" t="inlineStr">
        <is>
          <t>VÄRMLANDS LÄN</t>
        </is>
      </c>
      <c r="G645" t="inlineStr">
        <is>
          <t>SUNNE</t>
        </is>
      </c>
      <c r="I645" t="n">
        <v>3.6</v>
      </c>
      <c r="J645" t="n">
        <v>0</v>
      </c>
      <c r="K645" t="n">
        <v>0</v>
      </c>
      <c r="L645" t="n">
        <v>0</v>
      </c>
      <c r="M645" t="n">
        <v>0</v>
      </c>
      <c r="N645" t="n">
        <v>0</v>
      </c>
      <c r="O645" t="n">
        <v>0</v>
      </c>
      <c r="P645" t="n">
        <v>0</v>
      </c>
      <c r="Q645" t="n">
        <v>0</v>
      </c>
      <c r="R645" t="n">
        <v>0</v>
      </c>
      <c r="S645" t="n">
        <v>0</v>
      </c>
      <c r="T645" t="n">
        <v>0</v>
      </c>
      <c r="U645" t="n">
        <v>0</v>
      </c>
      <c r="V645" s="2" t="inlineStr"/>
    </row>
    <row r="646" ht="15" customHeight="1">
      <c r="A646" t="inlineStr">
        <is>
          <t>A 64024-2025</t>
        </is>
      </c>
      <c r="B646" t="inlineStr">
        <is>
          <t>avverkningsanmälan</t>
        </is>
      </c>
      <c r="C646" t="inlineStr">
        <is>
          <t>Föryngringsavverkning</t>
        </is>
      </c>
      <c r="D646" s="1" t="n">
        <v>46021</v>
      </c>
      <c r="E646" s="1" t="n">
        <v>46313</v>
      </c>
      <c r="F646" t="inlineStr">
        <is>
          <t>VÄRMLANDS LÄN</t>
        </is>
      </c>
      <c r="G646" t="inlineStr">
        <is>
          <t>SUNNE</t>
        </is>
      </c>
      <c r="I646" t="n">
        <v>1.7</v>
      </c>
      <c r="J646" t="n">
        <v>0</v>
      </c>
      <c r="K646" t="n">
        <v>0</v>
      </c>
      <c r="L646" t="n">
        <v>0</v>
      </c>
      <c r="M646" t="n">
        <v>0</v>
      </c>
      <c r="N646" t="n">
        <v>0</v>
      </c>
      <c r="O646" t="n">
        <v>0</v>
      </c>
      <c r="P646" t="n">
        <v>0</v>
      </c>
      <c r="Q646" t="n">
        <v>0</v>
      </c>
      <c r="R646" t="n">
        <v>0</v>
      </c>
      <c r="S646" t="n">
        <v>0</v>
      </c>
      <c r="T646" t="n">
        <v>0</v>
      </c>
      <c r="U646" t="n">
        <v>0</v>
      </c>
      <c r="V646" s="2" t="inlineStr"/>
    </row>
    <row r="647" ht="15" customHeight="1">
      <c r="A647" t="inlineStr">
        <is>
          <t>A 64093-2025</t>
        </is>
      </c>
      <c r="B647" t="inlineStr">
        <is>
          <t>avverkningsanmälan</t>
        </is>
      </c>
      <c r="C647" t="inlineStr">
        <is>
          <t>Föryngringsavverkning</t>
        </is>
      </c>
      <c r="D647" s="1" t="n">
        <v>46021</v>
      </c>
      <c r="E647" s="1" t="n">
        <v>46313</v>
      </c>
      <c r="F647" t="inlineStr">
        <is>
          <t>VÄRMLANDS LÄN</t>
        </is>
      </c>
      <c r="G647" t="inlineStr">
        <is>
          <t>SUNNE</t>
        </is>
      </c>
      <c r="I647" t="n">
        <v>1.1</v>
      </c>
      <c r="J647" t="n">
        <v>0</v>
      </c>
      <c r="K647" t="n">
        <v>0</v>
      </c>
      <c r="L647" t="n">
        <v>0</v>
      </c>
      <c r="M647" t="n">
        <v>0</v>
      </c>
      <c r="N647" t="n">
        <v>0</v>
      </c>
      <c r="O647" t="n">
        <v>0</v>
      </c>
      <c r="P647" t="n">
        <v>0</v>
      </c>
      <c r="Q647" t="n">
        <v>0</v>
      </c>
      <c r="R647" t="n">
        <v>0</v>
      </c>
      <c r="S647" t="n">
        <v>0</v>
      </c>
      <c r="T647" t="n">
        <v>0</v>
      </c>
      <c r="U647" t="n">
        <v>0</v>
      </c>
      <c r="V647" s="2" t="inlineStr"/>
    </row>
    <row r="648" ht="15" customHeight="1">
      <c r="A648" t="inlineStr">
        <is>
          <t>A 63816-2025</t>
        </is>
      </c>
      <c r="B648" t="inlineStr">
        <is>
          <t>avverkningsanmälan</t>
        </is>
      </c>
      <c r="C648" t="inlineStr">
        <is>
          <t>Föryngringsavverkning</t>
        </is>
      </c>
      <c r="D648" s="1" t="n">
        <v>46020</v>
      </c>
      <c r="E648" s="1" t="n">
        <v>46313</v>
      </c>
      <c r="F648" t="inlineStr">
        <is>
          <t>VÄRMLANDS LÄN</t>
        </is>
      </c>
      <c r="G648" t="inlineStr">
        <is>
          <t>SUNNE</t>
        </is>
      </c>
      <c r="I648" t="n">
        <v>5.5</v>
      </c>
      <c r="J648" t="n">
        <v>0</v>
      </c>
      <c r="K648" t="n">
        <v>0</v>
      </c>
      <c r="L648" t="n">
        <v>0</v>
      </c>
      <c r="M648" t="n">
        <v>0</v>
      </c>
      <c r="N648" t="n">
        <v>0</v>
      </c>
      <c r="O648" t="n">
        <v>0</v>
      </c>
      <c r="P648" t="n">
        <v>0</v>
      </c>
      <c r="Q648" t="n">
        <v>0</v>
      </c>
      <c r="R648" t="n">
        <v>0</v>
      </c>
      <c r="S648" t="n">
        <v>0</v>
      </c>
      <c r="T648" t="n">
        <v>0</v>
      </c>
      <c r="U648" t="n">
        <v>0</v>
      </c>
      <c r="V648" s="2" t="inlineStr"/>
    </row>
    <row r="649" ht="15" customHeight="1">
      <c r="A649" t="inlineStr">
        <is>
          <t>A 63817-2025</t>
        </is>
      </c>
      <c r="B649" t="inlineStr">
        <is>
          <t>avverkningsanmälan</t>
        </is>
      </c>
      <c r="C649" t="inlineStr">
        <is>
          <t>Föryngringsavverkning</t>
        </is>
      </c>
      <c r="D649" s="1" t="n">
        <v>46020</v>
      </c>
      <c r="E649" s="1" t="n">
        <v>46313</v>
      </c>
      <c r="F649" t="inlineStr">
        <is>
          <t>VÄRMLANDS LÄN</t>
        </is>
      </c>
      <c r="G649" t="inlineStr">
        <is>
          <t>SUNNE</t>
        </is>
      </c>
      <c r="I649" t="n">
        <v>2</v>
      </c>
      <c r="J649" t="n">
        <v>0</v>
      </c>
      <c r="K649" t="n">
        <v>0</v>
      </c>
      <c r="L649" t="n">
        <v>0</v>
      </c>
      <c r="M649" t="n">
        <v>0</v>
      </c>
      <c r="N649" t="n">
        <v>0</v>
      </c>
      <c r="O649" t="n">
        <v>0</v>
      </c>
      <c r="P649" t="n">
        <v>0</v>
      </c>
      <c r="Q649" t="n">
        <v>0</v>
      </c>
      <c r="R649" t="n">
        <v>0</v>
      </c>
      <c r="S649" t="n">
        <v>0</v>
      </c>
      <c r="T649" t="n">
        <v>0</v>
      </c>
      <c r="U649" t="n">
        <v>0</v>
      </c>
      <c r="V649" s="2" t="inlineStr"/>
    </row>
    <row r="650" ht="15" customHeight="1">
      <c r="A650" t="inlineStr">
        <is>
          <t>A 46792-2024</t>
        </is>
      </c>
      <c r="B650" t="inlineStr">
        <is>
          <t>avverkningsanmälan</t>
        </is>
      </c>
      <c r="C650" t="inlineStr">
        <is>
          <t>Föryngringsavverkning</t>
        </is>
      </c>
      <c r="D650" s="1" t="n">
        <v>45583</v>
      </c>
      <c r="E650" s="1" t="n">
        <v>46313</v>
      </c>
      <c r="F650" t="inlineStr">
        <is>
          <t>VÄRMLANDS LÄN</t>
        </is>
      </c>
      <c r="G650" t="inlineStr">
        <is>
          <t>SUNNE</t>
        </is>
      </c>
      <c r="H650" t="inlineStr">
        <is>
          <t>Kommuner</t>
        </is>
      </c>
      <c r="I650" t="n">
        <v>0.8</v>
      </c>
      <c r="J650" t="n">
        <v>0</v>
      </c>
      <c r="K650" t="n">
        <v>0</v>
      </c>
      <c r="L650" t="n">
        <v>0</v>
      </c>
      <c r="M650" t="n">
        <v>0</v>
      </c>
      <c r="N650" t="n">
        <v>0</v>
      </c>
      <c r="O650" t="n">
        <v>0</v>
      </c>
      <c r="P650" t="n">
        <v>0</v>
      </c>
      <c r="Q650" t="n">
        <v>0</v>
      </c>
      <c r="R650" t="n">
        <v>0</v>
      </c>
      <c r="S650" t="n">
        <v>0</v>
      </c>
      <c r="T650" t="n">
        <v>0</v>
      </c>
      <c r="U650" t="n">
        <v>0</v>
      </c>
      <c r="V650" s="2" t="inlineStr"/>
    </row>
    <row r="651" ht="15" customHeight="1">
      <c r="A651" t="inlineStr">
        <is>
          <t>A 38753-2022</t>
        </is>
      </c>
      <c r="B651" t="inlineStr">
        <is>
          <t>avverkningsanmälan</t>
        </is>
      </c>
      <c r="C651" t="inlineStr">
        <is>
          <t>Föryngringsavverkning</t>
        </is>
      </c>
      <c r="D651" s="1" t="n">
        <v>44816</v>
      </c>
      <c r="E651" s="1" t="n">
        <v>46313</v>
      </c>
      <c r="F651" t="inlineStr">
        <is>
          <t>VÄRMLANDS LÄN</t>
        </is>
      </c>
      <c r="G651" t="inlineStr">
        <is>
          <t>SUNNE</t>
        </is>
      </c>
      <c r="I651" t="n">
        <v>1.1</v>
      </c>
      <c r="J651" t="n">
        <v>0</v>
      </c>
      <c r="K651" t="n">
        <v>0</v>
      </c>
      <c r="L651" t="n">
        <v>0</v>
      </c>
      <c r="M651" t="n">
        <v>0</v>
      </c>
      <c r="N651" t="n">
        <v>0</v>
      </c>
      <c r="O651" t="n">
        <v>0</v>
      </c>
      <c r="P651" t="n">
        <v>0</v>
      </c>
      <c r="Q651" t="n">
        <v>0</v>
      </c>
      <c r="R651" t="n">
        <v>0</v>
      </c>
      <c r="S651" t="n">
        <v>0</v>
      </c>
      <c r="T651" t="n">
        <v>0</v>
      </c>
      <c r="U651" t="n">
        <v>0</v>
      </c>
      <c r="V651" s="2" t="inlineStr"/>
    </row>
    <row r="652" ht="15" customHeight="1">
      <c r="A652" t="inlineStr">
        <is>
          <t>A 43088-2023</t>
        </is>
      </c>
      <c r="B652" t="inlineStr">
        <is>
          <t>avverkningsanmälan</t>
        </is>
      </c>
      <c r="C652" t="inlineStr">
        <is>
          <t>Föryngringsavverkning</t>
        </is>
      </c>
      <c r="D652" s="1" t="n">
        <v>45182</v>
      </c>
      <c r="E652" s="1" t="n">
        <v>46313</v>
      </c>
      <c r="F652" t="inlineStr">
        <is>
          <t>VÄRMLANDS LÄN</t>
        </is>
      </c>
      <c r="G652" t="inlineStr">
        <is>
          <t>SUNNE</t>
        </is>
      </c>
      <c r="I652" t="n">
        <v>12.9</v>
      </c>
      <c r="J652" t="n">
        <v>0</v>
      </c>
      <c r="K652" t="n">
        <v>0</v>
      </c>
      <c r="L652" t="n">
        <v>0</v>
      </c>
      <c r="M652" t="n">
        <v>0</v>
      </c>
      <c r="N652" t="n">
        <v>0</v>
      </c>
      <c r="O652" t="n">
        <v>0</v>
      </c>
      <c r="P652" t="n">
        <v>0</v>
      </c>
      <c r="Q652" t="n">
        <v>0</v>
      </c>
      <c r="R652" t="n">
        <v>0</v>
      </c>
      <c r="S652" t="n">
        <v>0</v>
      </c>
      <c r="T652" t="n">
        <v>0</v>
      </c>
      <c r="U652" t="n">
        <v>0</v>
      </c>
      <c r="V652" s="2" t="inlineStr"/>
    </row>
    <row r="653" ht="15" customHeight="1">
      <c r="A653" t="inlineStr">
        <is>
          <t>A 12097-2023</t>
        </is>
      </c>
      <c r="B653" t="inlineStr">
        <is>
          <t>avverkningsanmälan</t>
        </is>
      </c>
      <c r="C653" t="inlineStr">
        <is>
          <t>Föryngringsavverkning</t>
        </is>
      </c>
      <c r="D653" s="1" t="n">
        <v>44995</v>
      </c>
      <c r="E653" s="1" t="n">
        <v>46313</v>
      </c>
      <c r="F653" t="inlineStr">
        <is>
          <t>VÄRMLANDS LÄN</t>
        </is>
      </c>
      <c r="G653" t="inlineStr">
        <is>
          <t>SUNNE</t>
        </is>
      </c>
      <c r="I653" t="n">
        <v>2.1</v>
      </c>
      <c r="J653" t="n">
        <v>0</v>
      </c>
      <c r="K653" t="n">
        <v>0</v>
      </c>
      <c r="L653" t="n">
        <v>0</v>
      </c>
      <c r="M653" t="n">
        <v>0</v>
      </c>
      <c r="N653" t="n">
        <v>0</v>
      </c>
      <c r="O653" t="n">
        <v>0</v>
      </c>
      <c r="P653" t="n">
        <v>0</v>
      </c>
      <c r="Q653" t="n">
        <v>0</v>
      </c>
      <c r="R653" t="n">
        <v>0</v>
      </c>
      <c r="S653" t="n">
        <v>0</v>
      </c>
      <c r="T653" t="n">
        <v>0</v>
      </c>
      <c r="U653" t="n">
        <v>0</v>
      </c>
      <c r="V653" s="2" t="inlineStr"/>
    </row>
    <row r="654" ht="15" customHeight="1">
      <c r="A654" t="inlineStr">
        <is>
          <t>A 41569-2022</t>
        </is>
      </c>
      <c r="B654" t="inlineStr">
        <is>
          <t>avverkningsanmälan</t>
        </is>
      </c>
      <c r="C654" t="inlineStr">
        <is>
          <t>Föryngringsavverkning</t>
        </is>
      </c>
      <c r="D654" s="1" t="n">
        <v>44827</v>
      </c>
      <c r="E654" s="1" t="n">
        <v>46313</v>
      </c>
      <c r="F654" t="inlineStr">
        <is>
          <t>VÄRMLANDS LÄN</t>
        </is>
      </c>
      <c r="G654" t="inlineStr">
        <is>
          <t>SUNNE</t>
        </is>
      </c>
      <c r="I654" t="n">
        <v>2.5</v>
      </c>
      <c r="J654" t="n">
        <v>0</v>
      </c>
      <c r="K654" t="n">
        <v>0</v>
      </c>
      <c r="L654" t="n">
        <v>0</v>
      </c>
      <c r="M654" t="n">
        <v>0</v>
      </c>
      <c r="N654" t="n">
        <v>0</v>
      </c>
      <c r="O654" t="n">
        <v>0</v>
      </c>
      <c r="P654" t="n">
        <v>0</v>
      </c>
      <c r="Q654" t="n">
        <v>0</v>
      </c>
      <c r="R654" t="n">
        <v>0</v>
      </c>
      <c r="S654" t="n">
        <v>0</v>
      </c>
      <c r="T654" t="n">
        <v>0</v>
      </c>
      <c r="U654" t="n">
        <v>0</v>
      </c>
      <c r="V654" s="2" t="inlineStr"/>
    </row>
    <row r="655" ht="15" customHeight="1">
      <c r="A655" t="inlineStr">
        <is>
          <t>A 14743-2025</t>
        </is>
      </c>
      <c r="B655" t="inlineStr">
        <is>
          <t>avverkningsanmälan</t>
        </is>
      </c>
      <c r="C655" t="inlineStr">
        <is>
          <t>Föryngringsavverkning</t>
        </is>
      </c>
      <c r="D655" s="1" t="n">
        <v>45742</v>
      </c>
      <c r="E655" s="1" t="n">
        <v>46313</v>
      </c>
      <c r="F655" t="inlineStr">
        <is>
          <t>VÄRMLANDS LÄN</t>
        </is>
      </c>
      <c r="G655" t="inlineStr">
        <is>
          <t>SUNNE</t>
        </is>
      </c>
      <c r="I655" t="n">
        <v>0.7</v>
      </c>
      <c r="J655" t="n">
        <v>0</v>
      </c>
      <c r="K655" t="n">
        <v>0</v>
      </c>
      <c r="L655" t="n">
        <v>0</v>
      </c>
      <c r="M655" t="n">
        <v>0</v>
      </c>
      <c r="N655" t="n">
        <v>0</v>
      </c>
      <c r="O655" t="n">
        <v>0</v>
      </c>
      <c r="P655" t="n">
        <v>0</v>
      </c>
      <c r="Q655" t="n">
        <v>0</v>
      </c>
      <c r="R655" t="n">
        <v>0</v>
      </c>
      <c r="S655" t="n">
        <v>0</v>
      </c>
      <c r="T655" t="n">
        <v>0</v>
      </c>
      <c r="U655" t="n">
        <v>0</v>
      </c>
      <c r="V655" s="2" t="inlineStr"/>
    </row>
    <row r="656" ht="15" customHeight="1">
      <c r="A656" t="inlineStr">
        <is>
          <t>A 60217-2022</t>
        </is>
      </c>
      <c r="B656" t="inlineStr">
        <is>
          <t>avverkningsanmälan</t>
        </is>
      </c>
      <c r="C656" t="inlineStr">
        <is>
          <t>Föryngringsavverkning</t>
        </is>
      </c>
      <c r="D656" s="1" t="n">
        <v>44903</v>
      </c>
      <c r="E656" s="1" t="n">
        <v>46313</v>
      </c>
      <c r="F656" t="inlineStr">
        <is>
          <t>VÄRMLANDS LÄN</t>
        </is>
      </c>
      <c r="G656" t="inlineStr">
        <is>
          <t>SUNNE</t>
        </is>
      </c>
      <c r="I656" t="n">
        <v>2.5</v>
      </c>
      <c r="J656" t="n">
        <v>0</v>
      </c>
      <c r="K656" t="n">
        <v>0</v>
      </c>
      <c r="L656" t="n">
        <v>0</v>
      </c>
      <c r="M656" t="n">
        <v>0</v>
      </c>
      <c r="N656" t="n">
        <v>0</v>
      </c>
      <c r="O656" t="n">
        <v>0</v>
      </c>
      <c r="P656" t="n">
        <v>0</v>
      </c>
      <c r="Q656" t="n">
        <v>0</v>
      </c>
      <c r="R656" t="n">
        <v>0</v>
      </c>
      <c r="S656" t="n">
        <v>0</v>
      </c>
      <c r="T656" t="n">
        <v>0</v>
      </c>
      <c r="U656" t="n">
        <v>0</v>
      </c>
      <c r="V656" s="2" t="inlineStr"/>
    </row>
    <row r="657" ht="15" customHeight="1">
      <c r="A657" t="inlineStr">
        <is>
          <t>A 36233-2024</t>
        </is>
      </c>
      <c r="B657" t="inlineStr">
        <is>
          <t>avverkningsanmälan</t>
        </is>
      </c>
      <c r="C657" t="inlineStr">
        <is>
          <t>Föryngringsavverkning</t>
        </is>
      </c>
      <c r="D657" s="1" t="n">
        <v>45534</v>
      </c>
      <c r="E657" s="1" t="n">
        <v>46313</v>
      </c>
      <c r="F657" t="inlineStr">
        <is>
          <t>VÄRMLANDS LÄN</t>
        </is>
      </c>
      <c r="G657" t="inlineStr">
        <is>
          <t>SUNNE</t>
        </is>
      </c>
      <c r="I657" t="n">
        <v>1</v>
      </c>
      <c r="J657" t="n">
        <v>0</v>
      </c>
      <c r="K657" t="n">
        <v>0</v>
      </c>
      <c r="L657" t="n">
        <v>0</v>
      </c>
      <c r="M657" t="n">
        <v>0</v>
      </c>
      <c r="N657" t="n">
        <v>0</v>
      </c>
      <c r="O657" t="n">
        <v>0</v>
      </c>
      <c r="P657" t="n">
        <v>0</v>
      </c>
      <c r="Q657" t="n">
        <v>0</v>
      </c>
      <c r="R657" t="n">
        <v>0</v>
      </c>
      <c r="S657" t="n">
        <v>0</v>
      </c>
      <c r="T657" t="n">
        <v>0</v>
      </c>
      <c r="U657" t="n">
        <v>0</v>
      </c>
      <c r="V657" s="2" t="inlineStr"/>
    </row>
    <row r="658" ht="15" customHeight="1">
      <c r="A658" t="inlineStr">
        <is>
          <t>A 1311-2026</t>
        </is>
      </c>
      <c r="B658" t="inlineStr">
        <is>
          <t>avverkningsanmälan</t>
        </is>
      </c>
      <c r="C658" t="inlineStr">
        <is>
          <t>Föryngringsavverkning</t>
        </is>
      </c>
      <c r="D658" s="1" t="n">
        <v>46031</v>
      </c>
      <c r="E658" s="1" t="n">
        <v>46313</v>
      </c>
      <c r="F658" t="inlineStr">
        <is>
          <t>VÄRMLANDS LÄN</t>
        </is>
      </c>
      <c r="G658" t="inlineStr">
        <is>
          <t>SUNNE</t>
        </is>
      </c>
      <c r="I658" t="n">
        <v>1</v>
      </c>
      <c r="J658" t="n">
        <v>0</v>
      </c>
      <c r="K658" t="n">
        <v>0</v>
      </c>
      <c r="L658" t="n">
        <v>0</v>
      </c>
      <c r="M658" t="n">
        <v>0</v>
      </c>
      <c r="N658" t="n">
        <v>0</v>
      </c>
      <c r="O658" t="n">
        <v>0</v>
      </c>
      <c r="P658" t="n">
        <v>0</v>
      </c>
      <c r="Q658" t="n">
        <v>0</v>
      </c>
      <c r="R658" t="n">
        <v>0</v>
      </c>
      <c r="S658" t="n">
        <v>0</v>
      </c>
      <c r="T658" t="n">
        <v>0</v>
      </c>
      <c r="U658" t="n">
        <v>0</v>
      </c>
      <c r="V658" s="2" t="inlineStr"/>
    </row>
    <row r="659" ht="15" customHeight="1">
      <c r="A659" t="inlineStr">
        <is>
          <t>A 25173-2026</t>
        </is>
      </c>
      <c r="B659" t="inlineStr">
        <is>
          <t>avverkningsanmälan</t>
        </is>
      </c>
      <c r="C659" t="inlineStr">
        <is>
          <t>Föryngringsavverkning</t>
        </is>
      </c>
      <c r="D659" s="1" t="n">
        <v>46175</v>
      </c>
      <c r="E659" s="1" t="n">
        <v>46313</v>
      </c>
      <c r="F659" t="inlineStr">
        <is>
          <t>VÄRMLANDS LÄN</t>
        </is>
      </c>
      <c r="G659" t="inlineStr">
        <is>
          <t>SUNNE</t>
        </is>
      </c>
      <c r="I659" t="n">
        <v>0.5</v>
      </c>
      <c r="J659" t="n">
        <v>0</v>
      </c>
      <c r="K659" t="n">
        <v>0</v>
      </c>
      <c r="L659" t="n">
        <v>0</v>
      </c>
      <c r="M659" t="n">
        <v>0</v>
      </c>
      <c r="N659" t="n">
        <v>0</v>
      </c>
      <c r="O659" t="n">
        <v>0</v>
      </c>
      <c r="P659" t="n">
        <v>0</v>
      </c>
      <c r="Q659" t="n">
        <v>0</v>
      </c>
      <c r="R659" t="n">
        <v>0</v>
      </c>
      <c r="S659" t="n">
        <v>0</v>
      </c>
      <c r="T659" t="n">
        <v>0</v>
      </c>
      <c r="U659" t="n">
        <v>0</v>
      </c>
      <c r="V659" s="2" t="inlineStr"/>
    </row>
    <row r="660" ht="15" customHeight="1">
      <c r="A660" t="inlineStr">
        <is>
          <t>A 1842-2026</t>
        </is>
      </c>
      <c r="B660" t="inlineStr">
        <is>
          <t>avverkningsanmälan</t>
        </is>
      </c>
      <c r="C660" t="inlineStr">
        <is>
          <t>Föryngringsavverkning</t>
        </is>
      </c>
      <c r="D660" s="1" t="n">
        <v>46035</v>
      </c>
      <c r="E660" s="1" t="n">
        <v>46313</v>
      </c>
      <c r="F660" t="inlineStr">
        <is>
          <t>VÄRMLANDS LÄN</t>
        </is>
      </c>
      <c r="G660" t="inlineStr">
        <is>
          <t>SUNNE</t>
        </is>
      </c>
      <c r="I660" t="n">
        <v>0.5</v>
      </c>
      <c r="J660" t="n">
        <v>0</v>
      </c>
      <c r="K660" t="n">
        <v>0</v>
      </c>
      <c r="L660" t="n">
        <v>0</v>
      </c>
      <c r="M660" t="n">
        <v>0</v>
      </c>
      <c r="N660" t="n">
        <v>0</v>
      </c>
      <c r="O660" t="n">
        <v>0</v>
      </c>
      <c r="P660" t="n">
        <v>0</v>
      </c>
      <c r="Q660" t="n">
        <v>0</v>
      </c>
      <c r="R660" t="n">
        <v>0</v>
      </c>
      <c r="S660" t="n">
        <v>0</v>
      </c>
      <c r="T660" t="n">
        <v>0</v>
      </c>
      <c r="U660" t="n">
        <v>0</v>
      </c>
      <c r="V660" s="2" t="inlineStr"/>
    </row>
    <row r="661" ht="15" customHeight="1">
      <c r="A661" t="inlineStr">
        <is>
          <t>A 6328-2023</t>
        </is>
      </c>
      <c r="B661" t="inlineStr">
        <is>
          <t>avverkningsanmälan</t>
        </is>
      </c>
      <c r="C661" t="inlineStr">
        <is>
          <t>Föryngringsavverkning</t>
        </is>
      </c>
      <c r="D661" s="1" t="n">
        <v>44965</v>
      </c>
      <c r="E661" s="1" t="n">
        <v>46313</v>
      </c>
      <c r="F661" t="inlineStr">
        <is>
          <t>VÄRMLANDS LÄN</t>
        </is>
      </c>
      <c r="G661" t="inlineStr">
        <is>
          <t>SUNNE</t>
        </is>
      </c>
      <c r="I661" t="n">
        <v>1.2</v>
      </c>
      <c r="J661" t="n">
        <v>0</v>
      </c>
      <c r="K661" t="n">
        <v>0</v>
      </c>
      <c r="L661" t="n">
        <v>0</v>
      </c>
      <c r="M661" t="n">
        <v>0</v>
      </c>
      <c r="N661" t="n">
        <v>0</v>
      </c>
      <c r="O661" t="n">
        <v>0</v>
      </c>
      <c r="P661" t="n">
        <v>0</v>
      </c>
      <c r="Q661" t="n">
        <v>0</v>
      </c>
      <c r="R661" t="n">
        <v>0</v>
      </c>
      <c r="S661" t="n">
        <v>0</v>
      </c>
      <c r="T661" t="n">
        <v>0</v>
      </c>
      <c r="U661" t="n">
        <v>0</v>
      </c>
      <c r="V661" s="2" t="inlineStr"/>
    </row>
    <row r="662" ht="15" customHeight="1">
      <c r="A662" t="inlineStr">
        <is>
          <t>A 25237-2026</t>
        </is>
      </c>
      <c r="B662" t="inlineStr">
        <is>
          <t>avverkningsanmälan</t>
        </is>
      </c>
      <c r="C662" t="inlineStr">
        <is>
          <t>Föryngringsavverkning</t>
        </is>
      </c>
      <c r="D662" s="1" t="n">
        <v>46175</v>
      </c>
      <c r="E662" s="1" t="n">
        <v>46313</v>
      </c>
      <c r="F662" t="inlineStr">
        <is>
          <t>VÄRMLANDS LÄN</t>
        </is>
      </c>
      <c r="G662" t="inlineStr">
        <is>
          <t>SUNNE</t>
        </is>
      </c>
      <c r="I662" t="n">
        <v>1</v>
      </c>
      <c r="J662" t="n">
        <v>0</v>
      </c>
      <c r="K662" t="n">
        <v>0</v>
      </c>
      <c r="L662" t="n">
        <v>0</v>
      </c>
      <c r="M662" t="n">
        <v>0</v>
      </c>
      <c r="N662" t="n">
        <v>0</v>
      </c>
      <c r="O662" t="n">
        <v>0</v>
      </c>
      <c r="P662" t="n">
        <v>0</v>
      </c>
      <c r="Q662" t="n">
        <v>0</v>
      </c>
      <c r="R662" t="n">
        <v>0</v>
      </c>
      <c r="S662" t="n">
        <v>0</v>
      </c>
      <c r="T662" t="n">
        <v>0</v>
      </c>
      <c r="U662" t="n">
        <v>0</v>
      </c>
      <c r="V662" s="2" t="inlineStr"/>
    </row>
    <row r="663" ht="15" customHeight="1">
      <c r="A663" t="inlineStr">
        <is>
          <t>A 43305-2022</t>
        </is>
      </c>
      <c r="B663" t="inlineStr">
        <is>
          <t>avverkningsanmälan</t>
        </is>
      </c>
      <c r="C663" t="inlineStr">
        <is>
          <t>Föryngringsavverkning</t>
        </is>
      </c>
      <c r="D663" s="1" t="n">
        <v>44834</v>
      </c>
      <c r="E663" s="1" t="n">
        <v>46313</v>
      </c>
      <c r="F663" t="inlineStr">
        <is>
          <t>VÄRMLANDS LÄN</t>
        </is>
      </c>
      <c r="G663" t="inlineStr">
        <is>
          <t>SUNNE</t>
        </is>
      </c>
      <c r="I663" t="n">
        <v>1.8</v>
      </c>
      <c r="J663" t="n">
        <v>0</v>
      </c>
      <c r="K663" t="n">
        <v>0</v>
      </c>
      <c r="L663" t="n">
        <v>0</v>
      </c>
      <c r="M663" t="n">
        <v>0</v>
      </c>
      <c r="N663" t="n">
        <v>0</v>
      </c>
      <c r="O663" t="n">
        <v>0</v>
      </c>
      <c r="P663" t="n">
        <v>0</v>
      </c>
      <c r="Q663" t="n">
        <v>0</v>
      </c>
      <c r="R663" t="n">
        <v>0</v>
      </c>
      <c r="S663" t="n">
        <v>0</v>
      </c>
      <c r="T663" t="n">
        <v>0</v>
      </c>
      <c r="U663" t="n">
        <v>0</v>
      </c>
      <c r="V663" s="2" t="inlineStr"/>
    </row>
    <row r="664" ht="15" customHeight="1">
      <c r="A664" t="inlineStr">
        <is>
          <t>A 59814-2025</t>
        </is>
      </c>
      <c r="B664" t="inlineStr">
        <is>
          <t>avverkningsanmälan</t>
        </is>
      </c>
      <c r="C664" t="inlineStr">
        <is>
          <t>Föryngringsavverkning</t>
        </is>
      </c>
      <c r="D664" s="1" t="n">
        <v>45992</v>
      </c>
      <c r="E664" s="1" t="n">
        <v>46313</v>
      </c>
      <c r="F664" t="inlineStr">
        <is>
          <t>VÄRMLANDS LÄN</t>
        </is>
      </c>
      <c r="G664" t="inlineStr">
        <is>
          <t>SUNNE</t>
        </is>
      </c>
      <c r="I664" t="n">
        <v>1.1</v>
      </c>
      <c r="J664" t="n">
        <v>0</v>
      </c>
      <c r="K664" t="n">
        <v>0</v>
      </c>
      <c r="L664" t="n">
        <v>0</v>
      </c>
      <c r="M664" t="n">
        <v>0</v>
      </c>
      <c r="N664" t="n">
        <v>0</v>
      </c>
      <c r="O664" t="n">
        <v>0</v>
      </c>
      <c r="P664" t="n">
        <v>0</v>
      </c>
      <c r="Q664" t="n">
        <v>0</v>
      </c>
      <c r="R664" t="n">
        <v>0</v>
      </c>
      <c r="S664" t="n">
        <v>0</v>
      </c>
      <c r="T664" t="n">
        <v>0</v>
      </c>
      <c r="U664" t="n">
        <v>0</v>
      </c>
      <c r="V664" s="2" t="inlineStr"/>
    </row>
    <row r="665" ht="15" customHeight="1">
      <c r="A665" t="inlineStr">
        <is>
          <t>A 25577-2026</t>
        </is>
      </c>
      <c r="B665" t="inlineStr">
        <is>
          <t>avverkningsanmälan</t>
        </is>
      </c>
      <c r="C665" t="inlineStr">
        <is>
          <t>Föryngringsavverkning</t>
        </is>
      </c>
      <c r="D665" s="1" t="n">
        <v>46177</v>
      </c>
      <c r="E665" s="1" t="n">
        <v>46313</v>
      </c>
      <c r="F665" t="inlineStr">
        <is>
          <t>VÄRMLANDS LÄN</t>
        </is>
      </c>
      <c r="G665" t="inlineStr">
        <is>
          <t>SUNNE</t>
        </is>
      </c>
      <c r="I665" t="n">
        <v>7.1</v>
      </c>
      <c r="J665" t="n">
        <v>0</v>
      </c>
      <c r="K665" t="n">
        <v>0</v>
      </c>
      <c r="L665" t="n">
        <v>0</v>
      </c>
      <c r="M665" t="n">
        <v>0</v>
      </c>
      <c r="N665" t="n">
        <v>0</v>
      </c>
      <c r="O665" t="n">
        <v>0</v>
      </c>
      <c r="P665" t="n">
        <v>0</v>
      </c>
      <c r="Q665" t="n">
        <v>0</v>
      </c>
      <c r="R665" t="n">
        <v>0</v>
      </c>
      <c r="S665" t="n">
        <v>0</v>
      </c>
      <c r="T665" t="n">
        <v>0</v>
      </c>
      <c r="U665" t="n">
        <v>0</v>
      </c>
      <c r="V665" s="2" t="inlineStr"/>
    </row>
    <row r="666" ht="15" customHeight="1">
      <c r="A666" t="inlineStr">
        <is>
          <t>A 25574-2026</t>
        </is>
      </c>
      <c r="B666" t="inlineStr">
        <is>
          <t>avverkningsanmälan</t>
        </is>
      </c>
      <c r="C666" t="inlineStr">
        <is>
          <t>Föryngringsavverkning</t>
        </is>
      </c>
      <c r="D666" s="1" t="n">
        <v>46177</v>
      </c>
      <c r="E666" s="1" t="n">
        <v>46313</v>
      </c>
      <c r="F666" t="inlineStr">
        <is>
          <t>VÄRMLANDS LÄN</t>
        </is>
      </c>
      <c r="G666" t="inlineStr">
        <is>
          <t>SUNNE</t>
        </is>
      </c>
      <c r="H666" t="inlineStr">
        <is>
          <t>Bergvik skog väst AB</t>
        </is>
      </c>
      <c r="I666" t="n">
        <v>5.1</v>
      </c>
      <c r="J666" t="n">
        <v>0</v>
      </c>
      <c r="K666" t="n">
        <v>0</v>
      </c>
      <c r="L666" t="n">
        <v>0</v>
      </c>
      <c r="M666" t="n">
        <v>0</v>
      </c>
      <c r="N666" t="n">
        <v>0</v>
      </c>
      <c r="O666" t="n">
        <v>0</v>
      </c>
      <c r="P666" t="n">
        <v>0</v>
      </c>
      <c r="Q666" t="n">
        <v>0</v>
      </c>
      <c r="R666" t="n">
        <v>0</v>
      </c>
      <c r="S666" t="n">
        <v>0</v>
      </c>
      <c r="T666" t="n">
        <v>0</v>
      </c>
      <c r="U666" t="n">
        <v>0</v>
      </c>
      <c r="V666" s="2" t="inlineStr"/>
    </row>
    <row r="667" ht="15" customHeight="1">
      <c r="A667" t="inlineStr">
        <is>
          <t>A 25584-2026</t>
        </is>
      </c>
      <c r="B667" t="inlineStr">
        <is>
          <t>avverkningsanmälan</t>
        </is>
      </c>
      <c r="C667" t="inlineStr">
        <is>
          <t>Föryngringsavverkning</t>
        </is>
      </c>
      <c r="D667" s="1" t="n">
        <v>46177</v>
      </c>
      <c r="E667" s="1" t="n">
        <v>46313</v>
      </c>
      <c r="F667" t="inlineStr">
        <is>
          <t>VÄRMLANDS LÄN</t>
        </is>
      </c>
      <c r="G667" t="inlineStr">
        <is>
          <t>SUNNE</t>
        </is>
      </c>
      <c r="I667" t="n">
        <v>4.1</v>
      </c>
      <c r="J667" t="n">
        <v>0</v>
      </c>
      <c r="K667" t="n">
        <v>0</v>
      </c>
      <c r="L667" t="n">
        <v>0</v>
      </c>
      <c r="M667" t="n">
        <v>0</v>
      </c>
      <c r="N667" t="n">
        <v>0</v>
      </c>
      <c r="O667" t="n">
        <v>0</v>
      </c>
      <c r="P667" t="n">
        <v>0</v>
      </c>
      <c r="Q667" t="n">
        <v>0</v>
      </c>
      <c r="R667" t="n">
        <v>0</v>
      </c>
      <c r="S667" t="n">
        <v>0</v>
      </c>
      <c r="T667" t="n">
        <v>0</v>
      </c>
      <c r="U667" t="n">
        <v>0</v>
      </c>
      <c r="V667" s="2" t="inlineStr"/>
    </row>
    <row r="668" ht="15" customHeight="1">
      <c r="A668" t="inlineStr">
        <is>
          <t>A 3713-2026</t>
        </is>
      </c>
      <c r="B668" t="inlineStr">
        <is>
          <t>avverkningsanmälan</t>
        </is>
      </c>
      <c r="C668" t="inlineStr">
        <is>
          <t>Föryngringsavverkning</t>
        </is>
      </c>
      <c r="D668" s="1" t="n">
        <v>46043</v>
      </c>
      <c r="E668" s="1" t="n">
        <v>46313</v>
      </c>
      <c r="F668" t="inlineStr">
        <is>
          <t>VÄRMLANDS LÄN</t>
        </is>
      </c>
      <c r="G668" t="inlineStr">
        <is>
          <t>SUNNE</t>
        </is>
      </c>
      <c r="I668" t="n">
        <v>3.7</v>
      </c>
      <c r="J668" t="n">
        <v>0</v>
      </c>
      <c r="K668" t="n">
        <v>0</v>
      </c>
      <c r="L668" t="n">
        <v>0</v>
      </c>
      <c r="M668" t="n">
        <v>0</v>
      </c>
      <c r="N668" t="n">
        <v>0</v>
      </c>
      <c r="O668" t="n">
        <v>0</v>
      </c>
      <c r="P668" t="n">
        <v>0</v>
      </c>
      <c r="Q668" t="n">
        <v>0</v>
      </c>
      <c r="R668" t="n">
        <v>0</v>
      </c>
      <c r="S668" t="n">
        <v>0</v>
      </c>
      <c r="T668" t="n">
        <v>0</v>
      </c>
      <c r="U668" t="n">
        <v>0</v>
      </c>
      <c r="V668" s="2" t="inlineStr"/>
    </row>
    <row r="669" ht="15" customHeight="1">
      <c r="A669" t="inlineStr">
        <is>
          <t>A 49214-2023</t>
        </is>
      </c>
      <c r="B669" t="inlineStr">
        <is>
          <t>avverkningsanmälan</t>
        </is>
      </c>
      <c r="C669" t="inlineStr">
        <is>
          <t>Föryngringsavverkning</t>
        </is>
      </c>
      <c r="D669" s="1" t="n">
        <v>45210</v>
      </c>
      <c r="E669" s="1" t="n">
        <v>46313</v>
      </c>
      <c r="F669" t="inlineStr">
        <is>
          <t>VÄRMLANDS LÄN</t>
        </is>
      </c>
      <c r="G669" t="inlineStr">
        <is>
          <t>SUNNE</t>
        </is>
      </c>
      <c r="H669" t="inlineStr">
        <is>
          <t>Kommuner</t>
        </is>
      </c>
      <c r="I669" t="n">
        <v>1</v>
      </c>
      <c r="J669" t="n">
        <v>0</v>
      </c>
      <c r="K669" t="n">
        <v>0</v>
      </c>
      <c r="L669" t="n">
        <v>0</v>
      </c>
      <c r="M669" t="n">
        <v>0</v>
      </c>
      <c r="N669" t="n">
        <v>0</v>
      </c>
      <c r="O669" t="n">
        <v>0</v>
      </c>
      <c r="P669" t="n">
        <v>0</v>
      </c>
      <c r="Q669" t="n">
        <v>0</v>
      </c>
      <c r="R669" t="n">
        <v>0</v>
      </c>
      <c r="S669" t="n">
        <v>0</v>
      </c>
      <c r="T669" t="n">
        <v>0</v>
      </c>
      <c r="U669" t="n">
        <v>0</v>
      </c>
      <c r="V669" s="2" t="inlineStr"/>
    </row>
    <row r="670" ht="15" customHeight="1">
      <c r="A670" t="inlineStr">
        <is>
          <t>A 21251-2024</t>
        </is>
      </c>
      <c r="B670" t="inlineStr">
        <is>
          <t>avverkningsanmälan</t>
        </is>
      </c>
      <c r="C670" t="inlineStr">
        <is>
          <t>Föryngringsavverkning</t>
        </is>
      </c>
      <c r="D670" s="1" t="n">
        <v>45440</v>
      </c>
      <c r="E670" s="1" t="n">
        <v>46313</v>
      </c>
      <c r="F670" t="inlineStr">
        <is>
          <t>VÄRMLANDS LÄN</t>
        </is>
      </c>
      <c r="G670" t="inlineStr">
        <is>
          <t>SUNNE</t>
        </is>
      </c>
      <c r="I670" t="n">
        <v>0.7</v>
      </c>
      <c r="J670" t="n">
        <v>0</v>
      </c>
      <c r="K670" t="n">
        <v>0</v>
      </c>
      <c r="L670" t="n">
        <v>0</v>
      </c>
      <c r="M670" t="n">
        <v>0</v>
      </c>
      <c r="N670" t="n">
        <v>0</v>
      </c>
      <c r="O670" t="n">
        <v>0</v>
      </c>
      <c r="P670" t="n">
        <v>0</v>
      </c>
      <c r="Q670" t="n">
        <v>0</v>
      </c>
      <c r="R670" t="n">
        <v>0</v>
      </c>
      <c r="S670" t="n">
        <v>0</v>
      </c>
      <c r="T670" t="n">
        <v>0</v>
      </c>
      <c r="U670" t="n">
        <v>0</v>
      </c>
      <c r="V670" s="2" t="inlineStr"/>
    </row>
    <row r="671" ht="15" customHeight="1">
      <c r="A671" t="inlineStr">
        <is>
          <t>A 3937-2026</t>
        </is>
      </c>
      <c r="B671" t="inlineStr">
        <is>
          <t>avverkningsanmälan</t>
        </is>
      </c>
      <c r="C671" t="inlineStr">
        <is>
          <t>Föryngringsavverkning</t>
        </is>
      </c>
      <c r="D671" s="1" t="n">
        <v>46043</v>
      </c>
      <c r="E671" s="1" t="n">
        <v>46313</v>
      </c>
      <c r="F671" t="inlineStr">
        <is>
          <t>VÄRMLANDS LÄN</t>
        </is>
      </c>
      <c r="G671" t="inlineStr">
        <is>
          <t>SUNNE</t>
        </is>
      </c>
      <c r="I671" t="n">
        <v>4.2</v>
      </c>
      <c r="J671" t="n">
        <v>0</v>
      </c>
      <c r="K671" t="n">
        <v>0</v>
      </c>
      <c r="L671" t="n">
        <v>0</v>
      </c>
      <c r="M671" t="n">
        <v>0</v>
      </c>
      <c r="N671" t="n">
        <v>0</v>
      </c>
      <c r="O671" t="n">
        <v>0</v>
      </c>
      <c r="P671" t="n">
        <v>0</v>
      </c>
      <c r="Q671" t="n">
        <v>0</v>
      </c>
      <c r="R671" t="n">
        <v>0</v>
      </c>
      <c r="S671" t="n">
        <v>0</v>
      </c>
      <c r="T671" t="n">
        <v>0</v>
      </c>
      <c r="U671" t="n">
        <v>0</v>
      </c>
      <c r="V671" s="2" t="inlineStr"/>
    </row>
    <row r="672" ht="15" customHeight="1">
      <c r="A672" t="inlineStr">
        <is>
          <t>A 15120-2022</t>
        </is>
      </c>
      <c r="B672" t="inlineStr">
        <is>
          <t>avverkningsanmälan</t>
        </is>
      </c>
      <c r="C672" t="inlineStr">
        <is>
          <t>Föryngringsavverkning</t>
        </is>
      </c>
      <c r="D672" s="1" t="n">
        <v>44658</v>
      </c>
      <c r="E672" s="1" t="n">
        <v>46313</v>
      </c>
      <c r="F672" t="inlineStr">
        <is>
          <t>VÄRMLANDS LÄN</t>
        </is>
      </c>
      <c r="G672" t="inlineStr">
        <is>
          <t>SUNNE</t>
        </is>
      </c>
      <c r="I672" t="n">
        <v>1.4</v>
      </c>
      <c r="J672" t="n">
        <v>0</v>
      </c>
      <c r="K672" t="n">
        <v>0</v>
      </c>
      <c r="L672" t="n">
        <v>0</v>
      </c>
      <c r="M672" t="n">
        <v>0</v>
      </c>
      <c r="N672" t="n">
        <v>0</v>
      </c>
      <c r="O672" t="n">
        <v>0</v>
      </c>
      <c r="P672" t="n">
        <v>0</v>
      </c>
      <c r="Q672" t="n">
        <v>0</v>
      </c>
      <c r="R672" t="n">
        <v>0</v>
      </c>
      <c r="S672" t="n">
        <v>0</v>
      </c>
      <c r="T672" t="n">
        <v>0</v>
      </c>
      <c r="U672" t="n">
        <v>0</v>
      </c>
      <c r="V672" s="2" t="inlineStr"/>
    </row>
    <row r="673" ht="15" customHeight="1">
      <c r="A673" t="inlineStr">
        <is>
          <t>A 43089-2022</t>
        </is>
      </c>
      <c r="B673" t="inlineStr">
        <is>
          <t>avverkningsanmälan</t>
        </is>
      </c>
      <c r="C673" t="inlineStr">
        <is>
          <t>Föryngringsavverkning</t>
        </is>
      </c>
      <c r="D673" s="1" t="n">
        <v>44833</v>
      </c>
      <c r="E673" s="1" t="n">
        <v>46313</v>
      </c>
      <c r="F673" t="inlineStr">
        <is>
          <t>VÄRMLANDS LÄN</t>
        </is>
      </c>
      <c r="G673" t="inlineStr">
        <is>
          <t>SUNNE</t>
        </is>
      </c>
      <c r="I673" t="n">
        <v>1.2</v>
      </c>
      <c r="J673" t="n">
        <v>0</v>
      </c>
      <c r="K673" t="n">
        <v>0</v>
      </c>
      <c r="L673" t="n">
        <v>0</v>
      </c>
      <c r="M673" t="n">
        <v>0</v>
      </c>
      <c r="N673" t="n">
        <v>0</v>
      </c>
      <c r="O673" t="n">
        <v>0</v>
      </c>
      <c r="P673" t="n">
        <v>0</v>
      </c>
      <c r="Q673" t="n">
        <v>0</v>
      </c>
      <c r="R673" t="n">
        <v>0</v>
      </c>
      <c r="S673" t="n">
        <v>0</v>
      </c>
      <c r="T673" t="n">
        <v>0</v>
      </c>
      <c r="U673" t="n">
        <v>0</v>
      </c>
      <c r="V673" s="2" t="inlineStr"/>
    </row>
    <row r="674" ht="15" customHeight="1">
      <c r="A674" t="inlineStr">
        <is>
          <t>A 1641-2026</t>
        </is>
      </c>
      <c r="B674" t="inlineStr">
        <is>
          <t>avverkningsanmälan</t>
        </is>
      </c>
      <c r="C674" t="inlineStr">
        <is>
          <t>Föryngringsavverkning</t>
        </is>
      </c>
      <c r="D674" s="1" t="n">
        <v>46034</v>
      </c>
      <c r="E674" s="1" t="n">
        <v>46313</v>
      </c>
      <c r="F674" t="inlineStr">
        <is>
          <t>VÄRMLANDS LÄN</t>
        </is>
      </c>
      <c r="G674" t="inlineStr">
        <is>
          <t>SUNNE</t>
        </is>
      </c>
      <c r="I674" t="n">
        <v>4.5</v>
      </c>
      <c r="J674" t="n">
        <v>0</v>
      </c>
      <c r="K674" t="n">
        <v>0</v>
      </c>
      <c r="L674" t="n">
        <v>0</v>
      </c>
      <c r="M674" t="n">
        <v>0</v>
      </c>
      <c r="N674" t="n">
        <v>0</v>
      </c>
      <c r="O674" t="n">
        <v>0</v>
      </c>
      <c r="P674" t="n">
        <v>0</v>
      </c>
      <c r="Q674" t="n">
        <v>0</v>
      </c>
      <c r="R674" t="n">
        <v>0</v>
      </c>
      <c r="S674" t="n">
        <v>0</v>
      </c>
      <c r="T674" t="n">
        <v>0</v>
      </c>
      <c r="U674" t="n">
        <v>0</v>
      </c>
      <c r="V674" s="2" t="inlineStr"/>
    </row>
    <row r="675" ht="15" customHeight="1">
      <c r="A675" t="inlineStr">
        <is>
          <t>A 3936-2026</t>
        </is>
      </c>
      <c r="B675" t="inlineStr">
        <is>
          <t>avverkningsanmälan</t>
        </is>
      </c>
      <c r="C675" t="inlineStr">
        <is>
          <t>Föryngringsavverkning</t>
        </is>
      </c>
      <c r="D675" s="1" t="n">
        <v>46043</v>
      </c>
      <c r="E675" s="1" t="n">
        <v>46313</v>
      </c>
      <c r="F675" t="inlineStr">
        <is>
          <t>VÄRMLANDS LÄN</t>
        </is>
      </c>
      <c r="G675" t="inlineStr">
        <is>
          <t>SUNNE</t>
        </is>
      </c>
      <c r="I675" t="n">
        <v>0.8</v>
      </c>
      <c r="J675" t="n">
        <v>0</v>
      </c>
      <c r="K675" t="n">
        <v>0</v>
      </c>
      <c r="L675" t="n">
        <v>0</v>
      </c>
      <c r="M675" t="n">
        <v>0</v>
      </c>
      <c r="N675" t="n">
        <v>0</v>
      </c>
      <c r="O675" t="n">
        <v>0</v>
      </c>
      <c r="P675" t="n">
        <v>0</v>
      </c>
      <c r="Q675" t="n">
        <v>0</v>
      </c>
      <c r="R675" t="n">
        <v>0</v>
      </c>
      <c r="S675" t="n">
        <v>0</v>
      </c>
      <c r="T675" t="n">
        <v>0</v>
      </c>
      <c r="U675" t="n">
        <v>0</v>
      </c>
      <c r="V675" s="2" t="inlineStr"/>
    </row>
    <row r="676" ht="15" customHeight="1">
      <c r="A676" t="inlineStr">
        <is>
          <t>A 58129-2022</t>
        </is>
      </c>
      <c r="B676" t="inlineStr">
        <is>
          <t>avverkningsanmälan</t>
        </is>
      </c>
      <c r="C676" t="inlineStr">
        <is>
          <t>Avverkning för annat ändamål</t>
        </is>
      </c>
      <c r="D676" s="1" t="n">
        <v>44900</v>
      </c>
      <c r="E676" s="1" t="n">
        <v>46313</v>
      </c>
      <c r="F676" t="inlineStr">
        <is>
          <t>VÄRMLANDS LÄN</t>
        </is>
      </c>
      <c r="G676" t="inlineStr">
        <is>
          <t>SUNNE</t>
        </is>
      </c>
      <c r="I676" t="n">
        <v>1.8</v>
      </c>
      <c r="J676" t="n">
        <v>0</v>
      </c>
      <c r="K676" t="n">
        <v>0</v>
      </c>
      <c r="L676" t="n">
        <v>0</v>
      </c>
      <c r="M676" t="n">
        <v>0</v>
      </c>
      <c r="N676" t="n">
        <v>0</v>
      </c>
      <c r="O676" t="n">
        <v>0</v>
      </c>
      <c r="P676" t="n">
        <v>0</v>
      </c>
      <c r="Q676" t="n">
        <v>0</v>
      </c>
      <c r="R676" t="n">
        <v>0</v>
      </c>
      <c r="S676" t="n">
        <v>0</v>
      </c>
      <c r="T676" t="n">
        <v>0</v>
      </c>
      <c r="U676" t="n">
        <v>0</v>
      </c>
      <c r="V676" s="2" t="inlineStr"/>
    </row>
    <row r="677" ht="15" customHeight="1">
      <c r="A677" t="inlineStr">
        <is>
          <t>A 49683-2023</t>
        </is>
      </c>
      <c r="B677" t="inlineStr">
        <is>
          <t>avverkningsanmälan</t>
        </is>
      </c>
      <c r="C677" t="inlineStr">
        <is>
          <t>Föryngringsavverkning</t>
        </is>
      </c>
      <c r="D677" s="1" t="n">
        <v>45212</v>
      </c>
      <c r="E677" s="1" t="n">
        <v>46313</v>
      </c>
      <c r="F677" t="inlineStr">
        <is>
          <t>VÄRMLANDS LÄN</t>
        </is>
      </c>
      <c r="G677" t="inlineStr">
        <is>
          <t>SUNNE</t>
        </is>
      </c>
      <c r="H677" t="inlineStr">
        <is>
          <t>Kommuner</t>
        </is>
      </c>
      <c r="I677" t="n">
        <v>4.3</v>
      </c>
      <c r="J677" t="n">
        <v>0</v>
      </c>
      <c r="K677" t="n">
        <v>0</v>
      </c>
      <c r="L677" t="n">
        <v>0</v>
      </c>
      <c r="M677" t="n">
        <v>0</v>
      </c>
      <c r="N677" t="n">
        <v>0</v>
      </c>
      <c r="O677" t="n">
        <v>0</v>
      </c>
      <c r="P677" t="n">
        <v>0</v>
      </c>
      <c r="Q677" t="n">
        <v>0</v>
      </c>
      <c r="R677" t="n">
        <v>0</v>
      </c>
      <c r="S677" t="n">
        <v>0</v>
      </c>
      <c r="T677" t="n">
        <v>0</v>
      </c>
      <c r="U677" t="n">
        <v>0</v>
      </c>
      <c r="V677" s="2" t="inlineStr"/>
    </row>
    <row r="678" ht="15" customHeight="1">
      <c r="A678" t="inlineStr">
        <is>
          <t>A 49217-2023</t>
        </is>
      </c>
      <c r="B678" t="inlineStr">
        <is>
          <t>avverkningsanmälan</t>
        </is>
      </c>
      <c r="C678" t="inlineStr">
        <is>
          <t>Föryngringsavverkning</t>
        </is>
      </c>
      <c r="D678" s="1" t="n">
        <v>45210</v>
      </c>
      <c r="E678" s="1" t="n">
        <v>46313</v>
      </c>
      <c r="F678" t="inlineStr">
        <is>
          <t>VÄRMLANDS LÄN</t>
        </is>
      </c>
      <c r="G678" t="inlineStr">
        <is>
          <t>SUNNE</t>
        </is>
      </c>
      <c r="H678" t="inlineStr">
        <is>
          <t>Kommuner</t>
        </is>
      </c>
      <c r="I678" t="n">
        <v>1.4</v>
      </c>
      <c r="J678" t="n">
        <v>0</v>
      </c>
      <c r="K678" t="n">
        <v>0</v>
      </c>
      <c r="L678" t="n">
        <v>0</v>
      </c>
      <c r="M678" t="n">
        <v>0</v>
      </c>
      <c r="N678" t="n">
        <v>0</v>
      </c>
      <c r="O678" t="n">
        <v>0</v>
      </c>
      <c r="P678" t="n">
        <v>0</v>
      </c>
      <c r="Q678" t="n">
        <v>0</v>
      </c>
      <c r="R678" t="n">
        <v>0</v>
      </c>
      <c r="S678" t="n">
        <v>0</v>
      </c>
      <c r="T678" t="n">
        <v>0</v>
      </c>
      <c r="U678" t="n">
        <v>0</v>
      </c>
      <c r="V678" s="2" t="inlineStr"/>
    </row>
    <row r="679" ht="15" customHeight="1">
      <c r="A679" t="inlineStr">
        <is>
          <t>A 3935-2026</t>
        </is>
      </c>
      <c r="B679" t="inlineStr">
        <is>
          <t>avverkningsanmälan</t>
        </is>
      </c>
      <c r="C679" t="inlineStr">
        <is>
          <t>Föryngringsavverkning</t>
        </is>
      </c>
      <c r="D679" s="1" t="n">
        <v>46043</v>
      </c>
      <c r="E679" s="1" t="n">
        <v>46313</v>
      </c>
      <c r="F679" t="inlineStr">
        <is>
          <t>VÄRMLANDS LÄN</t>
        </is>
      </c>
      <c r="G679" t="inlineStr">
        <is>
          <t>SUNNE</t>
        </is>
      </c>
      <c r="I679" t="n">
        <v>4.2</v>
      </c>
      <c r="J679" t="n">
        <v>0</v>
      </c>
      <c r="K679" t="n">
        <v>0</v>
      </c>
      <c r="L679" t="n">
        <v>0</v>
      </c>
      <c r="M679" t="n">
        <v>0</v>
      </c>
      <c r="N679" t="n">
        <v>0</v>
      </c>
      <c r="O679" t="n">
        <v>0</v>
      </c>
      <c r="P679" t="n">
        <v>0</v>
      </c>
      <c r="Q679" t="n">
        <v>0</v>
      </c>
      <c r="R679" t="n">
        <v>0</v>
      </c>
      <c r="S679" t="n">
        <v>0</v>
      </c>
      <c r="T679" t="n">
        <v>0</v>
      </c>
      <c r="U679" t="n">
        <v>0</v>
      </c>
      <c r="V679" s="2" t="inlineStr"/>
    </row>
    <row r="680" ht="15" customHeight="1">
      <c r="A680" t="inlineStr">
        <is>
          <t>A 62904-2023</t>
        </is>
      </c>
      <c r="B680" t="inlineStr">
        <is>
          <t>avverkningsanmälan</t>
        </is>
      </c>
      <c r="C680" t="inlineStr">
        <is>
          <t>Föryngringsavverkning</t>
        </is>
      </c>
      <c r="D680" s="1" t="n">
        <v>45272</v>
      </c>
      <c r="E680" s="1" t="n">
        <v>46313</v>
      </c>
      <c r="F680" t="inlineStr">
        <is>
          <t>VÄRMLANDS LÄN</t>
        </is>
      </c>
      <c r="G680" t="inlineStr">
        <is>
          <t>SUNNE</t>
        </is>
      </c>
      <c r="H680" t="inlineStr">
        <is>
          <t>Kommuner</t>
        </is>
      </c>
      <c r="I680" t="n">
        <v>4.8</v>
      </c>
      <c r="J680" t="n">
        <v>0</v>
      </c>
      <c r="K680" t="n">
        <v>0</v>
      </c>
      <c r="L680" t="n">
        <v>0</v>
      </c>
      <c r="M680" t="n">
        <v>0</v>
      </c>
      <c r="N680" t="n">
        <v>0</v>
      </c>
      <c r="O680" t="n">
        <v>0</v>
      </c>
      <c r="P680" t="n">
        <v>0</v>
      </c>
      <c r="Q680" t="n">
        <v>0</v>
      </c>
      <c r="R680" t="n">
        <v>0</v>
      </c>
      <c r="S680" t="n">
        <v>0</v>
      </c>
      <c r="T680" t="n">
        <v>0</v>
      </c>
      <c r="U680" t="n">
        <v>0</v>
      </c>
      <c r="V680" s="2" t="inlineStr"/>
    </row>
    <row r="681" ht="15" customHeight="1">
      <c r="A681" t="inlineStr">
        <is>
          <t>A 50695-2024</t>
        </is>
      </c>
      <c r="B681" t="inlineStr">
        <is>
          <t>avverkningsanmälan</t>
        </is>
      </c>
      <c r="C681" t="inlineStr">
        <is>
          <t>Föryngringsavverkning</t>
        </is>
      </c>
      <c r="D681" s="1" t="n">
        <v>45602</v>
      </c>
      <c r="E681" s="1" t="n">
        <v>46313</v>
      </c>
      <c r="F681" t="inlineStr">
        <is>
          <t>VÄRMLANDS LÄN</t>
        </is>
      </c>
      <c r="G681" t="inlineStr">
        <is>
          <t>SUNNE</t>
        </is>
      </c>
      <c r="I681" t="n">
        <v>1.5</v>
      </c>
      <c r="J681" t="n">
        <v>0</v>
      </c>
      <c r="K681" t="n">
        <v>0</v>
      </c>
      <c r="L681" t="n">
        <v>0</v>
      </c>
      <c r="M681" t="n">
        <v>0</v>
      </c>
      <c r="N681" t="n">
        <v>0</v>
      </c>
      <c r="O681" t="n">
        <v>0</v>
      </c>
      <c r="P681" t="n">
        <v>0</v>
      </c>
      <c r="Q681" t="n">
        <v>0</v>
      </c>
      <c r="R681" t="n">
        <v>0</v>
      </c>
      <c r="S681" t="n">
        <v>0</v>
      </c>
      <c r="T681" t="n">
        <v>0</v>
      </c>
      <c r="U681" t="n">
        <v>0</v>
      </c>
      <c r="V681" s="2" t="inlineStr"/>
    </row>
    <row r="682" ht="15" customHeight="1">
      <c r="A682" t="inlineStr">
        <is>
          <t>A 41407-2024</t>
        </is>
      </c>
      <c r="B682" t="inlineStr">
        <is>
          <t>avverkningsanmälan</t>
        </is>
      </c>
      <c r="C682" t="inlineStr">
        <is>
          <t>Föryngringsavverkning</t>
        </is>
      </c>
      <c r="D682" s="1" t="n">
        <v>45560</v>
      </c>
      <c r="E682" s="1" t="n">
        <v>46313</v>
      </c>
      <c r="F682" t="inlineStr">
        <is>
          <t>VÄRMLANDS LÄN</t>
        </is>
      </c>
      <c r="G682" t="inlineStr">
        <is>
          <t>SUNNE</t>
        </is>
      </c>
      <c r="I682" t="n">
        <v>0.6</v>
      </c>
      <c r="J682" t="n">
        <v>0</v>
      </c>
      <c r="K682" t="n">
        <v>0</v>
      </c>
      <c r="L682" t="n">
        <v>0</v>
      </c>
      <c r="M682" t="n">
        <v>0</v>
      </c>
      <c r="N682" t="n">
        <v>0</v>
      </c>
      <c r="O682" t="n">
        <v>0</v>
      </c>
      <c r="P682" t="n">
        <v>0</v>
      </c>
      <c r="Q682" t="n">
        <v>0</v>
      </c>
      <c r="R682" t="n">
        <v>0</v>
      </c>
      <c r="S682" t="n">
        <v>0</v>
      </c>
      <c r="T682" t="n">
        <v>0</v>
      </c>
      <c r="U682" t="n">
        <v>0</v>
      </c>
      <c r="V682" s="2" t="inlineStr"/>
    </row>
    <row r="683" ht="15" customHeight="1">
      <c r="A683" t="inlineStr">
        <is>
          <t>A 5787-2025</t>
        </is>
      </c>
      <c r="B683" t="inlineStr">
        <is>
          <t>avverkningsanmälan</t>
        </is>
      </c>
      <c r="C683" t="inlineStr">
        <is>
          <t>Föryngringsavverkning</t>
        </is>
      </c>
      <c r="D683" s="1" t="n">
        <v>45694</v>
      </c>
      <c r="E683" s="1" t="n">
        <v>46313</v>
      </c>
      <c r="F683" t="inlineStr">
        <is>
          <t>VÄRMLANDS LÄN</t>
        </is>
      </c>
      <c r="G683" t="inlineStr">
        <is>
          <t>SUNNE</t>
        </is>
      </c>
      <c r="I683" t="n">
        <v>0.6</v>
      </c>
      <c r="J683" t="n">
        <v>0</v>
      </c>
      <c r="K683" t="n">
        <v>0</v>
      </c>
      <c r="L683" t="n">
        <v>0</v>
      </c>
      <c r="M683" t="n">
        <v>0</v>
      </c>
      <c r="N683" t="n">
        <v>0</v>
      </c>
      <c r="O683" t="n">
        <v>0</v>
      </c>
      <c r="P683" t="n">
        <v>0</v>
      </c>
      <c r="Q683" t="n">
        <v>0</v>
      </c>
      <c r="R683" t="n">
        <v>0</v>
      </c>
      <c r="S683" t="n">
        <v>0</v>
      </c>
      <c r="T683" t="n">
        <v>0</v>
      </c>
      <c r="U683" t="n">
        <v>0</v>
      </c>
      <c r="V683" s="2" t="inlineStr"/>
    </row>
    <row r="684" ht="15" customHeight="1">
      <c r="A684" t="inlineStr">
        <is>
          <t>A 56744-2024</t>
        </is>
      </c>
      <c r="B684" t="inlineStr">
        <is>
          <t>avverkningsanmälan</t>
        </is>
      </c>
      <c r="C684" t="inlineStr">
        <is>
          <t>Föryngringsavverkning</t>
        </is>
      </c>
      <c r="D684" s="1" t="n">
        <v>45628</v>
      </c>
      <c r="E684" s="1" t="n">
        <v>46313</v>
      </c>
      <c r="F684" t="inlineStr">
        <is>
          <t>VÄRMLANDS LÄN</t>
        </is>
      </c>
      <c r="G684" t="inlineStr">
        <is>
          <t>SUNNE</t>
        </is>
      </c>
      <c r="I684" t="n">
        <v>6.9</v>
      </c>
      <c r="J684" t="n">
        <v>0</v>
      </c>
      <c r="K684" t="n">
        <v>0</v>
      </c>
      <c r="L684" t="n">
        <v>0</v>
      </c>
      <c r="M684" t="n">
        <v>0</v>
      </c>
      <c r="N684" t="n">
        <v>0</v>
      </c>
      <c r="O684" t="n">
        <v>0</v>
      </c>
      <c r="P684" t="n">
        <v>0</v>
      </c>
      <c r="Q684" t="n">
        <v>0</v>
      </c>
      <c r="R684" t="n">
        <v>0</v>
      </c>
      <c r="S684" t="n">
        <v>0</v>
      </c>
      <c r="T684" t="n">
        <v>0</v>
      </c>
      <c r="U684" t="n">
        <v>0</v>
      </c>
      <c r="V684" s="2" t="inlineStr"/>
    </row>
    <row r="685" ht="15" customHeight="1">
      <c r="A685" t="inlineStr">
        <is>
          <t>A 5705-2026</t>
        </is>
      </c>
      <c r="B685" t="inlineStr">
        <is>
          <t>avverkningsanmälan</t>
        </is>
      </c>
      <c r="C685" t="inlineStr">
        <is>
          <t>Föryngringsavverkning</t>
        </is>
      </c>
      <c r="D685" s="1" t="n">
        <v>46049</v>
      </c>
      <c r="E685" s="1" t="n">
        <v>46313</v>
      </c>
      <c r="F685" t="inlineStr">
        <is>
          <t>VÄRMLANDS LÄN</t>
        </is>
      </c>
      <c r="G685" t="inlineStr">
        <is>
          <t>SUNNE</t>
        </is>
      </c>
      <c r="I685" t="n">
        <v>1.8</v>
      </c>
      <c r="J685" t="n">
        <v>0</v>
      </c>
      <c r="K685" t="n">
        <v>0</v>
      </c>
      <c r="L685" t="n">
        <v>0</v>
      </c>
      <c r="M685" t="n">
        <v>0</v>
      </c>
      <c r="N685" t="n">
        <v>0</v>
      </c>
      <c r="O685" t="n">
        <v>0</v>
      </c>
      <c r="P685" t="n">
        <v>0</v>
      </c>
      <c r="Q685" t="n">
        <v>0</v>
      </c>
      <c r="R685" t="n">
        <v>0</v>
      </c>
      <c r="S685" t="n">
        <v>0</v>
      </c>
      <c r="T685" t="n">
        <v>0</v>
      </c>
      <c r="U685" t="n">
        <v>0</v>
      </c>
      <c r="V685" s="2" t="inlineStr"/>
    </row>
    <row r="686" ht="15" customHeight="1">
      <c r="A686" t="inlineStr">
        <is>
          <t>A 19739-2022</t>
        </is>
      </c>
      <c r="B686" t="inlineStr">
        <is>
          <t>avverkningsanmälan</t>
        </is>
      </c>
      <c r="C686" t="inlineStr">
        <is>
          <t>Föryngringsavverkning</t>
        </is>
      </c>
      <c r="D686" s="1" t="n">
        <v>44694</v>
      </c>
      <c r="E686" s="1" t="n">
        <v>46313</v>
      </c>
      <c r="F686" t="inlineStr">
        <is>
          <t>VÄRMLANDS LÄN</t>
        </is>
      </c>
      <c r="G686" t="inlineStr">
        <is>
          <t>SUNNE</t>
        </is>
      </c>
      <c r="I686" t="n">
        <v>3.3</v>
      </c>
      <c r="J686" t="n">
        <v>0</v>
      </c>
      <c r="K686" t="n">
        <v>0</v>
      </c>
      <c r="L686" t="n">
        <v>0</v>
      </c>
      <c r="M686" t="n">
        <v>0</v>
      </c>
      <c r="N686" t="n">
        <v>0</v>
      </c>
      <c r="O686" t="n">
        <v>0</v>
      </c>
      <c r="P686" t="n">
        <v>0</v>
      </c>
      <c r="Q686" t="n">
        <v>0</v>
      </c>
      <c r="R686" t="n">
        <v>0</v>
      </c>
      <c r="S686" t="n">
        <v>0</v>
      </c>
      <c r="T686" t="n">
        <v>0</v>
      </c>
      <c r="U686" t="n">
        <v>0</v>
      </c>
      <c r="V686" s="2" t="inlineStr"/>
    </row>
    <row r="687" ht="15" customHeight="1">
      <c r="A687" t="inlineStr">
        <is>
          <t>A 4560-2026</t>
        </is>
      </c>
      <c r="B687" t="inlineStr">
        <is>
          <t>avverkningsanmälan</t>
        </is>
      </c>
      <c r="C687" t="inlineStr">
        <is>
          <t>Föryngringsavverkning</t>
        </is>
      </c>
      <c r="D687" s="1" t="n">
        <v>46047</v>
      </c>
      <c r="E687" s="1" t="n">
        <v>46313</v>
      </c>
      <c r="F687" t="inlineStr">
        <is>
          <t>VÄRMLANDS LÄN</t>
        </is>
      </c>
      <c r="G687" t="inlineStr">
        <is>
          <t>SUNNE</t>
        </is>
      </c>
      <c r="I687" t="n">
        <v>4.2</v>
      </c>
      <c r="J687" t="n">
        <v>0</v>
      </c>
      <c r="K687" t="n">
        <v>0</v>
      </c>
      <c r="L687" t="n">
        <v>0</v>
      </c>
      <c r="M687" t="n">
        <v>0</v>
      </c>
      <c r="N687" t="n">
        <v>0</v>
      </c>
      <c r="O687" t="n">
        <v>0</v>
      </c>
      <c r="P687" t="n">
        <v>0</v>
      </c>
      <c r="Q687" t="n">
        <v>0</v>
      </c>
      <c r="R687" t="n">
        <v>0</v>
      </c>
      <c r="S687" t="n">
        <v>0</v>
      </c>
      <c r="T687" t="n">
        <v>0</v>
      </c>
      <c r="U687" t="n">
        <v>0</v>
      </c>
      <c r="V687" s="2" t="inlineStr"/>
    </row>
    <row r="688" ht="15" customHeight="1">
      <c r="A688" t="inlineStr">
        <is>
          <t>A 63518-2023</t>
        </is>
      </c>
      <c r="B688" t="inlineStr">
        <is>
          <t>avverkningsanmälan</t>
        </is>
      </c>
      <c r="C688" t="inlineStr">
        <is>
          <t>Föryngringsavverkning</t>
        </is>
      </c>
      <c r="D688" s="1" t="n">
        <v>45274</v>
      </c>
      <c r="E688" s="1" t="n">
        <v>46313</v>
      </c>
      <c r="F688" t="inlineStr">
        <is>
          <t>VÄRMLANDS LÄN</t>
        </is>
      </c>
      <c r="G688" t="inlineStr">
        <is>
          <t>SUNNE</t>
        </is>
      </c>
      <c r="I688" t="n">
        <v>0.9</v>
      </c>
      <c r="J688" t="n">
        <v>0</v>
      </c>
      <c r="K688" t="n">
        <v>0</v>
      </c>
      <c r="L688" t="n">
        <v>0</v>
      </c>
      <c r="M688" t="n">
        <v>0</v>
      </c>
      <c r="N688" t="n">
        <v>0</v>
      </c>
      <c r="O688" t="n">
        <v>0</v>
      </c>
      <c r="P688" t="n">
        <v>0</v>
      </c>
      <c r="Q688" t="n">
        <v>0</v>
      </c>
      <c r="R688" t="n">
        <v>0</v>
      </c>
      <c r="S688" t="n">
        <v>0</v>
      </c>
      <c r="T688" t="n">
        <v>0</v>
      </c>
      <c r="U688" t="n">
        <v>0</v>
      </c>
      <c r="V688" s="2" t="inlineStr"/>
    </row>
    <row r="689" ht="15" customHeight="1">
      <c r="A689" t="inlineStr">
        <is>
          <t>A 29588-2022</t>
        </is>
      </c>
      <c r="B689" t="inlineStr">
        <is>
          <t>avverkningsanmälan</t>
        </is>
      </c>
      <c r="C689" t="inlineStr">
        <is>
          <t>Föryngringsavverkning</t>
        </is>
      </c>
      <c r="D689" s="1" t="n">
        <v>44754</v>
      </c>
      <c r="E689" s="1" t="n">
        <v>46313</v>
      </c>
      <c r="F689" t="inlineStr">
        <is>
          <t>VÄRMLANDS LÄN</t>
        </is>
      </c>
      <c r="G689" t="inlineStr">
        <is>
          <t>SUNNE</t>
        </is>
      </c>
      <c r="I689" t="n">
        <v>1.9</v>
      </c>
      <c r="J689" t="n">
        <v>0</v>
      </c>
      <c r="K689" t="n">
        <v>0</v>
      </c>
      <c r="L689" t="n">
        <v>0</v>
      </c>
      <c r="M689" t="n">
        <v>0</v>
      </c>
      <c r="N689" t="n">
        <v>0</v>
      </c>
      <c r="O689" t="n">
        <v>0</v>
      </c>
      <c r="P689" t="n">
        <v>0</v>
      </c>
      <c r="Q689" t="n">
        <v>0</v>
      </c>
      <c r="R689" t="n">
        <v>0</v>
      </c>
      <c r="S689" t="n">
        <v>0</v>
      </c>
      <c r="T689" t="n">
        <v>0</v>
      </c>
      <c r="U689" t="n">
        <v>0</v>
      </c>
      <c r="V689" s="2" t="inlineStr"/>
    </row>
    <row r="690" ht="15" customHeight="1">
      <c r="A690" t="inlineStr">
        <is>
          <t>A 26088-2026</t>
        </is>
      </c>
      <c r="B690" t="inlineStr">
        <is>
          <t>avverkningsanmälan</t>
        </is>
      </c>
      <c r="C690" t="inlineStr">
        <is>
          <t>Föryngringsavverkning</t>
        </is>
      </c>
      <c r="D690" s="1" t="n">
        <v>46181</v>
      </c>
      <c r="E690" s="1" t="n">
        <v>46313</v>
      </c>
      <c r="F690" t="inlineStr">
        <is>
          <t>VÄRMLANDS LÄN</t>
        </is>
      </c>
      <c r="G690" t="inlineStr">
        <is>
          <t>SUNNE</t>
        </is>
      </c>
      <c r="I690" t="n">
        <v>1.1</v>
      </c>
      <c r="J690" t="n">
        <v>0</v>
      </c>
      <c r="K690" t="n">
        <v>0</v>
      </c>
      <c r="L690" t="n">
        <v>0</v>
      </c>
      <c r="M690" t="n">
        <v>0</v>
      </c>
      <c r="N690" t="n">
        <v>0</v>
      </c>
      <c r="O690" t="n">
        <v>0</v>
      </c>
      <c r="P690" t="n">
        <v>0</v>
      </c>
      <c r="Q690" t="n">
        <v>0</v>
      </c>
      <c r="R690" t="n">
        <v>0</v>
      </c>
      <c r="S690" t="n">
        <v>0</v>
      </c>
      <c r="T690" t="n">
        <v>0</v>
      </c>
      <c r="U690" t="n">
        <v>0</v>
      </c>
      <c r="V690" s="2" t="inlineStr"/>
    </row>
    <row r="691" ht="15" customHeight="1">
      <c r="A691" t="inlineStr">
        <is>
          <t>A 34059-2023</t>
        </is>
      </c>
      <c r="B691" t="inlineStr">
        <is>
          <t>avverkningsanmälan</t>
        </is>
      </c>
      <c r="C691" t="inlineStr">
        <is>
          <t>Föryngringsavverkning</t>
        </is>
      </c>
      <c r="D691" s="1" t="n">
        <v>45125</v>
      </c>
      <c r="E691" s="1" t="n">
        <v>46313</v>
      </c>
      <c r="F691" t="inlineStr">
        <is>
          <t>VÄRMLANDS LÄN</t>
        </is>
      </c>
      <c r="G691" t="inlineStr">
        <is>
          <t>SUNNE</t>
        </is>
      </c>
      <c r="I691" t="n">
        <v>3.3</v>
      </c>
      <c r="J691" t="n">
        <v>0</v>
      </c>
      <c r="K691" t="n">
        <v>0</v>
      </c>
      <c r="L691" t="n">
        <v>0</v>
      </c>
      <c r="M691" t="n">
        <v>0</v>
      </c>
      <c r="N691" t="n">
        <v>0</v>
      </c>
      <c r="O691" t="n">
        <v>0</v>
      </c>
      <c r="P691" t="n">
        <v>0</v>
      </c>
      <c r="Q691" t="n">
        <v>0</v>
      </c>
      <c r="R691" t="n">
        <v>0</v>
      </c>
      <c r="S691" t="n">
        <v>0</v>
      </c>
      <c r="T691" t="n">
        <v>0</v>
      </c>
      <c r="U691" t="n">
        <v>0</v>
      </c>
      <c r="V691" s="2" t="inlineStr"/>
    </row>
    <row r="692" ht="15" customHeight="1">
      <c r="A692" t="inlineStr">
        <is>
          <t>A 29746-2023</t>
        </is>
      </c>
      <c r="B692" t="inlineStr">
        <is>
          <t>avverkningsanmälan</t>
        </is>
      </c>
      <c r="C692" t="inlineStr">
        <is>
          <t>Föryngringsavverkning</t>
        </is>
      </c>
      <c r="D692" s="1" t="n">
        <v>45107</v>
      </c>
      <c r="E692" s="1" t="n">
        <v>46313</v>
      </c>
      <c r="F692" t="inlineStr">
        <is>
          <t>VÄRMLANDS LÄN</t>
        </is>
      </c>
      <c r="G692" t="inlineStr">
        <is>
          <t>SUNNE</t>
        </is>
      </c>
      <c r="I692" t="n">
        <v>0.1</v>
      </c>
      <c r="J692" t="n">
        <v>0</v>
      </c>
      <c r="K692" t="n">
        <v>0</v>
      </c>
      <c r="L692" t="n">
        <v>0</v>
      </c>
      <c r="M692" t="n">
        <v>0</v>
      </c>
      <c r="N692" t="n">
        <v>0</v>
      </c>
      <c r="O692" t="n">
        <v>0</v>
      </c>
      <c r="P692" t="n">
        <v>0</v>
      </c>
      <c r="Q692" t="n">
        <v>0</v>
      </c>
      <c r="R692" t="n">
        <v>0</v>
      </c>
      <c r="S692" t="n">
        <v>0</v>
      </c>
      <c r="T692" t="n">
        <v>0</v>
      </c>
      <c r="U692" t="n">
        <v>0</v>
      </c>
      <c r="V692" s="2" t="inlineStr"/>
    </row>
    <row r="693" ht="15" customHeight="1">
      <c r="A693" t="inlineStr">
        <is>
          <t>A 14740-2023</t>
        </is>
      </c>
      <c r="B693" t="inlineStr">
        <is>
          <t>avverkningsanmälan</t>
        </is>
      </c>
      <c r="C693" t="inlineStr">
        <is>
          <t>Föryngringsavverkning</t>
        </is>
      </c>
      <c r="D693" s="1" t="n">
        <v>45014</v>
      </c>
      <c r="E693" s="1" t="n">
        <v>46313</v>
      </c>
      <c r="F693" t="inlineStr">
        <is>
          <t>VÄRMLANDS LÄN</t>
        </is>
      </c>
      <c r="G693" t="inlineStr">
        <is>
          <t>SUNNE</t>
        </is>
      </c>
      <c r="I693" t="n">
        <v>6.8</v>
      </c>
      <c r="J693" t="n">
        <v>0</v>
      </c>
      <c r="K693" t="n">
        <v>0</v>
      </c>
      <c r="L693" t="n">
        <v>0</v>
      </c>
      <c r="M693" t="n">
        <v>0</v>
      </c>
      <c r="N693" t="n">
        <v>0</v>
      </c>
      <c r="O693" t="n">
        <v>0</v>
      </c>
      <c r="P693" t="n">
        <v>0</v>
      </c>
      <c r="Q693" t="n">
        <v>0</v>
      </c>
      <c r="R693" t="n">
        <v>0</v>
      </c>
      <c r="S693" t="n">
        <v>0</v>
      </c>
      <c r="T693" t="n">
        <v>0</v>
      </c>
      <c r="U693" t="n">
        <v>0</v>
      </c>
      <c r="V693" s="2" t="inlineStr"/>
    </row>
    <row r="694" ht="15" customHeight="1">
      <c r="A694" t="inlineStr">
        <is>
          <t>A 23460-2023</t>
        </is>
      </c>
      <c r="B694" t="inlineStr">
        <is>
          <t>avverkningsanmälan</t>
        </is>
      </c>
      <c r="C694" t="inlineStr">
        <is>
          <t>Föryngringsavverkning</t>
        </is>
      </c>
      <c r="D694" s="1" t="n">
        <v>45076</v>
      </c>
      <c r="E694" s="1" t="n">
        <v>46313</v>
      </c>
      <c r="F694" t="inlineStr">
        <is>
          <t>VÄRMLANDS LÄN</t>
        </is>
      </c>
      <c r="G694" t="inlineStr">
        <is>
          <t>SUNNE</t>
        </is>
      </c>
      <c r="I694" t="n">
        <v>2</v>
      </c>
      <c r="J694" t="n">
        <v>0</v>
      </c>
      <c r="K694" t="n">
        <v>0</v>
      </c>
      <c r="L694" t="n">
        <v>0</v>
      </c>
      <c r="M694" t="n">
        <v>0</v>
      </c>
      <c r="N694" t="n">
        <v>0</v>
      </c>
      <c r="O694" t="n">
        <v>0</v>
      </c>
      <c r="P694" t="n">
        <v>0</v>
      </c>
      <c r="Q694" t="n">
        <v>0</v>
      </c>
      <c r="R694" t="n">
        <v>0</v>
      </c>
      <c r="S694" t="n">
        <v>0</v>
      </c>
      <c r="T694" t="n">
        <v>0</v>
      </c>
      <c r="U694" t="n">
        <v>0</v>
      </c>
      <c r="V694" s="2" t="inlineStr"/>
    </row>
    <row r="695" ht="15" customHeight="1">
      <c r="A695" t="inlineStr">
        <is>
          <t>A 26829-2026</t>
        </is>
      </c>
      <c r="B695" t="inlineStr">
        <is>
          <t>avverkningsanmälan</t>
        </is>
      </c>
      <c r="C695" t="inlineStr">
        <is>
          <t>Föryngringsavverkning</t>
        </is>
      </c>
      <c r="D695" s="1" t="n">
        <v>46183</v>
      </c>
      <c r="E695" s="1" t="n">
        <v>46313</v>
      </c>
      <c r="F695" t="inlineStr">
        <is>
          <t>VÄRMLANDS LÄN</t>
        </is>
      </c>
      <c r="G695" t="inlineStr">
        <is>
          <t>SUNNE</t>
        </is>
      </c>
      <c r="I695" t="n">
        <v>3.5</v>
      </c>
      <c r="J695" t="n">
        <v>0</v>
      </c>
      <c r="K695" t="n">
        <v>0</v>
      </c>
      <c r="L695" t="n">
        <v>0</v>
      </c>
      <c r="M695" t="n">
        <v>0</v>
      </c>
      <c r="N695" t="n">
        <v>0</v>
      </c>
      <c r="O695" t="n">
        <v>0</v>
      </c>
      <c r="P695" t="n">
        <v>0</v>
      </c>
      <c r="Q695" t="n">
        <v>0</v>
      </c>
      <c r="R695" t="n">
        <v>0</v>
      </c>
      <c r="S695" t="n">
        <v>0</v>
      </c>
      <c r="T695" t="n">
        <v>0</v>
      </c>
      <c r="U695" t="n">
        <v>0</v>
      </c>
      <c r="V695" s="2" t="inlineStr"/>
    </row>
    <row r="696" ht="15" customHeight="1">
      <c r="A696" t="inlineStr">
        <is>
          <t>A 14099-2025</t>
        </is>
      </c>
      <c r="B696" t="inlineStr">
        <is>
          <t>avverkningsanmälan</t>
        </is>
      </c>
      <c r="C696" t="inlineStr">
        <is>
          <t>Föryngringsavverkning</t>
        </is>
      </c>
      <c r="D696" s="1" t="n">
        <v>45740</v>
      </c>
      <c r="E696" s="1" t="n">
        <v>46313</v>
      </c>
      <c r="F696" t="inlineStr">
        <is>
          <t>VÄRMLANDS LÄN</t>
        </is>
      </c>
      <c r="G696" t="inlineStr">
        <is>
          <t>SUNNE</t>
        </is>
      </c>
      <c r="H696" t="inlineStr">
        <is>
          <t>Bergvik skog väst AB</t>
        </is>
      </c>
      <c r="I696" t="n">
        <v>1</v>
      </c>
      <c r="J696" t="n">
        <v>0</v>
      </c>
      <c r="K696" t="n">
        <v>0</v>
      </c>
      <c r="L696" t="n">
        <v>0</v>
      </c>
      <c r="M696" t="n">
        <v>0</v>
      </c>
      <c r="N696" t="n">
        <v>0</v>
      </c>
      <c r="O696" t="n">
        <v>0</v>
      </c>
      <c r="P696" t="n">
        <v>0</v>
      </c>
      <c r="Q696" t="n">
        <v>0</v>
      </c>
      <c r="R696" t="n">
        <v>0</v>
      </c>
      <c r="S696" t="n">
        <v>0</v>
      </c>
      <c r="T696" t="n">
        <v>0</v>
      </c>
      <c r="U696" t="n">
        <v>0</v>
      </c>
      <c r="V696" s="2" t="inlineStr"/>
    </row>
    <row r="697" ht="15" customHeight="1">
      <c r="A697" t="inlineStr">
        <is>
          <t>A 19011-2023</t>
        </is>
      </c>
      <c r="B697" t="inlineStr">
        <is>
          <t>avverkningsanmälan</t>
        </is>
      </c>
      <c r="C697" t="inlineStr">
        <is>
          <t>Föryngringsavverkning</t>
        </is>
      </c>
      <c r="D697" s="1" t="n">
        <v>45045</v>
      </c>
      <c r="E697" s="1" t="n">
        <v>46313</v>
      </c>
      <c r="F697" t="inlineStr">
        <is>
          <t>VÄRMLANDS LÄN</t>
        </is>
      </c>
      <c r="G697" t="inlineStr">
        <is>
          <t>SUNNE</t>
        </is>
      </c>
      <c r="I697" t="n">
        <v>0.6</v>
      </c>
      <c r="J697" t="n">
        <v>0</v>
      </c>
      <c r="K697" t="n">
        <v>0</v>
      </c>
      <c r="L697" t="n">
        <v>0</v>
      </c>
      <c r="M697" t="n">
        <v>0</v>
      </c>
      <c r="N697" t="n">
        <v>0</v>
      </c>
      <c r="O697" t="n">
        <v>0</v>
      </c>
      <c r="P697" t="n">
        <v>0</v>
      </c>
      <c r="Q697" t="n">
        <v>0</v>
      </c>
      <c r="R697" t="n">
        <v>0</v>
      </c>
      <c r="S697" t="n">
        <v>0</v>
      </c>
      <c r="T697" t="n">
        <v>0</v>
      </c>
      <c r="U697" t="n">
        <v>0</v>
      </c>
      <c r="V697" s="2" t="inlineStr"/>
    </row>
    <row r="698" ht="15" customHeight="1">
      <c r="A698" t="inlineStr">
        <is>
          <t>A 28396-2022</t>
        </is>
      </c>
      <c r="B698" t="inlineStr">
        <is>
          <t>avverkningsanmälan</t>
        </is>
      </c>
      <c r="C698" t="inlineStr">
        <is>
          <t>Föryngringsavverkning</t>
        </is>
      </c>
      <c r="D698" s="1" t="n">
        <v>44747</v>
      </c>
      <c r="E698" s="1" t="n">
        <v>46313</v>
      </c>
      <c r="F698" t="inlineStr">
        <is>
          <t>VÄRMLANDS LÄN</t>
        </is>
      </c>
      <c r="G698" t="inlineStr">
        <is>
          <t>SUNNE</t>
        </is>
      </c>
      <c r="I698" t="n">
        <v>4.6</v>
      </c>
      <c r="J698" t="n">
        <v>0</v>
      </c>
      <c r="K698" t="n">
        <v>0</v>
      </c>
      <c r="L698" t="n">
        <v>0</v>
      </c>
      <c r="M698" t="n">
        <v>0</v>
      </c>
      <c r="N698" t="n">
        <v>0</v>
      </c>
      <c r="O698" t="n">
        <v>0</v>
      </c>
      <c r="P698" t="n">
        <v>0</v>
      </c>
      <c r="Q698" t="n">
        <v>0</v>
      </c>
      <c r="R698" t="n">
        <v>0</v>
      </c>
      <c r="S698" t="n">
        <v>0</v>
      </c>
      <c r="T698" t="n">
        <v>0</v>
      </c>
      <c r="U698" t="n">
        <v>0</v>
      </c>
      <c r="V698" s="2" t="inlineStr"/>
    </row>
    <row r="699" ht="15" customHeight="1">
      <c r="A699" t="inlineStr">
        <is>
          <t>A 26119-2026</t>
        </is>
      </c>
      <c r="B699" t="inlineStr">
        <is>
          <t>avverkningsanmälan</t>
        </is>
      </c>
      <c r="C699" t="inlineStr">
        <is>
          <t>Föryngringsavverkning</t>
        </is>
      </c>
      <c r="D699" s="1" t="n">
        <v>46181</v>
      </c>
      <c r="E699" s="1" t="n">
        <v>46313</v>
      </c>
      <c r="F699" t="inlineStr">
        <is>
          <t>VÄRMLANDS LÄN</t>
        </is>
      </c>
      <c r="G699" t="inlineStr">
        <is>
          <t>SUNNE</t>
        </is>
      </c>
      <c r="I699" t="n">
        <v>4.8</v>
      </c>
      <c r="J699" t="n">
        <v>0</v>
      </c>
      <c r="K699" t="n">
        <v>0</v>
      </c>
      <c r="L699" t="n">
        <v>0</v>
      </c>
      <c r="M699" t="n">
        <v>0</v>
      </c>
      <c r="N699" t="n">
        <v>0</v>
      </c>
      <c r="O699" t="n">
        <v>0</v>
      </c>
      <c r="P699" t="n">
        <v>0</v>
      </c>
      <c r="Q699" t="n">
        <v>0</v>
      </c>
      <c r="R699" t="n">
        <v>0</v>
      </c>
      <c r="S699" t="n">
        <v>0</v>
      </c>
      <c r="T699" t="n">
        <v>0</v>
      </c>
      <c r="U699" t="n">
        <v>0</v>
      </c>
      <c r="V699" s="2" t="inlineStr"/>
    </row>
    <row r="700" ht="15" customHeight="1">
      <c r="A700" t="inlineStr">
        <is>
          <t>A 7400-2026</t>
        </is>
      </c>
      <c r="B700" t="inlineStr">
        <is>
          <t>avverkningsanmälan</t>
        </is>
      </c>
      <c r="C700" t="inlineStr">
        <is>
          <t>Föryngringsavverkning</t>
        </is>
      </c>
      <c r="D700" s="1" t="n">
        <v>46059</v>
      </c>
      <c r="E700" s="1" t="n">
        <v>46313</v>
      </c>
      <c r="F700" t="inlineStr">
        <is>
          <t>VÄRMLANDS LÄN</t>
        </is>
      </c>
      <c r="G700" t="inlineStr">
        <is>
          <t>SUNNE</t>
        </is>
      </c>
      <c r="I700" t="n">
        <v>1.2</v>
      </c>
      <c r="J700" t="n">
        <v>0</v>
      </c>
      <c r="K700" t="n">
        <v>0</v>
      </c>
      <c r="L700" t="n">
        <v>0</v>
      </c>
      <c r="M700" t="n">
        <v>0</v>
      </c>
      <c r="N700" t="n">
        <v>0</v>
      </c>
      <c r="O700" t="n">
        <v>0</v>
      </c>
      <c r="P700" t="n">
        <v>0</v>
      </c>
      <c r="Q700" t="n">
        <v>0</v>
      </c>
      <c r="R700" t="n">
        <v>0</v>
      </c>
      <c r="S700" t="n">
        <v>0</v>
      </c>
      <c r="T700" t="n">
        <v>0</v>
      </c>
      <c r="U700" t="n">
        <v>0</v>
      </c>
      <c r="V700" s="2" t="inlineStr"/>
    </row>
    <row r="701" ht="15" customHeight="1">
      <c r="A701" t="inlineStr">
        <is>
          <t>A 64582-2023</t>
        </is>
      </c>
      <c r="B701" t="inlineStr">
        <is>
          <t>avverkningsanmälan</t>
        </is>
      </c>
      <c r="C701" t="inlineStr">
        <is>
          <t>Föryngringsavverkning</t>
        </is>
      </c>
      <c r="D701" s="1" t="n">
        <v>45281</v>
      </c>
      <c r="E701" s="1" t="n">
        <v>46313</v>
      </c>
      <c r="F701" t="inlineStr">
        <is>
          <t>VÄRMLANDS LÄN</t>
        </is>
      </c>
      <c r="G701" t="inlineStr">
        <is>
          <t>SUNNE</t>
        </is>
      </c>
      <c r="I701" t="n">
        <v>0.9</v>
      </c>
      <c r="J701" t="n">
        <v>0</v>
      </c>
      <c r="K701" t="n">
        <v>0</v>
      </c>
      <c r="L701" t="n">
        <v>0</v>
      </c>
      <c r="M701" t="n">
        <v>0</v>
      </c>
      <c r="N701" t="n">
        <v>0</v>
      </c>
      <c r="O701" t="n">
        <v>0</v>
      </c>
      <c r="P701" t="n">
        <v>0</v>
      </c>
      <c r="Q701" t="n">
        <v>0</v>
      </c>
      <c r="R701" t="n">
        <v>0</v>
      </c>
      <c r="S701" t="n">
        <v>0</v>
      </c>
      <c r="T701" t="n">
        <v>0</v>
      </c>
      <c r="U701" t="n">
        <v>0</v>
      </c>
      <c r="V701" s="2" t="inlineStr"/>
    </row>
    <row r="702" ht="15" customHeight="1">
      <c r="A702" t="inlineStr">
        <is>
          <t>A 7377-2026</t>
        </is>
      </c>
      <c r="B702" t="inlineStr">
        <is>
          <t>avverkningsanmälan</t>
        </is>
      </c>
      <c r="C702" t="inlineStr">
        <is>
          <t>Föryngringsavverkning</t>
        </is>
      </c>
      <c r="D702" s="1" t="n">
        <v>46059</v>
      </c>
      <c r="E702" s="1" t="n">
        <v>46313</v>
      </c>
      <c r="F702" t="inlineStr">
        <is>
          <t>VÄRMLANDS LÄN</t>
        </is>
      </c>
      <c r="G702" t="inlineStr">
        <is>
          <t>SUNNE</t>
        </is>
      </c>
      <c r="I702" t="n">
        <v>2.7</v>
      </c>
      <c r="J702" t="n">
        <v>0</v>
      </c>
      <c r="K702" t="n">
        <v>0</v>
      </c>
      <c r="L702" t="n">
        <v>0</v>
      </c>
      <c r="M702" t="n">
        <v>0</v>
      </c>
      <c r="N702" t="n">
        <v>0</v>
      </c>
      <c r="O702" t="n">
        <v>0</v>
      </c>
      <c r="P702" t="n">
        <v>0</v>
      </c>
      <c r="Q702" t="n">
        <v>0</v>
      </c>
      <c r="R702" t="n">
        <v>0</v>
      </c>
      <c r="S702" t="n">
        <v>0</v>
      </c>
      <c r="T702" t="n">
        <v>0</v>
      </c>
      <c r="U702" t="n">
        <v>0</v>
      </c>
      <c r="V702" s="2" t="inlineStr"/>
    </row>
    <row r="703" ht="15" customHeight="1">
      <c r="A703" t="inlineStr">
        <is>
          <t>A 10231-2023</t>
        </is>
      </c>
      <c r="B703" t="inlineStr">
        <is>
          <t>avverkningsanmälan</t>
        </is>
      </c>
      <c r="C703" t="inlineStr">
        <is>
          <t>Avverkning för annat ändamål</t>
        </is>
      </c>
      <c r="D703" s="1" t="n">
        <v>44980</v>
      </c>
      <c r="E703" s="1" t="n">
        <v>46313</v>
      </c>
      <c r="F703" t="inlineStr">
        <is>
          <t>VÄRMLANDS LÄN</t>
        </is>
      </c>
      <c r="G703" t="inlineStr">
        <is>
          <t>SUNNE</t>
        </is>
      </c>
      <c r="I703" t="n">
        <v>2.2</v>
      </c>
      <c r="J703" t="n">
        <v>0</v>
      </c>
      <c r="K703" t="n">
        <v>0</v>
      </c>
      <c r="L703" t="n">
        <v>0</v>
      </c>
      <c r="M703" t="n">
        <v>0</v>
      </c>
      <c r="N703" t="n">
        <v>0</v>
      </c>
      <c r="O703" t="n">
        <v>0</v>
      </c>
      <c r="P703" t="n">
        <v>0</v>
      </c>
      <c r="Q703" t="n">
        <v>0</v>
      </c>
      <c r="R703" t="n">
        <v>0</v>
      </c>
      <c r="S703" t="n">
        <v>0</v>
      </c>
      <c r="T703" t="n">
        <v>0</v>
      </c>
      <c r="U703" t="n">
        <v>0</v>
      </c>
      <c r="V703" s="2" t="inlineStr"/>
    </row>
    <row r="704" ht="15" customHeight="1">
      <c r="A704" t="inlineStr">
        <is>
          <t>A 7730-2026</t>
        </is>
      </c>
      <c r="B704" t="inlineStr">
        <is>
          <t>avverkningsanmälan</t>
        </is>
      </c>
      <c r="C704" t="inlineStr">
        <is>
          <t>Föryngringsavverkning</t>
        </is>
      </c>
      <c r="D704" s="1" t="n">
        <v>46062</v>
      </c>
      <c r="E704" s="1" t="n">
        <v>46313</v>
      </c>
      <c r="F704" t="inlineStr">
        <is>
          <t>VÄRMLANDS LÄN</t>
        </is>
      </c>
      <c r="G704" t="inlineStr">
        <is>
          <t>SUNNE</t>
        </is>
      </c>
      <c r="I704" t="n">
        <v>3.6</v>
      </c>
      <c r="J704" t="n">
        <v>0</v>
      </c>
      <c r="K704" t="n">
        <v>0</v>
      </c>
      <c r="L704" t="n">
        <v>0</v>
      </c>
      <c r="M704" t="n">
        <v>0</v>
      </c>
      <c r="N704" t="n">
        <v>0</v>
      </c>
      <c r="O704" t="n">
        <v>0</v>
      </c>
      <c r="P704" t="n">
        <v>0</v>
      </c>
      <c r="Q704" t="n">
        <v>0</v>
      </c>
      <c r="R704" t="n">
        <v>0</v>
      </c>
      <c r="S704" t="n">
        <v>0</v>
      </c>
      <c r="T704" t="n">
        <v>0</v>
      </c>
      <c r="U704" t="n">
        <v>0</v>
      </c>
      <c r="V704" s="2" t="inlineStr"/>
    </row>
    <row r="705" ht="15" customHeight="1">
      <c r="A705" t="inlineStr">
        <is>
          <t>A 7985-2026</t>
        </is>
      </c>
      <c r="B705" t="inlineStr">
        <is>
          <t>avverkningsanmälan</t>
        </is>
      </c>
      <c r="C705" t="inlineStr">
        <is>
          <t>Föryngringsavverkning</t>
        </is>
      </c>
      <c r="D705" s="1" t="n">
        <v>46063</v>
      </c>
      <c r="E705" s="1" t="n">
        <v>46313</v>
      </c>
      <c r="F705" t="inlineStr">
        <is>
          <t>VÄRMLANDS LÄN</t>
        </is>
      </c>
      <c r="G705" t="inlineStr">
        <is>
          <t>SUNNE</t>
        </is>
      </c>
      <c r="I705" t="n">
        <v>0.6</v>
      </c>
      <c r="J705" t="n">
        <v>0</v>
      </c>
      <c r="K705" t="n">
        <v>0</v>
      </c>
      <c r="L705" t="n">
        <v>0</v>
      </c>
      <c r="M705" t="n">
        <v>0</v>
      </c>
      <c r="N705" t="n">
        <v>0</v>
      </c>
      <c r="O705" t="n">
        <v>0</v>
      </c>
      <c r="P705" t="n">
        <v>0</v>
      </c>
      <c r="Q705" t="n">
        <v>0</v>
      </c>
      <c r="R705" t="n">
        <v>0</v>
      </c>
      <c r="S705" t="n">
        <v>0</v>
      </c>
      <c r="T705" t="n">
        <v>0</v>
      </c>
      <c r="U705" t="n">
        <v>0</v>
      </c>
      <c r="V705" s="2" t="inlineStr"/>
    </row>
    <row r="706" ht="15" customHeight="1">
      <c r="A706" t="inlineStr">
        <is>
          <t>A 57392-2023</t>
        </is>
      </c>
      <c r="B706" t="inlineStr">
        <is>
          <t>avverkningsanmälan</t>
        </is>
      </c>
      <c r="C706" t="inlineStr">
        <is>
          <t>Föryngringsavverkning</t>
        </is>
      </c>
      <c r="D706" s="1" t="n">
        <v>45245</v>
      </c>
      <c r="E706" s="1" t="n">
        <v>46313</v>
      </c>
      <c r="F706" t="inlineStr">
        <is>
          <t>VÄRMLANDS LÄN</t>
        </is>
      </c>
      <c r="G706" t="inlineStr">
        <is>
          <t>SUNNE</t>
        </is>
      </c>
      <c r="I706" t="n">
        <v>1.5</v>
      </c>
      <c r="J706" t="n">
        <v>0</v>
      </c>
      <c r="K706" t="n">
        <v>0</v>
      </c>
      <c r="L706" t="n">
        <v>0</v>
      </c>
      <c r="M706" t="n">
        <v>0</v>
      </c>
      <c r="N706" t="n">
        <v>0</v>
      </c>
      <c r="O706" t="n">
        <v>0</v>
      </c>
      <c r="P706" t="n">
        <v>0</v>
      </c>
      <c r="Q706" t="n">
        <v>0</v>
      </c>
      <c r="R706" t="n">
        <v>0</v>
      </c>
      <c r="S706" t="n">
        <v>0</v>
      </c>
      <c r="T706" t="n">
        <v>0</v>
      </c>
      <c r="U706" t="n">
        <v>0</v>
      </c>
      <c r="V706" s="2" t="inlineStr"/>
    </row>
    <row r="707" ht="15" customHeight="1">
      <c r="A707" t="inlineStr">
        <is>
          <t>A 7657-2026</t>
        </is>
      </c>
      <c r="B707" t="inlineStr">
        <is>
          <t>avverkningsanmälan</t>
        </is>
      </c>
      <c r="C707" t="inlineStr">
        <is>
          <t>Föryngringsavverkning</t>
        </is>
      </c>
      <c r="D707" s="1" t="n">
        <v>46062</v>
      </c>
      <c r="E707" s="1" t="n">
        <v>46313</v>
      </c>
      <c r="F707" t="inlineStr">
        <is>
          <t>VÄRMLANDS LÄN</t>
        </is>
      </c>
      <c r="G707" t="inlineStr">
        <is>
          <t>SUNNE</t>
        </is>
      </c>
      <c r="I707" t="n">
        <v>3.7</v>
      </c>
      <c r="J707" t="n">
        <v>0</v>
      </c>
      <c r="K707" t="n">
        <v>0</v>
      </c>
      <c r="L707" t="n">
        <v>0</v>
      </c>
      <c r="M707" t="n">
        <v>0</v>
      </c>
      <c r="N707" t="n">
        <v>0</v>
      </c>
      <c r="O707" t="n">
        <v>0</v>
      </c>
      <c r="P707" t="n">
        <v>0</v>
      </c>
      <c r="Q707" t="n">
        <v>0</v>
      </c>
      <c r="R707" t="n">
        <v>0</v>
      </c>
      <c r="S707" t="n">
        <v>0</v>
      </c>
      <c r="T707" t="n">
        <v>0</v>
      </c>
      <c r="U707" t="n">
        <v>0</v>
      </c>
      <c r="V707" s="2" t="inlineStr"/>
    </row>
    <row r="708" ht="15" customHeight="1">
      <c r="A708" t="inlineStr">
        <is>
          <t>A 23032-2026</t>
        </is>
      </c>
      <c r="B708" t="inlineStr">
        <is>
          <t>avverkningsanmälan</t>
        </is>
      </c>
      <c r="C708" t="inlineStr">
        <is>
          <t>Föryngringsavverkning</t>
        </is>
      </c>
      <c r="D708" s="1" t="n">
        <v>46161</v>
      </c>
      <c r="E708" s="1" t="n">
        <v>46313</v>
      </c>
      <c r="F708" t="inlineStr">
        <is>
          <t>VÄRMLANDS LÄN</t>
        </is>
      </c>
      <c r="G708" t="inlineStr">
        <is>
          <t>SUNNE</t>
        </is>
      </c>
      <c r="I708" t="n">
        <v>4.5</v>
      </c>
      <c r="J708" t="n">
        <v>0</v>
      </c>
      <c r="K708" t="n">
        <v>0</v>
      </c>
      <c r="L708" t="n">
        <v>0</v>
      </c>
      <c r="M708" t="n">
        <v>0</v>
      </c>
      <c r="N708" t="n">
        <v>0</v>
      </c>
      <c r="O708" t="n">
        <v>0</v>
      </c>
      <c r="P708" t="n">
        <v>0</v>
      </c>
      <c r="Q708" t="n">
        <v>0</v>
      </c>
      <c r="R708" t="n">
        <v>0</v>
      </c>
      <c r="S708" t="n">
        <v>0</v>
      </c>
      <c r="T708" t="n">
        <v>0</v>
      </c>
      <c r="U708" t="n">
        <v>0</v>
      </c>
      <c r="V708" s="2" t="inlineStr"/>
    </row>
    <row r="709" ht="15" customHeight="1">
      <c r="A709" t="inlineStr">
        <is>
          <t>A 23038-2026</t>
        </is>
      </c>
      <c r="B709" t="inlineStr">
        <is>
          <t>avverkningsanmälan</t>
        </is>
      </c>
      <c r="C709" t="inlineStr">
        <is>
          <t>Föryngringsavverkning</t>
        </is>
      </c>
      <c r="D709" s="1" t="n">
        <v>46161</v>
      </c>
      <c r="E709" s="1" t="n">
        <v>46313</v>
      </c>
      <c r="F709" t="inlineStr">
        <is>
          <t>VÄRMLANDS LÄN</t>
        </is>
      </c>
      <c r="G709" t="inlineStr">
        <is>
          <t>SUNNE</t>
        </is>
      </c>
      <c r="I709" t="n">
        <v>5.9</v>
      </c>
      <c r="J709" t="n">
        <v>0</v>
      </c>
      <c r="K709" t="n">
        <v>0</v>
      </c>
      <c r="L709" t="n">
        <v>0</v>
      </c>
      <c r="M709" t="n">
        <v>0</v>
      </c>
      <c r="N709" t="n">
        <v>0</v>
      </c>
      <c r="O709" t="n">
        <v>0</v>
      </c>
      <c r="P709" t="n">
        <v>0</v>
      </c>
      <c r="Q709" t="n">
        <v>0</v>
      </c>
      <c r="R709" t="n">
        <v>0</v>
      </c>
      <c r="S709" t="n">
        <v>0</v>
      </c>
      <c r="T709" t="n">
        <v>0</v>
      </c>
      <c r="U709" t="n">
        <v>0</v>
      </c>
      <c r="V709" s="2" t="inlineStr"/>
    </row>
    <row r="710" ht="15" customHeight="1">
      <c r="A710" t="inlineStr">
        <is>
          <t>A 513-2023</t>
        </is>
      </c>
      <c r="B710" t="inlineStr">
        <is>
          <t>avverkningsanmälan</t>
        </is>
      </c>
      <c r="C710" t="inlineStr">
        <is>
          <t>Föryngringsavverkning</t>
        </is>
      </c>
      <c r="D710" s="1" t="n">
        <v>44930</v>
      </c>
      <c r="E710" s="1" t="n">
        <v>46313</v>
      </c>
      <c r="F710" t="inlineStr">
        <is>
          <t>VÄRMLANDS LÄN</t>
        </is>
      </c>
      <c r="G710" t="inlineStr">
        <is>
          <t>SUNNE</t>
        </is>
      </c>
      <c r="I710" t="n">
        <v>0.3</v>
      </c>
      <c r="J710" t="n">
        <v>0</v>
      </c>
      <c r="K710" t="n">
        <v>0</v>
      </c>
      <c r="L710" t="n">
        <v>0</v>
      </c>
      <c r="M710" t="n">
        <v>0</v>
      </c>
      <c r="N710" t="n">
        <v>0</v>
      </c>
      <c r="O710" t="n">
        <v>0</v>
      </c>
      <c r="P710" t="n">
        <v>0</v>
      </c>
      <c r="Q710" t="n">
        <v>0</v>
      </c>
      <c r="R710" t="n">
        <v>0</v>
      </c>
      <c r="S710" t="n">
        <v>0</v>
      </c>
      <c r="T710" t="n">
        <v>0</v>
      </c>
      <c r="U710" t="n">
        <v>0</v>
      </c>
      <c r="V710" s="2" t="inlineStr"/>
    </row>
    <row r="711" ht="15" customHeight="1">
      <c r="A711" t="inlineStr">
        <is>
          <t>A 37334-2024</t>
        </is>
      </c>
      <c r="B711" t="inlineStr">
        <is>
          <t>avverkningsanmälan</t>
        </is>
      </c>
      <c r="C711" t="inlineStr">
        <is>
          <t>Föryngringsavverkning</t>
        </is>
      </c>
      <c r="D711" s="1" t="n">
        <v>45540</v>
      </c>
      <c r="E711" s="1" t="n">
        <v>46313</v>
      </c>
      <c r="F711" t="inlineStr">
        <is>
          <t>VÄRMLANDS LÄN</t>
        </is>
      </c>
      <c r="G711" t="inlineStr">
        <is>
          <t>SUNNE</t>
        </is>
      </c>
      <c r="I711" t="n">
        <v>0.8</v>
      </c>
      <c r="J711" t="n">
        <v>0</v>
      </c>
      <c r="K711" t="n">
        <v>0</v>
      </c>
      <c r="L711" t="n">
        <v>0</v>
      </c>
      <c r="M711" t="n">
        <v>0</v>
      </c>
      <c r="N711" t="n">
        <v>0</v>
      </c>
      <c r="O711" t="n">
        <v>0</v>
      </c>
      <c r="P711" t="n">
        <v>0</v>
      </c>
      <c r="Q711" t="n">
        <v>0</v>
      </c>
      <c r="R711" t="n">
        <v>0</v>
      </c>
      <c r="S711" t="n">
        <v>0</v>
      </c>
      <c r="T711" t="n">
        <v>0</v>
      </c>
      <c r="U711" t="n">
        <v>0</v>
      </c>
      <c r="V711" s="2" t="inlineStr"/>
    </row>
    <row r="712" ht="15" customHeight="1">
      <c r="A712" t="inlineStr">
        <is>
          <t>A 64539-2023</t>
        </is>
      </c>
      <c r="B712" t="inlineStr">
        <is>
          <t>avverkningsanmälan</t>
        </is>
      </c>
      <c r="C712" t="inlineStr">
        <is>
          <t>Föryngringsavverkning</t>
        </is>
      </c>
      <c r="D712" s="1" t="n">
        <v>45281</v>
      </c>
      <c r="E712" s="1" t="n">
        <v>46313</v>
      </c>
      <c r="F712" t="inlineStr">
        <is>
          <t>VÄRMLANDS LÄN</t>
        </is>
      </c>
      <c r="G712" t="inlineStr">
        <is>
          <t>SUNNE</t>
        </is>
      </c>
      <c r="I712" t="n">
        <v>12.5</v>
      </c>
      <c r="J712" t="n">
        <v>0</v>
      </c>
      <c r="K712" t="n">
        <v>0</v>
      </c>
      <c r="L712" t="n">
        <v>0</v>
      </c>
      <c r="M712" t="n">
        <v>0</v>
      </c>
      <c r="N712" t="n">
        <v>0</v>
      </c>
      <c r="O712" t="n">
        <v>0</v>
      </c>
      <c r="P712" t="n">
        <v>0</v>
      </c>
      <c r="Q712" t="n">
        <v>0</v>
      </c>
      <c r="R712" t="n">
        <v>0</v>
      </c>
      <c r="S712" t="n">
        <v>0</v>
      </c>
      <c r="T712" t="n">
        <v>0</v>
      </c>
      <c r="U712" t="n">
        <v>0</v>
      </c>
      <c r="V712" s="2" t="inlineStr"/>
    </row>
    <row r="713" ht="15" customHeight="1">
      <c r="A713" t="inlineStr">
        <is>
          <t>A 816-2024</t>
        </is>
      </c>
      <c r="B713" t="inlineStr">
        <is>
          <t>avverkningsanmälan</t>
        </is>
      </c>
      <c r="C713" t="inlineStr">
        <is>
          <t>Föryngringsavverkning</t>
        </is>
      </c>
      <c r="D713" s="1" t="n">
        <v>45300</v>
      </c>
      <c r="E713" s="1" t="n">
        <v>46313</v>
      </c>
      <c r="F713" t="inlineStr">
        <is>
          <t>VÄRMLANDS LÄN</t>
        </is>
      </c>
      <c r="G713" t="inlineStr">
        <is>
          <t>SUNNE</t>
        </is>
      </c>
      <c r="I713" t="n">
        <v>0.5</v>
      </c>
      <c r="J713" t="n">
        <v>0</v>
      </c>
      <c r="K713" t="n">
        <v>0</v>
      </c>
      <c r="L713" t="n">
        <v>0</v>
      </c>
      <c r="M713" t="n">
        <v>0</v>
      </c>
      <c r="N713" t="n">
        <v>0</v>
      </c>
      <c r="O713" t="n">
        <v>0</v>
      </c>
      <c r="P713" t="n">
        <v>0</v>
      </c>
      <c r="Q713" t="n">
        <v>0</v>
      </c>
      <c r="R713" t="n">
        <v>0</v>
      </c>
      <c r="S713" t="n">
        <v>0</v>
      </c>
      <c r="T713" t="n">
        <v>0</v>
      </c>
      <c r="U713" t="n">
        <v>0</v>
      </c>
      <c r="V713" s="2" t="inlineStr"/>
    </row>
    <row r="714" ht="15" customHeight="1">
      <c r="A714" t="inlineStr">
        <is>
          <t>A 34062-2023</t>
        </is>
      </c>
      <c r="B714" t="inlineStr">
        <is>
          <t>avverkningsanmälan</t>
        </is>
      </c>
      <c r="C714" t="inlineStr">
        <is>
          <t>Föryngringsavverkning</t>
        </is>
      </c>
      <c r="D714" s="1" t="n">
        <v>45125</v>
      </c>
      <c r="E714" s="1" t="n">
        <v>46313</v>
      </c>
      <c r="F714" t="inlineStr">
        <is>
          <t>VÄRMLANDS LÄN</t>
        </is>
      </c>
      <c r="G714" t="inlineStr">
        <is>
          <t>SUNNE</t>
        </is>
      </c>
      <c r="I714" t="n">
        <v>20.1</v>
      </c>
      <c r="J714" t="n">
        <v>0</v>
      </c>
      <c r="K714" t="n">
        <v>0</v>
      </c>
      <c r="L714" t="n">
        <v>0</v>
      </c>
      <c r="M714" t="n">
        <v>0</v>
      </c>
      <c r="N714" t="n">
        <v>0</v>
      </c>
      <c r="O714" t="n">
        <v>0</v>
      </c>
      <c r="P714" t="n">
        <v>0</v>
      </c>
      <c r="Q714" t="n">
        <v>0</v>
      </c>
      <c r="R714" t="n">
        <v>0</v>
      </c>
      <c r="S714" t="n">
        <v>0</v>
      </c>
      <c r="T714" t="n">
        <v>0</v>
      </c>
      <c r="U714" t="n">
        <v>0</v>
      </c>
      <c r="V714" s="2" t="inlineStr"/>
    </row>
    <row r="715" ht="15" customHeight="1">
      <c r="A715" t="inlineStr">
        <is>
          <t>A 27110-2026</t>
        </is>
      </c>
      <c r="B715" t="inlineStr">
        <is>
          <t>avverkningsanmälan</t>
        </is>
      </c>
      <c r="C715" t="inlineStr">
        <is>
          <t>Föryngringsavverkning</t>
        </is>
      </c>
      <c r="D715" s="1" t="n">
        <v>46188</v>
      </c>
      <c r="E715" s="1" t="n">
        <v>46313</v>
      </c>
      <c r="F715" t="inlineStr">
        <is>
          <t>VÄRMLANDS LÄN</t>
        </is>
      </c>
      <c r="G715" t="inlineStr">
        <is>
          <t>SUNNE</t>
        </is>
      </c>
      <c r="I715" t="n">
        <v>15</v>
      </c>
      <c r="J715" t="n">
        <v>0</v>
      </c>
      <c r="K715" t="n">
        <v>0</v>
      </c>
      <c r="L715" t="n">
        <v>0</v>
      </c>
      <c r="M715" t="n">
        <v>0</v>
      </c>
      <c r="N715" t="n">
        <v>0</v>
      </c>
      <c r="O715" t="n">
        <v>0</v>
      </c>
      <c r="P715" t="n">
        <v>0</v>
      </c>
      <c r="Q715" t="n">
        <v>0</v>
      </c>
      <c r="R715" t="n">
        <v>0</v>
      </c>
      <c r="S715" t="n">
        <v>0</v>
      </c>
      <c r="T715" t="n">
        <v>0</v>
      </c>
      <c r="U715" t="n">
        <v>0</v>
      </c>
      <c r="V715" s="2" t="inlineStr"/>
    </row>
    <row r="716" ht="15" customHeight="1">
      <c r="A716" t="inlineStr">
        <is>
          <t>A 8777-2026</t>
        </is>
      </c>
      <c r="B716" t="inlineStr">
        <is>
          <t>avverkningsanmälan</t>
        </is>
      </c>
      <c r="C716" t="inlineStr">
        <is>
          <t>Föryngringsavverkning</t>
        </is>
      </c>
      <c r="D716" s="1" t="n">
        <v>46066</v>
      </c>
      <c r="E716" s="1" t="n">
        <v>46313</v>
      </c>
      <c r="F716" t="inlineStr">
        <is>
          <t>VÄRMLANDS LÄN</t>
        </is>
      </c>
      <c r="G716" t="inlineStr">
        <is>
          <t>SUNNE</t>
        </is>
      </c>
      <c r="I716" t="n">
        <v>5.1</v>
      </c>
      <c r="J716" t="n">
        <v>0</v>
      </c>
      <c r="K716" t="n">
        <v>0</v>
      </c>
      <c r="L716" t="n">
        <v>0</v>
      </c>
      <c r="M716" t="n">
        <v>0</v>
      </c>
      <c r="N716" t="n">
        <v>0</v>
      </c>
      <c r="O716" t="n">
        <v>0</v>
      </c>
      <c r="P716" t="n">
        <v>0</v>
      </c>
      <c r="Q716" t="n">
        <v>0</v>
      </c>
      <c r="R716" t="n">
        <v>0</v>
      </c>
      <c r="S716" t="n">
        <v>0</v>
      </c>
      <c r="T716" t="n">
        <v>0</v>
      </c>
      <c r="U716" t="n">
        <v>0</v>
      </c>
      <c r="V716" s="2" t="inlineStr"/>
    </row>
    <row r="717" ht="15" customHeight="1">
      <c r="A717" t="inlineStr">
        <is>
          <t>A 9407-2026</t>
        </is>
      </c>
      <c r="B717" t="inlineStr">
        <is>
          <t>avverkningsanmälan</t>
        </is>
      </c>
      <c r="C717" t="inlineStr">
        <is>
          <t>Föryngringsavverkning</t>
        </is>
      </c>
      <c r="D717" s="1" t="n">
        <v>46071</v>
      </c>
      <c r="E717" s="1" t="n">
        <v>46313</v>
      </c>
      <c r="F717" t="inlineStr">
        <is>
          <t>VÄRMLANDS LÄN</t>
        </is>
      </c>
      <c r="G717" t="inlineStr">
        <is>
          <t>SUNNE</t>
        </is>
      </c>
      <c r="I717" t="n">
        <v>1.2</v>
      </c>
      <c r="J717" t="n">
        <v>0</v>
      </c>
      <c r="K717" t="n">
        <v>0</v>
      </c>
      <c r="L717" t="n">
        <v>0</v>
      </c>
      <c r="M717" t="n">
        <v>0</v>
      </c>
      <c r="N717" t="n">
        <v>0</v>
      </c>
      <c r="O717" t="n">
        <v>0</v>
      </c>
      <c r="P717" t="n">
        <v>0</v>
      </c>
      <c r="Q717" t="n">
        <v>0</v>
      </c>
      <c r="R717" t="n">
        <v>0</v>
      </c>
      <c r="S717" t="n">
        <v>0</v>
      </c>
      <c r="T717" t="n">
        <v>0</v>
      </c>
      <c r="U717" t="n">
        <v>0</v>
      </c>
      <c r="V717" s="2" t="inlineStr"/>
    </row>
    <row r="718" ht="15" customHeight="1">
      <c r="A718" t="inlineStr">
        <is>
          <t>A 9419-2026</t>
        </is>
      </c>
      <c r="B718" t="inlineStr">
        <is>
          <t>avverkningsanmälan</t>
        </is>
      </c>
      <c r="C718" t="inlineStr">
        <is>
          <t>Föryngringsavverkning</t>
        </is>
      </c>
      <c r="D718" s="1" t="n">
        <v>46071</v>
      </c>
      <c r="E718" s="1" t="n">
        <v>46313</v>
      </c>
      <c r="F718" t="inlineStr">
        <is>
          <t>VÄRMLANDS LÄN</t>
        </is>
      </c>
      <c r="G718" t="inlineStr">
        <is>
          <t>SUNNE</t>
        </is>
      </c>
      <c r="I718" t="n">
        <v>1.1</v>
      </c>
      <c r="J718" t="n">
        <v>0</v>
      </c>
      <c r="K718" t="n">
        <v>0</v>
      </c>
      <c r="L718" t="n">
        <v>0</v>
      </c>
      <c r="M718" t="n">
        <v>0</v>
      </c>
      <c r="N718" t="n">
        <v>0</v>
      </c>
      <c r="O718" t="n">
        <v>0</v>
      </c>
      <c r="P718" t="n">
        <v>0</v>
      </c>
      <c r="Q718" t="n">
        <v>0</v>
      </c>
      <c r="R718" t="n">
        <v>0</v>
      </c>
      <c r="S718" t="n">
        <v>0</v>
      </c>
      <c r="T718" t="n">
        <v>0</v>
      </c>
      <c r="U718" t="n">
        <v>0</v>
      </c>
      <c r="V718" s="2" t="inlineStr"/>
    </row>
    <row r="719" ht="15" customHeight="1">
      <c r="A719" t="inlineStr">
        <is>
          <t>A 27260-2026</t>
        </is>
      </c>
      <c r="B719" t="inlineStr">
        <is>
          <t>avverkningsanmälan</t>
        </is>
      </c>
      <c r="C719" t="inlineStr">
        <is>
          <t>Föryngringsavverkning</t>
        </is>
      </c>
      <c r="D719" s="1" t="n">
        <v>46188</v>
      </c>
      <c r="E719" s="1" t="n">
        <v>46313</v>
      </c>
      <c r="F719" t="inlineStr">
        <is>
          <t>VÄRMLANDS LÄN</t>
        </is>
      </c>
      <c r="G719" t="inlineStr">
        <is>
          <t>SUNNE</t>
        </is>
      </c>
      <c r="I719" t="n">
        <v>11.1</v>
      </c>
      <c r="J719" t="n">
        <v>0</v>
      </c>
      <c r="K719" t="n">
        <v>0</v>
      </c>
      <c r="L719" t="n">
        <v>0</v>
      </c>
      <c r="M719" t="n">
        <v>0</v>
      </c>
      <c r="N719" t="n">
        <v>0</v>
      </c>
      <c r="O719" t="n">
        <v>0</v>
      </c>
      <c r="P719" t="n">
        <v>0</v>
      </c>
      <c r="Q719" t="n">
        <v>0</v>
      </c>
      <c r="R719" t="n">
        <v>0</v>
      </c>
      <c r="S719" t="n">
        <v>0</v>
      </c>
      <c r="T719" t="n">
        <v>0</v>
      </c>
      <c r="U719" t="n">
        <v>0</v>
      </c>
      <c r="V719" s="2" t="inlineStr"/>
    </row>
    <row r="720" ht="15" customHeight="1">
      <c r="A720" t="inlineStr">
        <is>
          <t>A 2385-2024</t>
        </is>
      </c>
      <c r="B720" t="inlineStr">
        <is>
          <t>avverkningsanmälan</t>
        </is>
      </c>
      <c r="C720" t="inlineStr">
        <is>
          <t>Föryngringsavverkning</t>
        </is>
      </c>
      <c r="D720" s="1" t="n">
        <v>45310</v>
      </c>
      <c r="E720" s="1" t="n">
        <v>46313</v>
      </c>
      <c r="F720" t="inlineStr">
        <is>
          <t>VÄRMLANDS LÄN</t>
        </is>
      </c>
      <c r="G720" t="inlineStr">
        <is>
          <t>SUNNE</t>
        </is>
      </c>
      <c r="I720" t="n">
        <v>3.6</v>
      </c>
      <c r="J720" t="n">
        <v>0</v>
      </c>
      <c r="K720" t="n">
        <v>0</v>
      </c>
      <c r="L720" t="n">
        <v>0</v>
      </c>
      <c r="M720" t="n">
        <v>0</v>
      </c>
      <c r="N720" t="n">
        <v>0</v>
      </c>
      <c r="O720" t="n">
        <v>0</v>
      </c>
      <c r="P720" t="n">
        <v>0</v>
      </c>
      <c r="Q720" t="n">
        <v>0</v>
      </c>
      <c r="R720" t="n">
        <v>0</v>
      </c>
      <c r="S720" t="n">
        <v>0</v>
      </c>
      <c r="T720" t="n">
        <v>0</v>
      </c>
      <c r="U720" t="n">
        <v>0</v>
      </c>
      <c r="V720" s="2" t="inlineStr"/>
    </row>
    <row r="721" ht="15" customHeight="1">
      <c r="A721" t="inlineStr">
        <is>
          <t>A 27308-2026</t>
        </is>
      </c>
      <c r="B721" t="inlineStr">
        <is>
          <t>avverkningsanmälan</t>
        </is>
      </c>
      <c r="C721" t="inlineStr">
        <is>
          <t>Föryngringsavverkning</t>
        </is>
      </c>
      <c r="D721" s="1" t="n">
        <v>46188</v>
      </c>
      <c r="E721" s="1" t="n">
        <v>46313</v>
      </c>
      <c r="F721" t="inlineStr">
        <is>
          <t>VÄRMLANDS LÄN</t>
        </is>
      </c>
      <c r="G721" t="inlineStr">
        <is>
          <t>SUNNE</t>
        </is>
      </c>
      <c r="I721" t="n">
        <v>1.1</v>
      </c>
      <c r="J721" t="n">
        <v>0</v>
      </c>
      <c r="K721" t="n">
        <v>0</v>
      </c>
      <c r="L721" t="n">
        <v>0</v>
      </c>
      <c r="M721" t="n">
        <v>0</v>
      </c>
      <c r="N721" t="n">
        <v>0</v>
      </c>
      <c r="O721" t="n">
        <v>0</v>
      </c>
      <c r="P721" t="n">
        <v>0</v>
      </c>
      <c r="Q721" t="n">
        <v>0</v>
      </c>
      <c r="R721" t="n">
        <v>0</v>
      </c>
      <c r="S721" t="n">
        <v>0</v>
      </c>
      <c r="T721" t="n">
        <v>0</v>
      </c>
      <c r="U721" t="n">
        <v>0</v>
      </c>
      <c r="V721" s="2" t="inlineStr"/>
    </row>
    <row r="722" ht="15" customHeight="1">
      <c r="A722" t="inlineStr">
        <is>
          <t>A 32405-2023</t>
        </is>
      </c>
      <c r="B722" t="inlineStr">
        <is>
          <t>avverkningsanmälan</t>
        </is>
      </c>
      <c r="C722" t="inlineStr">
        <is>
          <t>Föryngringsavverkning</t>
        </is>
      </c>
      <c r="D722" s="1" t="n">
        <v>45110</v>
      </c>
      <c r="E722" s="1" t="n">
        <v>46313</v>
      </c>
      <c r="F722" t="inlineStr">
        <is>
          <t>VÄRMLANDS LÄN</t>
        </is>
      </c>
      <c r="G722" t="inlineStr">
        <is>
          <t>SUNNE</t>
        </is>
      </c>
      <c r="H722" t="inlineStr">
        <is>
          <t>Övriga statliga verk och myndigheter</t>
        </is>
      </c>
      <c r="I722" t="n">
        <v>4.2</v>
      </c>
      <c r="J722" t="n">
        <v>0</v>
      </c>
      <c r="K722" t="n">
        <v>0</v>
      </c>
      <c r="L722" t="n">
        <v>0</v>
      </c>
      <c r="M722" t="n">
        <v>0</v>
      </c>
      <c r="N722" t="n">
        <v>0</v>
      </c>
      <c r="O722" t="n">
        <v>0</v>
      </c>
      <c r="P722" t="n">
        <v>0</v>
      </c>
      <c r="Q722" t="n">
        <v>0</v>
      </c>
      <c r="R722" t="n">
        <v>0</v>
      </c>
      <c r="S722" t="n">
        <v>0</v>
      </c>
      <c r="T722" t="n">
        <v>0</v>
      </c>
      <c r="U722" t="n">
        <v>0</v>
      </c>
      <c r="V722" s="2" t="inlineStr"/>
    </row>
    <row r="723" ht="15" customHeight="1">
      <c r="A723" t="inlineStr">
        <is>
          <t>A 33459-2024</t>
        </is>
      </c>
      <c r="B723" t="inlineStr">
        <is>
          <t>avverkningsanmälan</t>
        </is>
      </c>
      <c r="C723" t="inlineStr">
        <is>
          <t>Föryngringsavverkning</t>
        </is>
      </c>
      <c r="D723" s="1" t="n">
        <v>45519</v>
      </c>
      <c r="E723" s="1" t="n">
        <v>46313</v>
      </c>
      <c r="F723" t="inlineStr">
        <is>
          <t>VÄRMLANDS LÄN</t>
        </is>
      </c>
      <c r="G723" t="inlineStr">
        <is>
          <t>SUNNE</t>
        </is>
      </c>
      <c r="H723" t="inlineStr">
        <is>
          <t>Bergvik skog väst AB</t>
        </is>
      </c>
      <c r="I723" t="n">
        <v>2.6</v>
      </c>
      <c r="J723" t="n">
        <v>0</v>
      </c>
      <c r="K723" t="n">
        <v>0</v>
      </c>
      <c r="L723" t="n">
        <v>0</v>
      </c>
      <c r="M723" t="n">
        <v>0</v>
      </c>
      <c r="N723" t="n">
        <v>0</v>
      </c>
      <c r="O723" t="n">
        <v>0</v>
      </c>
      <c r="P723" t="n">
        <v>0</v>
      </c>
      <c r="Q723" t="n">
        <v>0</v>
      </c>
      <c r="R723" t="n">
        <v>0</v>
      </c>
      <c r="S723" t="n">
        <v>0</v>
      </c>
      <c r="T723" t="n">
        <v>0</v>
      </c>
      <c r="U723" t="n">
        <v>0</v>
      </c>
      <c r="V723" s="2" t="inlineStr"/>
    </row>
    <row r="724" ht="15" customHeight="1">
      <c r="A724" t="inlineStr">
        <is>
          <t>A 39128-2023</t>
        </is>
      </c>
      <c r="B724" t="inlineStr">
        <is>
          <t>avverkningsanmälan</t>
        </is>
      </c>
      <c r="C724" t="inlineStr">
        <is>
          <t>Föryngringsavverkning</t>
        </is>
      </c>
      <c r="D724" s="1" t="n">
        <v>45165</v>
      </c>
      <c r="E724" s="1" t="n">
        <v>46313</v>
      </c>
      <c r="F724" t="inlineStr">
        <is>
          <t>VÄRMLANDS LÄN</t>
        </is>
      </c>
      <c r="G724" t="inlineStr">
        <is>
          <t>SUNNE</t>
        </is>
      </c>
      <c r="I724" t="n">
        <v>3.6</v>
      </c>
      <c r="J724" t="n">
        <v>0</v>
      </c>
      <c r="K724" t="n">
        <v>0</v>
      </c>
      <c r="L724" t="n">
        <v>0</v>
      </c>
      <c r="M724" t="n">
        <v>0</v>
      </c>
      <c r="N724" t="n">
        <v>0</v>
      </c>
      <c r="O724" t="n">
        <v>0</v>
      </c>
      <c r="P724" t="n">
        <v>0</v>
      </c>
      <c r="Q724" t="n">
        <v>0</v>
      </c>
      <c r="R724" t="n">
        <v>0</v>
      </c>
      <c r="S724" t="n">
        <v>0</v>
      </c>
      <c r="T724" t="n">
        <v>0</v>
      </c>
      <c r="U724" t="n">
        <v>0</v>
      </c>
      <c r="V724" s="2" t="inlineStr"/>
    </row>
    <row r="725" ht="15" customHeight="1">
      <c r="A725" t="inlineStr">
        <is>
          <t>A 56238-2023</t>
        </is>
      </c>
      <c r="B725" t="inlineStr">
        <is>
          <t>avverkningsanmälan</t>
        </is>
      </c>
      <c r="C725" t="inlineStr">
        <is>
          <t>Föryngringsavverkning</t>
        </is>
      </c>
      <c r="D725" s="1" t="n">
        <v>45240</v>
      </c>
      <c r="E725" s="1" t="n">
        <v>46313</v>
      </c>
      <c r="F725" t="inlineStr">
        <is>
          <t>VÄRMLANDS LÄN</t>
        </is>
      </c>
      <c r="G725" t="inlineStr">
        <is>
          <t>SUNNE</t>
        </is>
      </c>
      <c r="I725" t="n">
        <v>1.9</v>
      </c>
      <c r="J725" t="n">
        <v>0</v>
      </c>
      <c r="K725" t="n">
        <v>0</v>
      </c>
      <c r="L725" t="n">
        <v>0</v>
      </c>
      <c r="M725" t="n">
        <v>0</v>
      </c>
      <c r="N725" t="n">
        <v>0</v>
      </c>
      <c r="O725" t="n">
        <v>0</v>
      </c>
      <c r="P725" t="n">
        <v>0</v>
      </c>
      <c r="Q725" t="n">
        <v>0</v>
      </c>
      <c r="R725" t="n">
        <v>0</v>
      </c>
      <c r="S725" t="n">
        <v>0</v>
      </c>
      <c r="T725" t="n">
        <v>0</v>
      </c>
      <c r="U725" t="n">
        <v>0</v>
      </c>
      <c r="V725" s="2" t="inlineStr"/>
    </row>
    <row r="726" ht="15" customHeight="1">
      <c r="A726" t="inlineStr">
        <is>
          <t>A 71195-2021</t>
        </is>
      </c>
      <c r="B726" t="inlineStr">
        <is>
          <t>avverkningsanmälan</t>
        </is>
      </c>
      <c r="C726" t="inlineStr">
        <is>
          <t>Föryngringsavverkning</t>
        </is>
      </c>
      <c r="D726" s="1" t="n">
        <v>44539</v>
      </c>
      <c r="E726" s="1" t="n">
        <v>46313</v>
      </c>
      <c r="F726" t="inlineStr">
        <is>
          <t>VÄRMLANDS LÄN</t>
        </is>
      </c>
      <c r="G726" t="inlineStr">
        <is>
          <t>SUNNE</t>
        </is>
      </c>
      <c r="I726" t="n">
        <v>1.5</v>
      </c>
      <c r="J726" t="n">
        <v>0</v>
      </c>
      <c r="K726" t="n">
        <v>0</v>
      </c>
      <c r="L726" t="n">
        <v>0</v>
      </c>
      <c r="M726" t="n">
        <v>0</v>
      </c>
      <c r="N726" t="n">
        <v>0</v>
      </c>
      <c r="O726" t="n">
        <v>0</v>
      </c>
      <c r="P726" t="n">
        <v>0</v>
      </c>
      <c r="Q726" t="n">
        <v>0</v>
      </c>
      <c r="R726" t="n">
        <v>0</v>
      </c>
      <c r="S726" t="n">
        <v>0</v>
      </c>
      <c r="T726" t="n">
        <v>0</v>
      </c>
      <c r="U726" t="n">
        <v>0</v>
      </c>
      <c r="V726" s="2" t="inlineStr"/>
    </row>
    <row r="727" ht="15" customHeight="1">
      <c r="A727" t="inlineStr">
        <is>
          <t>A 46058-2023</t>
        </is>
      </c>
      <c r="B727" t="inlineStr">
        <is>
          <t>avverkningsanmälan</t>
        </is>
      </c>
      <c r="C727" t="inlineStr">
        <is>
          <t>Föryngringsavverkning</t>
        </is>
      </c>
      <c r="D727" s="1" t="n">
        <v>45196</v>
      </c>
      <c r="E727" s="1" t="n">
        <v>46313</v>
      </c>
      <c r="F727" t="inlineStr">
        <is>
          <t>VÄRMLANDS LÄN</t>
        </is>
      </c>
      <c r="G727" t="inlineStr">
        <is>
          <t>SUNNE</t>
        </is>
      </c>
      <c r="I727" t="n">
        <v>1.8</v>
      </c>
      <c r="J727" t="n">
        <v>0</v>
      </c>
      <c r="K727" t="n">
        <v>0</v>
      </c>
      <c r="L727" t="n">
        <v>0</v>
      </c>
      <c r="M727" t="n">
        <v>0</v>
      </c>
      <c r="N727" t="n">
        <v>0</v>
      </c>
      <c r="O727" t="n">
        <v>0</v>
      </c>
      <c r="P727" t="n">
        <v>0</v>
      </c>
      <c r="Q727" t="n">
        <v>0</v>
      </c>
      <c r="R727" t="n">
        <v>0</v>
      </c>
      <c r="S727" t="n">
        <v>0</v>
      </c>
      <c r="T727" t="n">
        <v>0</v>
      </c>
      <c r="U727" t="n">
        <v>0</v>
      </c>
      <c r="V727" s="2" t="inlineStr"/>
    </row>
    <row r="728" ht="15" customHeight="1">
      <c r="A728" t="inlineStr">
        <is>
          <t>A 10099-2026</t>
        </is>
      </c>
      <c r="B728" t="inlineStr">
        <is>
          <t>avverkningsanmälan</t>
        </is>
      </c>
      <c r="C728" t="inlineStr">
        <is>
          <t>Föryngringsavverkning</t>
        </is>
      </c>
      <c r="D728" s="1" t="n">
        <v>46073</v>
      </c>
      <c r="E728" s="1" t="n">
        <v>46313</v>
      </c>
      <c r="F728" t="inlineStr">
        <is>
          <t>VÄRMLANDS LÄN</t>
        </is>
      </c>
      <c r="G728" t="inlineStr">
        <is>
          <t>SUNNE</t>
        </is>
      </c>
      <c r="I728" t="n">
        <v>11.8</v>
      </c>
      <c r="J728" t="n">
        <v>0</v>
      </c>
      <c r="K728" t="n">
        <v>0</v>
      </c>
      <c r="L728" t="n">
        <v>0</v>
      </c>
      <c r="M728" t="n">
        <v>0</v>
      </c>
      <c r="N728" t="n">
        <v>0</v>
      </c>
      <c r="O728" t="n">
        <v>0</v>
      </c>
      <c r="P728" t="n">
        <v>0</v>
      </c>
      <c r="Q728" t="n">
        <v>0</v>
      </c>
      <c r="R728" t="n">
        <v>0</v>
      </c>
      <c r="S728" t="n">
        <v>0</v>
      </c>
      <c r="T728" t="n">
        <v>0</v>
      </c>
      <c r="U728" t="n">
        <v>0</v>
      </c>
      <c r="V728" s="2" t="inlineStr"/>
    </row>
    <row r="729" ht="15" customHeight="1">
      <c r="A729" t="inlineStr">
        <is>
          <t>A 10283-2026</t>
        </is>
      </c>
      <c r="B729" t="inlineStr">
        <is>
          <t>avverkningsanmälan</t>
        </is>
      </c>
      <c r="C729" t="inlineStr">
        <is>
          <t>Föryngringsavverkning</t>
        </is>
      </c>
      <c r="D729" s="1" t="n">
        <v>46076</v>
      </c>
      <c r="E729" s="1" t="n">
        <v>46313</v>
      </c>
      <c r="F729" t="inlineStr">
        <is>
          <t>VÄRMLANDS LÄN</t>
        </is>
      </c>
      <c r="G729" t="inlineStr">
        <is>
          <t>SUNNE</t>
        </is>
      </c>
      <c r="I729" t="n">
        <v>1.3</v>
      </c>
      <c r="J729" t="n">
        <v>0</v>
      </c>
      <c r="K729" t="n">
        <v>0</v>
      </c>
      <c r="L729" t="n">
        <v>0</v>
      </c>
      <c r="M729" t="n">
        <v>0</v>
      </c>
      <c r="N729" t="n">
        <v>0</v>
      </c>
      <c r="O729" t="n">
        <v>0</v>
      </c>
      <c r="P729" t="n">
        <v>0</v>
      </c>
      <c r="Q729" t="n">
        <v>0</v>
      </c>
      <c r="R729" t="n">
        <v>0</v>
      </c>
      <c r="S729" t="n">
        <v>0</v>
      </c>
      <c r="T729" t="n">
        <v>0</v>
      </c>
      <c r="U729" t="n">
        <v>0</v>
      </c>
      <c r="V729" s="2" t="inlineStr"/>
    </row>
    <row r="730" ht="15" customHeight="1">
      <c r="A730" t="inlineStr">
        <is>
          <t>A 10558-2026</t>
        </is>
      </c>
      <c r="B730" t="inlineStr">
        <is>
          <t>avverkningsanmälan</t>
        </is>
      </c>
      <c r="C730" t="inlineStr">
        <is>
          <t>Föryngringsavverkning</t>
        </is>
      </c>
      <c r="D730" s="1" t="n">
        <v>46077</v>
      </c>
      <c r="E730" s="1" t="n">
        <v>46313</v>
      </c>
      <c r="F730" t="inlineStr">
        <is>
          <t>VÄRMLANDS LÄN</t>
        </is>
      </c>
      <c r="G730" t="inlineStr">
        <is>
          <t>SUNNE</t>
        </is>
      </c>
      <c r="I730" t="n">
        <v>6.4</v>
      </c>
      <c r="J730" t="n">
        <v>0</v>
      </c>
      <c r="K730" t="n">
        <v>0</v>
      </c>
      <c r="L730" t="n">
        <v>0</v>
      </c>
      <c r="M730" t="n">
        <v>0</v>
      </c>
      <c r="N730" t="n">
        <v>0</v>
      </c>
      <c r="O730" t="n">
        <v>0</v>
      </c>
      <c r="P730" t="n">
        <v>0</v>
      </c>
      <c r="Q730" t="n">
        <v>0</v>
      </c>
      <c r="R730" t="n">
        <v>0</v>
      </c>
      <c r="S730" t="n">
        <v>0</v>
      </c>
      <c r="T730" t="n">
        <v>0</v>
      </c>
      <c r="U730" t="n">
        <v>0</v>
      </c>
      <c r="V730" s="2" t="inlineStr"/>
    </row>
    <row r="731" ht="15" customHeight="1">
      <c r="A731" t="inlineStr">
        <is>
          <t>A 52467-2024</t>
        </is>
      </c>
      <c r="B731" t="inlineStr">
        <is>
          <t>avverkningsanmälan</t>
        </is>
      </c>
      <c r="C731" t="inlineStr">
        <is>
          <t>Föryngringsavverkning</t>
        </is>
      </c>
      <c r="D731" s="1" t="n">
        <v>45609</v>
      </c>
      <c r="E731" s="1" t="n">
        <v>46313</v>
      </c>
      <c r="F731" t="inlineStr">
        <is>
          <t>VÄRMLANDS LÄN</t>
        </is>
      </c>
      <c r="G731" t="inlineStr">
        <is>
          <t>SUNNE</t>
        </is>
      </c>
      <c r="I731" t="n">
        <v>0.5</v>
      </c>
      <c r="J731" t="n">
        <v>0</v>
      </c>
      <c r="K731" t="n">
        <v>0</v>
      </c>
      <c r="L731" t="n">
        <v>0</v>
      </c>
      <c r="M731" t="n">
        <v>0</v>
      </c>
      <c r="N731" t="n">
        <v>0</v>
      </c>
      <c r="O731" t="n">
        <v>0</v>
      </c>
      <c r="P731" t="n">
        <v>0</v>
      </c>
      <c r="Q731" t="n">
        <v>0</v>
      </c>
      <c r="R731" t="n">
        <v>0</v>
      </c>
      <c r="S731" t="n">
        <v>0</v>
      </c>
      <c r="T731" t="n">
        <v>0</v>
      </c>
      <c r="U731" t="n">
        <v>0</v>
      </c>
      <c r="V731" s="2" t="inlineStr"/>
    </row>
    <row r="732" ht="15" customHeight="1">
      <c r="A732" t="inlineStr">
        <is>
          <t>A 27244-2026</t>
        </is>
      </c>
      <c r="B732" t="inlineStr">
        <is>
          <t>avverkningsanmälan</t>
        </is>
      </c>
      <c r="C732" t="inlineStr">
        <is>
          <t>Föryngringsavverkning</t>
        </is>
      </c>
      <c r="D732" s="1" t="n">
        <v>46188</v>
      </c>
      <c r="E732" s="1" t="n">
        <v>46313</v>
      </c>
      <c r="F732" t="inlineStr">
        <is>
          <t>VÄRMLANDS LÄN</t>
        </is>
      </c>
      <c r="G732" t="inlineStr">
        <is>
          <t>SUNNE</t>
        </is>
      </c>
      <c r="I732" t="n">
        <v>0.5</v>
      </c>
      <c r="J732" t="n">
        <v>0</v>
      </c>
      <c r="K732" t="n">
        <v>0</v>
      </c>
      <c r="L732" t="n">
        <v>0</v>
      </c>
      <c r="M732" t="n">
        <v>0</v>
      </c>
      <c r="N732" t="n">
        <v>0</v>
      </c>
      <c r="O732" t="n">
        <v>0</v>
      </c>
      <c r="P732" t="n">
        <v>0</v>
      </c>
      <c r="Q732" t="n">
        <v>0</v>
      </c>
      <c r="R732" t="n">
        <v>0</v>
      </c>
      <c r="S732" t="n">
        <v>0</v>
      </c>
      <c r="T732" t="n">
        <v>0</v>
      </c>
      <c r="U732" t="n">
        <v>0</v>
      </c>
      <c r="V732" s="2" t="inlineStr"/>
    </row>
    <row r="733" ht="15" customHeight="1">
      <c r="A733" t="inlineStr">
        <is>
          <t>A 27276-2026</t>
        </is>
      </c>
      <c r="B733" t="inlineStr">
        <is>
          <t>avverkningsanmälan</t>
        </is>
      </c>
      <c r="C733" t="inlineStr">
        <is>
          <t>Föryngringsavverkning</t>
        </is>
      </c>
      <c r="D733" s="1" t="n">
        <v>46188</v>
      </c>
      <c r="E733" s="1" t="n">
        <v>46313</v>
      </c>
      <c r="F733" t="inlineStr">
        <is>
          <t>VÄRMLANDS LÄN</t>
        </is>
      </c>
      <c r="G733" t="inlineStr">
        <is>
          <t>SUNNE</t>
        </is>
      </c>
      <c r="H733" t="inlineStr">
        <is>
          <t>Bergvik skog väst AB</t>
        </is>
      </c>
      <c r="I733" t="n">
        <v>14.9</v>
      </c>
      <c r="J733" t="n">
        <v>0</v>
      </c>
      <c r="K733" t="n">
        <v>0</v>
      </c>
      <c r="L733" t="n">
        <v>0</v>
      </c>
      <c r="M733" t="n">
        <v>0</v>
      </c>
      <c r="N733" t="n">
        <v>0</v>
      </c>
      <c r="O733" t="n">
        <v>0</v>
      </c>
      <c r="P733" t="n">
        <v>0</v>
      </c>
      <c r="Q733" t="n">
        <v>0</v>
      </c>
      <c r="R733" t="n">
        <v>0</v>
      </c>
      <c r="S733" t="n">
        <v>0</v>
      </c>
      <c r="T733" t="n">
        <v>0</v>
      </c>
      <c r="U733" t="n">
        <v>0</v>
      </c>
      <c r="V733" s="2" t="inlineStr"/>
    </row>
    <row r="734" ht="15" customHeight="1">
      <c r="A734" t="inlineStr">
        <is>
          <t>A 54487-2022</t>
        </is>
      </c>
      <c r="B734" t="inlineStr">
        <is>
          <t>avverkningsanmälan</t>
        </is>
      </c>
      <c r="C734" t="inlineStr">
        <is>
          <t>Föryngringsavverkning</t>
        </is>
      </c>
      <c r="D734" s="1" t="n">
        <v>44882</v>
      </c>
      <c r="E734" s="1" t="n">
        <v>46313</v>
      </c>
      <c r="F734" t="inlineStr">
        <is>
          <t>VÄRMLANDS LÄN</t>
        </is>
      </c>
      <c r="G734" t="inlineStr">
        <is>
          <t>SUNNE</t>
        </is>
      </c>
      <c r="I734" t="n">
        <v>4.7</v>
      </c>
      <c r="J734" t="n">
        <v>0</v>
      </c>
      <c r="K734" t="n">
        <v>0</v>
      </c>
      <c r="L734" t="n">
        <v>0</v>
      </c>
      <c r="M734" t="n">
        <v>0</v>
      </c>
      <c r="N734" t="n">
        <v>0</v>
      </c>
      <c r="O734" t="n">
        <v>0</v>
      </c>
      <c r="P734" t="n">
        <v>0</v>
      </c>
      <c r="Q734" t="n">
        <v>0</v>
      </c>
      <c r="R734" t="n">
        <v>0</v>
      </c>
      <c r="S734" t="n">
        <v>0</v>
      </c>
      <c r="T734" t="n">
        <v>0</v>
      </c>
      <c r="U734" t="n">
        <v>0</v>
      </c>
      <c r="V734" s="2" t="inlineStr"/>
    </row>
    <row r="735" ht="15" customHeight="1">
      <c r="A735" t="inlineStr">
        <is>
          <t>A 27718-2026</t>
        </is>
      </c>
      <c r="B735" t="inlineStr">
        <is>
          <t>avverkningsanmälan</t>
        </is>
      </c>
      <c r="C735" t="inlineStr">
        <is>
          <t>Föryngringsavverkning</t>
        </is>
      </c>
      <c r="D735" s="1" t="n">
        <v>46190</v>
      </c>
      <c r="E735" s="1" t="n">
        <v>46313</v>
      </c>
      <c r="F735" t="inlineStr">
        <is>
          <t>VÄRMLANDS LÄN</t>
        </is>
      </c>
      <c r="G735" t="inlineStr">
        <is>
          <t>SUNNE</t>
        </is>
      </c>
      <c r="I735" t="n">
        <v>0.8</v>
      </c>
      <c r="J735" t="n">
        <v>0</v>
      </c>
      <c r="K735" t="n">
        <v>0</v>
      </c>
      <c r="L735" t="n">
        <v>0</v>
      </c>
      <c r="M735" t="n">
        <v>0</v>
      </c>
      <c r="N735" t="n">
        <v>0</v>
      </c>
      <c r="O735" t="n">
        <v>0</v>
      </c>
      <c r="P735" t="n">
        <v>0</v>
      </c>
      <c r="Q735" t="n">
        <v>0</v>
      </c>
      <c r="R735" t="n">
        <v>0</v>
      </c>
      <c r="S735" t="n">
        <v>0</v>
      </c>
      <c r="T735" t="n">
        <v>0</v>
      </c>
      <c r="U735" t="n">
        <v>0</v>
      </c>
      <c r="V735" s="2" t="inlineStr"/>
    </row>
    <row r="736" ht="15" customHeight="1">
      <c r="A736" t="inlineStr">
        <is>
          <t>A 11447-2026</t>
        </is>
      </c>
      <c r="B736" t="inlineStr">
        <is>
          <t>avverkningsanmälan</t>
        </is>
      </c>
      <c r="C736" t="inlineStr">
        <is>
          <t>Föryngringsavverkning</t>
        </is>
      </c>
      <c r="D736" s="1" t="n">
        <v>46083</v>
      </c>
      <c r="E736" s="1" t="n">
        <v>46313</v>
      </c>
      <c r="F736" t="inlineStr">
        <is>
          <t>VÄRMLANDS LÄN</t>
        </is>
      </c>
      <c r="G736" t="inlineStr">
        <is>
          <t>SUNNE</t>
        </is>
      </c>
      <c r="I736" t="n">
        <v>2.9</v>
      </c>
      <c r="J736" t="n">
        <v>0</v>
      </c>
      <c r="K736" t="n">
        <v>0</v>
      </c>
      <c r="L736" t="n">
        <v>0</v>
      </c>
      <c r="M736" t="n">
        <v>0</v>
      </c>
      <c r="N736" t="n">
        <v>0</v>
      </c>
      <c r="O736" t="n">
        <v>0</v>
      </c>
      <c r="P736" t="n">
        <v>0</v>
      </c>
      <c r="Q736" t="n">
        <v>0</v>
      </c>
      <c r="R736" t="n">
        <v>0</v>
      </c>
      <c r="S736" t="n">
        <v>0</v>
      </c>
      <c r="T736" t="n">
        <v>0</v>
      </c>
      <c r="U736" t="n">
        <v>0</v>
      </c>
      <c r="V736" s="2" t="inlineStr"/>
    </row>
    <row r="737" ht="15" customHeight="1">
      <c r="A737" t="inlineStr">
        <is>
          <t>A 53638-2024</t>
        </is>
      </c>
      <c r="B737" t="inlineStr">
        <is>
          <t>avverkningsanmälan</t>
        </is>
      </c>
      <c r="C737" t="inlineStr">
        <is>
          <t>Avverkning för annat ändamål</t>
        </is>
      </c>
      <c r="D737" s="1" t="n">
        <v>45614</v>
      </c>
      <c r="E737" s="1" t="n">
        <v>46313</v>
      </c>
      <c r="F737" t="inlineStr">
        <is>
          <t>VÄRMLANDS LÄN</t>
        </is>
      </c>
      <c r="G737" t="inlineStr">
        <is>
          <t>SUNNE</t>
        </is>
      </c>
      <c r="I737" t="n">
        <v>1.5</v>
      </c>
      <c r="J737" t="n">
        <v>0</v>
      </c>
      <c r="K737" t="n">
        <v>0</v>
      </c>
      <c r="L737" t="n">
        <v>0</v>
      </c>
      <c r="M737" t="n">
        <v>0</v>
      </c>
      <c r="N737" t="n">
        <v>0</v>
      </c>
      <c r="O737" t="n">
        <v>0</v>
      </c>
      <c r="P737" t="n">
        <v>0</v>
      </c>
      <c r="Q737" t="n">
        <v>0</v>
      </c>
      <c r="R737" t="n">
        <v>0</v>
      </c>
      <c r="S737" t="n">
        <v>0</v>
      </c>
      <c r="T737" t="n">
        <v>0</v>
      </c>
      <c r="U737" t="n">
        <v>0</v>
      </c>
      <c r="V737" s="2" t="inlineStr"/>
    </row>
    <row r="738" ht="15" customHeight="1">
      <c r="A738" t="inlineStr">
        <is>
          <t>A 47460-2023</t>
        </is>
      </c>
      <c r="B738" t="inlineStr">
        <is>
          <t>avverkningsanmälan</t>
        </is>
      </c>
      <c r="C738" t="inlineStr">
        <is>
          <t>Föryngringsavverkning</t>
        </is>
      </c>
      <c r="D738" s="1" t="n">
        <v>45202</v>
      </c>
      <c r="E738" s="1" t="n">
        <v>46313</v>
      </c>
      <c r="F738" t="inlineStr">
        <is>
          <t>VÄRMLANDS LÄN</t>
        </is>
      </c>
      <c r="G738" t="inlineStr">
        <is>
          <t>SUNNE</t>
        </is>
      </c>
      <c r="I738" t="n">
        <v>14.2</v>
      </c>
      <c r="J738" t="n">
        <v>0</v>
      </c>
      <c r="K738" t="n">
        <v>0</v>
      </c>
      <c r="L738" t="n">
        <v>0</v>
      </c>
      <c r="M738" t="n">
        <v>0</v>
      </c>
      <c r="N738" t="n">
        <v>0</v>
      </c>
      <c r="O738" t="n">
        <v>0</v>
      </c>
      <c r="P738" t="n">
        <v>0</v>
      </c>
      <c r="Q738" t="n">
        <v>0</v>
      </c>
      <c r="R738" t="n">
        <v>0</v>
      </c>
      <c r="S738" t="n">
        <v>0</v>
      </c>
      <c r="T738" t="n">
        <v>0</v>
      </c>
      <c r="U738" t="n">
        <v>0</v>
      </c>
      <c r="V738" s="2" t="inlineStr"/>
    </row>
    <row r="739" ht="15" customHeight="1">
      <c r="A739" t="inlineStr">
        <is>
          <t>A 12185-2026</t>
        </is>
      </c>
      <c r="B739" t="inlineStr">
        <is>
          <t>avverkningsanmälan</t>
        </is>
      </c>
      <c r="C739" t="inlineStr">
        <is>
          <t>Föryngringsavverkning</t>
        </is>
      </c>
      <c r="D739" s="1" t="n">
        <v>46086</v>
      </c>
      <c r="E739" s="1" t="n">
        <v>46313</v>
      </c>
      <c r="F739" t="inlineStr">
        <is>
          <t>VÄRMLANDS LÄN</t>
        </is>
      </c>
      <c r="G739" t="inlineStr">
        <is>
          <t>SUNNE</t>
        </is>
      </c>
      <c r="I739" t="n">
        <v>0.6</v>
      </c>
      <c r="J739" t="n">
        <v>0</v>
      </c>
      <c r="K739" t="n">
        <v>0</v>
      </c>
      <c r="L739" t="n">
        <v>0</v>
      </c>
      <c r="M739" t="n">
        <v>0</v>
      </c>
      <c r="N739" t="n">
        <v>0</v>
      </c>
      <c r="O739" t="n">
        <v>0</v>
      </c>
      <c r="P739" t="n">
        <v>0</v>
      </c>
      <c r="Q739" t="n">
        <v>0</v>
      </c>
      <c r="R739" t="n">
        <v>0</v>
      </c>
      <c r="S739" t="n">
        <v>0</v>
      </c>
      <c r="T739" t="n">
        <v>0</v>
      </c>
      <c r="U739" t="n">
        <v>0</v>
      </c>
      <c r="V739" s="2" t="inlineStr"/>
    </row>
    <row r="740" ht="15" customHeight="1">
      <c r="A740" t="inlineStr">
        <is>
          <t>A 11843-2026</t>
        </is>
      </c>
      <c r="B740" t="inlineStr">
        <is>
          <t>avverkningsanmälan</t>
        </is>
      </c>
      <c r="C740" t="inlineStr">
        <is>
          <t>Föryngringsavverkning</t>
        </is>
      </c>
      <c r="D740" s="1" t="n">
        <v>46085</v>
      </c>
      <c r="E740" s="1" t="n">
        <v>46313</v>
      </c>
      <c r="F740" t="inlineStr">
        <is>
          <t>VÄRMLANDS LÄN</t>
        </is>
      </c>
      <c r="G740" t="inlineStr">
        <is>
          <t>SUNNE</t>
        </is>
      </c>
      <c r="I740" t="n">
        <v>3.8</v>
      </c>
      <c r="J740" t="n">
        <v>0</v>
      </c>
      <c r="K740" t="n">
        <v>0</v>
      </c>
      <c r="L740" t="n">
        <v>0</v>
      </c>
      <c r="M740" t="n">
        <v>0</v>
      </c>
      <c r="N740" t="n">
        <v>0</v>
      </c>
      <c r="O740" t="n">
        <v>0</v>
      </c>
      <c r="P740" t="n">
        <v>0</v>
      </c>
      <c r="Q740" t="n">
        <v>0</v>
      </c>
      <c r="R740" t="n">
        <v>0</v>
      </c>
      <c r="S740" t="n">
        <v>0</v>
      </c>
      <c r="T740" t="n">
        <v>0</v>
      </c>
      <c r="U740" t="n">
        <v>0</v>
      </c>
      <c r="V740" s="2" t="inlineStr"/>
    </row>
    <row r="741" ht="15" customHeight="1">
      <c r="A741" t="inlineStr">
        <is>
          <t>A 15747-2022</t>
        </is>
      </c>
      <c r="B741" t="inlineStr">
        <is>
          <t>avverkningsanmälan</t>
        </is>
      </c>
      <c r="C741" t="inlineStr">
        <is>
          <t>Föryngringsavverkning</t>
        </is>
      </c>
      <c r="D741" s="1" t="n">
        <v>44663</v>
      </c>
      <c r="E741" s="1" t="n">
        <v>46313</v>
      </c>
      <c r="F741" t="inlineStr">
        <is>
          <t>VÄRMLANDS LÄN</t>
        </is>
      </c>
      <c r="G741" t="inlineStr">
        <is>
          <t>SUNNE</t>
        </is>
      </c>
      <c r="I741" t="n">
        <v>1.7</v>
      </c>
      <c r="J741" t="n">
        <v>0</v>
      </c>
      <c r="K741" t="n">
        <v>0</v>
      </c>
      <c r="L741" t="n">
        <v>0</v>
      </c>
      <c r="M741" t="n">
        <v>0</v>
      </c>
      <c r="N741" t="n">
        <v>0</v>
      </c>
      <c r="O741" t="n">
        <v>0</v>
      </c>
      <c r="P741" t="n">
        <v>0</v>
      </c>
      <c r="Q741" t="n">
        <v>0</v>
      </c>
      <c r="R741" t="n">
        <v>0</v>
      </c>
      <c r="S741" t="n">
        <v>0</v>
      </c>
      <c r="T741" t="n">
        <v>0</v>
      </c>
      <c r="U741" t="n">
        <v>0</v>
      </c>
      <c r="V741" s="2" t="inlineStr"/>
    </row>
    <row r="742" ht="15" customHeight="1">
      <c r="A742" t="inlineStr">
        <is>
          <t>A 12285-2026</t>
        </is>
      </c>
      <c r="B742" t="inlineStr">
        <is>
          <t>avverkningsanmälan</t>
        </is>
      </c>
      <c r="C742" t="inlineStr">
        <is>
          <t>Föryngringsavverkning</t>
        </is>
      </c>
      <c r="D742" s="1" t="n">
        <v>46087</v>
      </c>
      <c r="E742" s="1" t="n">
        <v>46313</v>
      </c>
      <c r="F742" t="inlineStr">
        <is>
          <t>VÄRMLANDS LÄN</t>
        </is>
      </c>
      <c r="G742" t="inlineStr">
        <is>
          <t>SUNNE</t>
        </is>
      </c>
      <c r="I742" t="n">
        <v>1.7</v>
      </c>
      <c r="J742" t="n">
        <v>0</v>
      </c>
      <c r="K742" t="n">
        <v>0</v>
      </c>
      <c r="L742" t="n">
        <v>0</v>
      </c>
      <c r="M742" t="n">
        <v>0</v>
      </c>
      <c r="N742" t="n">
        <v>0</v>
      </c>
      <c r="O742" t="n">
        <v>0</v>
      </c>
      <c r="P742" t="n">
        <v>0</v>
      </c>
      <c r="Q742" t="n">
        <v>0</v>
      </c>
      <c r="R742" t="n">
        <v>0</v>
      </c>
      <c r="S742" t="n">
        <v>0</v>
      </c>
      <c r="T742" t="n">
        <v>0</v>
      </c>
      <c r="U742" t="n">
        <v>0</v>
      </c>
      <c r="V742" s="2" t="inlineStr"/>
    </row>
    <row r="743" ht="15" customHeight="1">
      <c r="A743" t="inlineStr">
        <is>
          <t>A 12280-2026</t>
        </is>
      </c>
      <c r="B743" t="inlineStr">
        <is>
          <t>avverkningsanmälan</t>
        </is>
      </c>
      <c r="C743" t="inlineStr">
        <is>
          <t>Föryngringsavverkning</t>
        </is>
      </c>
      <c r="D743" s="1" t="n">
        <v>46087</v>
      </c>
      <c r="E743" s="1" t="n">
        <v>46313</v>
      </c>
      <c r="F743" t="inlineStr">
        <is>
          <t>VÄRMLANDS LÄN</t>
        </is>
      </c>
      <c r="G743" t="inlineStr">
        <is>
          <t>SUNNE</t>
        </is>
      </c>
      <c r="I743" t="n">
        <v>1.6</v>
      </c>
      <c r="J743" t="n">
        <v>0</v>
      </c>
      <c r="K743" t="n">
        <v>0</v>
      </c>
      <c r="L743" t="n">
        <v>0</v>
      </c>
      <c r="M743" t="n">
        <v>0</v>
      </c>
      <c r="N743" t="n">
        <v>0</v>
      </c>
      <c r="O743" t="n">
        <v>0</v>
      </c>
      <c r="P743" t="n">
        <v>0</v>
      </c>
      <c r="Q743" t="n">
        <v>0</v>
      </c>
      <c r="R743" t="n">
        <v>0</v>
      </c>
      <c r="S743" t="n">
        <v>0</v>
      </c>
      <c r="T743" t="n">
        <v>0</v>
      </c>
      <c r="U743" t="n">
        <v>0</v>
      </c>
      <c r="V743" s="2" t="inlineStr"/>
    </row>
    <row r="744" ht="15" customHeight="1">
      <c r="A744" t="inlineStr">
        <is>
          <t>A 21925-2023</t>
        </is>
      </c>
      <c r="B744" t="inlineStr">
        <is>
          <t>avverkningsanmälan</t>
        </is>
      </c>
      <c r="C744" t="inlineStr">
        <is>
          <t>Föryngringsavverkning</t>
        </is>
      </c>
      <c r="D744" s="1" t="n">
        <v>45068</v>
      </c>
      <c r="E744" s="1" t="n">
        <v>46313</v>
      </c>
      <c r="F744" t="inlineStr">
        <is>
          <t>VÄRMLANDS LÄN</t>
        </is>
      </c>
      <c r="G744" t="inlineStr">
        <is>
          <t>SUNNE</t>
        </is>
      </c>
      <c r="I744" t="n">
        <v>1.2</v>
      </c>
      <c r="J744" t="n">
        <v>0</v>
      </c>
      <c r="K744" t="n">
        <v>0</v>
      </c>
      <c r="L744" t="n">
        <v>0</v>
      </c>
      <c r="M744" t="n">
        <v>0</v>
      </c>
      <c r="N744" t="n">
        <v>0</v>
      </c>
      <c r="O744" t="n">
        <v>0</v>
      </c>
      <c r="P744" t="n">
        <v>0</v>
      </c>
      <c r="Q744" t="n">
        <v>0</v>
      </c>
      <c r="R744" t="n">
        <v>0</v>
      </c>
      <c r="S744" t="n">
        <v>0</v>
      </c>
      <c r="T744" t="n">
        <v>0</v>
      </c>
      <c r="U744" t="n">
        <v>0</v>
      </c>
      <c r="V744" s="2" t="inlineStr"/>
    </row>
    <row r="745" ht="15" customHeight="1">
      <c r="A745" t="inlineStr">
        <is>
          <t>A 12282-2026</t>
        </is>
      </c>
      <c r="B745" t="inlineStr">
        <is>
          <t>avverkningsanmälan</t>
        </is>
      </c>
      <c r="C745" t="inlineStr">
        <is>
          <t>Föryngringsavverkning</t>
        </is>
      </c>
      <c r="D745" s="1" t="n">
        <v>46087</v>
      </c>
      <c r="E745" s="1" t="n">
        <v>46313</v>
      </c>
      <c r="F745" t="inlineStr">
        <is>
          <t>VÄRMLANDS LÄN</t>
        </is>
      </c>
      <c r="G745" t="inlineStr">
        <is>
          <t>SUNNE</t>
        </is>
      </c>
      <c r="I745" t="n">
        <v>1.7</v>
      </c>
      <c r="J745" t="n">
        <v>0</v>
      </c>
      <c r="K745" t="n">
        <v>0</v>
      </c>
      <c r="L745" t="n">
        <v>0</v>
      </c>
      <c r="M745" t="n">
        <v>0</v>
      </c>
      <c r="N745" t="n">
        <v>0</v>
      </c>
      <c r="O745" t="n">
        <v>0</v>
      </c>
      <c r="P745" t="n">
        <v>0</v>
      </c>
      <c r="Q745" t="n">
        <v>0</v>
      </c>
      <c r="R745" t="n">
        <v>0</v>
      </c>
      <c r="S745" t="n">
        <v>0</v>
      </c>
      <c r="T745" t="n">
        <v>0</v>
      </c>
      <c r="U745" t="n">
        <v>0</v>
      </c>
      <c r="V745" s="2" t="inlineStr"/>
    </row>
    <row r="746" ht="15" customHeight="1">
      <c r="A746" t="inlineStr">
        <is>
          <t>A 49437-2024</t>
        </is>
      </c>
      <c r="B746" t="inlineStr">
        <is>
          <t>avverkningsanmälan</t>
        </is>
      </c>
      <c r="C746" t="inlineStr">
        <is>
          <t>Föryngringsavverkning</t>
        </is>
      </c>
      <c r="D746" s="1" t="n">
        <v>45595</v>
      </c>
      <c r="E746" s="1" t="n">
        <v>46313</v>
      </c>
      <c r="F746" t="inlineStr">
        <is>
          <t>VÄRMLANDS LÄN</t>
        </is>
      </c>
      <c r="G746" t="inlineStr">
        <is>
          <t>SUNNE</t>
        </is>
      </c>
      <c r="I746" t="n">
        <v>3.2</v>
      </c>
      <c r="J746" t="n">
        <v>0</v>
      </c>
      <c r="K746" t="n">
        <v>0</v>
      </c>
      <c r="L746" t="n">
        <v>0</v>
      </c>
      <c r="M746" t="n">
        <v>0</v>
      </c>
      <c r="N746" t="n">
        <v>0</v>
      </c>
      <c r="O746" t="n">
        <v>0</v>
      </c>
      <c r="P746" t="n">
        <v>0</v>
      </c>
      <c r="Q746" t="n">
        <v>0</v>
      </c>
      <c r="R746" t="n">
        <v>0</v>
      </c>
      <c r="S746" t="n">
        <v>0</v>
      </c>
      <c r="T746" t="n">
        <v>0</v>
      </c>
      <c r="U746" t="n">
        <v>0</v>
      </c>
      <c r="V746" s="2" t="inlineStr"/>
    </row>
    <row r="747" ht="15" customHeight="1">
      <c r="A747" t="inlineStr">
        <is>
          <t>A 32202-2022</t>
        </is>
      </c>
      <c r="B747" t="inlineStr">
        <is>
          <t>avverkningsanmälan</t>
        </is>
      </c>
      <c r="C747" t="inlineStr">
        <is>
          <t>Föryngringsavverkning</t>
        </is>
      </c>
      <c r="D747" s="1" t="n">
        <v>44781</v>
      </c>
      <c r="E747" s="1" t="n">
        <v>46313</v>
      </c>
      <c r="F747" t="inlineStr">
        <is>
          <t>VÄRMLANDS LÄN</t>
        </is>
      </c>
      <c r="G747" t="inlineStr">
        <is>
          <t>SUNNE</t>
        </is>
      </c>
      <c r="I747" t="n">
        <v>0.8</v>
      </c>
      <c r="J747" t="n">
        <v>0</v>
      </c>
      <c r="K747" t="n">
        <v>0</v>
      </c>
      <c r="L747" t="n">
        <v>0</v>
      </c>
      <c r="M747" t="n">
        <v>0</v>
      </c>
      <c r="N747" t="n">
        <v>0</v>
      </c>
      <c r="O747" t="n">
        <v>0</v>
      </c>
      <c r="P747" t="n">
        <v>0</v>
      </c>
      <c r="Q747" t="n">
        <v>0</v>
      </c>
      <c r="R747" t="n">
        <v>0</v>
      </c>
      <c r="S747" t="n">
        <v>0</v>
      </c>
      <c r="T747" t="n">
        <v>0</v>
      </c>
      <c r="U747" t="n">
        <v>0</v>
      </c>
      <c r="V747" s="2" t="inlineStr"/>
    </row>
    <row r="748" ht="15" customHeight="1">
      <c r="A748" t="inlineStr">
        <is>
          <t>A 12284-2026</t>
        </is>
      </c>
      <c r="B748" t="inlineStr">
        <is>
          <t>avverkningsanmälan</t>
        </is>
      </c>
      <c r="C748" t="inlineStr">
        <is>
          <t>Föryngringsavverkning</t>
        </is>
      </c>
      <c r="D748" s="1" t="n">
        <v>46087</v>
      </c>
      <c r="E748" s="1" t="n">
        <v>46313</v>
      </c>
      <c r="F748" t="inlineStr">
        <is>
          <t>VÄRMLANDS LÄN</t>
        </is>
      </c>
      <c r="G748" t="inlineStr">
        <is>
          <t>SUNNE</t>
        </is>
      </c>
      <c r="I748" t="n">
        <v>0.7</v>
      </c>
      <c r="J748" t="n">
        <v>0</v>
      </c>
      <c r="K748" t="n">
        <v>0</v>
      </c>
      <c r="L748" t="n">
        <v>0</v>
      </c>
      <c r="M748" t="n">
        <v>0</v>
      </c>
      <c r="N748" t="n">
        <v>0</v>
      </c>
      <c r="O748" t="n">
        <v>0</v>
      </c>
      <c r="P748" t="n">
        <v>0</v>
      </c>
      <c r="Q748" t="n">
        <v>0</v>
      </c>
      <c r="R748" t="n">
        <v>0</v>
      </c>
      <c r="S748" t="n">
        <v>0</v>
      </c>
      <c r="T748" t="n">
        <v>0</v>
      </c>
      <c r="U748" t="n">
        <v>0</v>
      </c>
      <c r="V748" s="2" t="inlineStr"/>
    </row>
    <row r="749" ht="15" customHeight="1">
      <c r="A749" t="inlineStr">
        <is>
          <t>A 12291-2026</t>
        </is>
      </c>
      <c r="B749" t="inlineStr">
        <is>
          <t>avverkningsanmälan</t>
        </is>
      </c>
      <c r="C749" t="inlineStr">
        <is>
          <t>Föryngringsavverkning</t>
        </is>
      </c>
      <c r="D749" s="1" t="n">
        <v>46087</v>
      </c>
      <c r="E749" s="1" t="n">
        <v>46313</v>
      </c>
      <c r="F749" t="inlineStr">
        <is>
          <t>VÄRMLANDS LÄN</t>
        </is>
      </c>
      <c r="G749" t="inlineStr">
        <is>
          <t>SUNNE</t>
        </is>
      </c>
      <c r="I749" t="n">
        <v>1.9</v>
      </c>
      <c r="J749" t="n">
        <v>0</v>
      </c>
      <c r="K749" t="n">
        <v>0</v>
      </c>
      <c r="L749" t="n">
        <v>0</v>
      </c>
      <c r="M749" t="n">
        <v>0</v>
      </c>
      <c r="N749" t="n">
        <v>0</v>
      </c>
      <c r="O749" t="n">
        <v>0</v>
      </c>
      <c r="P749" t="n">
        <v>0</v>
      </c>
      <c r="Q749" t="n">
        <v>0</v>
      </c>
      <c r="R749" t="n">
        <v>0</v>
      </c>
      <c r="S749" t="n">
        <v>0</v>
      </c>
      <c r="T749" t="n">
        <v>0</v>
      </c>
      <c r="U749" t="n">
        <v>0</v>
      </c>
      <c r="V749" s="2" t="inlineStr"/>
    </row>
    <row r="750" ht="15" customHeight="1">
      <c r="A750" t="inlineStr">
        <is>
          <t>A 3085-2024</t>
        </is>
      </c>
      <c r="B750" t="inlineStr">
        <is>
          <t>avverkningsanmälan</t>
        </is>
      </c>
      <c r="C750" t="inlineStr">
        <is>
          <t>Föryngringsavverkning</t>
        </is>
      </c>
      <c r="D750" s="1" t="n">
        <v>45316</v>
      </c>
      <c r="E750" s="1" t="n">
        <v>46313</v>
      </c>
      <c r="F750" t="inlineStr">
        <is>
          <t>VÄRMLANDS LÄN</t>
        </is>
      </c>
      <c r="G750" t="inlineStr">
        <is>
          <t>SUNNE</t>
        </is>
      </c>
      <c r="H750" t="inlineStr">
        <is>
          <t>Kommuner</t>
        </is>
      </c>
      <c r="I750" t="n">
        <v>0.4</v>
      </c>
      <c r="J750" t="n">
        <v>0</v>
      </c>
      <c r="K750" t="n">
        <v>0</v>
      </c>
      <c r="L750" t="n">
        <v>0</v>
      </c>
      <c r="M750" t="n">
        <v>0</v>
      </c>
      <c r="N750" t="n">
        <v>0</v>
      </c>
      <c r="O750" t="n">
        <v>0</v>
      </c>
      <c r="P750" t="n">
        <v>0</v>
      </c>
      <c r="Q750" t="n">
        <v>0</v>
      </c>
      <c r="R750" t="n">
        <v>0</v>
      </c>
      <c r="S750" t="n">
        <v>0</v>
      </c>
      <c r="T750" t="n">
        <v>0</v>
      </c>
      <c r="U750" t="n">
        <v>0</v>
      </c>
      <c r="V750" s="2" t="inlineStr"/>
    </row>
    <row r="751" ht="15" customHeight="1">
      <c r="A751" t="inlineStr">
        <is>
          <t>A 13015-2026</t>
        </is>
      </c>
      <c r="B751" t="inlineStr">
        <is>
          <t>avverkningsanmälan</t>
        </is>
      </c>
      <c r="C751" t="inlineStr">
        <is>
          <t>Föryngringsavverkning</t>
        </is>
      </c>
      <c r="D751" s="1" t="n">
        <v>46092</v>
      </c>
      <c r="E751" s="1" t="n">
        <v>46313</v>
      </c>
      <c r="F751" t="inlineStr">
        <is>
          <t>VÄRMLANDS LÄN</t>
        </is>
      </c>
      <c r="G751" t="inlineStr">
        <is>
          <t>SUNNE</t>
        </is>
      </c>
      <c r="I751" t="n">
        <v>1.5</v>
      </c>
      <c r="J751" t="n">
        <v>0</v>
      </c>
      <c r="K751" t="n">
        <v>0</v>
      </c>
      <c r="L751" t="n">
        <v>0</v>
      </c>
      <c r="M751" t="n">
        <v>0</v>
      </c>
      <c r="N751" t="n">
        <v>0</v>
      </c>
      <c r="O751" t="n">
        <v>0</v>
      </c>
      <c r="P751" t="n">
        <v>0</v>
      </c>
      <c r="Q751" t="n">
        <v>0</v>
      </c>
      <c r="R751" t="n">
        <v>0</v>
      </c>
      <c r="S751" t="n">
        <v>0</v>
      </c>
      <c r="T751" t="n">
        <v>0</v>
      </c>
      <c r="U751" t="n">
        <v>0</v>
      </c>
      <c r="V751" s="2" t="inlineStr"/>
    </row>
    <row r="752" ht="15" customHeight="1">
      <c r="A752" t="inlineStr">
        <is>
          <t>A 27959-2026</t>
        </is>
      </c>
      <c r="B752" t="inlineStr">
        <is>
          <t>avverkningsanmälan</t>
        </is>
      </c>
      <c r="C752" t="inlineStr">
        <is>
          <t>Föryngringsavverkning</t>
        </is>
      </c>
      <c r="D752" s="1" t="n">
        <v>46194</v>
      </c>
      <c r="E752" s="1" t="n">
        <v>46313</v>
      </c>
      <c r="F752" t="inlineStr">
        <is>
          <t>VÄRMLANDS LÄN</t>
        </is>
      </c>
      <c r="G752" t="inlineStr">
        <is>
          <t>SUNNE</t>
        </is>
      </c>
      <c r="I752" t="n">
        <v>1.4</v>
      </c>
      <c r="J752" t="n">
        <v>0</v>
      </c>
      <c r="K752" t="n">
        <v>0</v>
      </c>
      <c r="L752" t="n">
        <v>0</v>
      </c>
      <c r="M752" t="n">
        <v>0</v>
      </c>
      <c r="N752" t="n">
        <v>0</v>
      </c>
      <c r="O752" t="n">
        <v>0</v>
      </c>
      <c r="P752" t="n">
        <v>0</v>
      </c>
      <c r="Q752" t="n">
        <v>0</v>
      </c>
      <c r="R752" t="n">
        <v>0</v>
      </c>
      <c r="S752" t="n">
        <v>0</v>
      </c>
      <c r="T752" t="n">
        <v>0</v>
      </c>
      <c r="U752" t="n">
        <v>0</v>
      </c>
      <c r="V752" s="2" t="inlineStr"/>
    </row>
    <row r="753" ht="15" customHeight="1">
      <c r="A753" t="inlineStr">
        <is>
          <t>A 12810-2026</t>
        </is>
      </c>
      <c r="B753" t="inlineStr">
        <is>
          <t>avverkningsanmälan</t>
        </is>
      </c>
      <c r="C753" t="inlineStr">
        <is>
          <t>Föryngringsavverkning</t>
        </is>
      </c>
      <c r="D753" s="1" t="n">
        <v>46091</v>
      </c>
      <c r="E753" s="1" t="n">
        <v>46313</v>
      </c>
      <c r="F753" t="inlineStr">
        <is>
          <t>VÄRMLANDS LÄN</t>
        </is>
      </c>
      <c r="G753" t="inlineStr">
        <is>
          <t>SUNNE</t>
        </is>
      </c>
      <c r="I753" t="n">
        <v>2.4</v>
      </c>
      <c r="J753" t="n">
        <v>0</v>
      </c>
      <c r="K753" t="n">
        <v>0</v>
      </c>
      <c r="L753" t="n">
        <v>0</v>
      </c>
      <c r="M753" t="n">
        <v>0</v>
      </c>
      <c r="N753" t="n">
        <v>0</v>
      </c>
      <c r="O753" t="n">
        <v>0</v>
      </c>
      <c r="P753" t="n">
        <v>0</v>
      </c>
      <c r="Q753" t="n">
        <v>0</v>
      </c>
      <c r="R753" t="n">
        <v>0</v>
      </c>
      <c r="S753" t="n">
        <v>0</v>
      </c>
      <c r="T753" t="n">
        <v>0</v>
      </c>
      <c r="U753" t="n">
        <v>0</v>
      </c>
      <c r="V753" s="2" t="inlineStr"/>
    </row>
    <row r="754" ht="15" customHeight="1">
      <c r="A754" t="inlineStr">
        <is>
          <t>A 27814-2026</t>
        </is>
      </c>
      <c r="B754" t="inlineStr">
        <is>
          <t>avverkningsanmälan</t>
        </is>
      </c>
      <c r="C754" t="inlineStr">
        <is>
          <t>Föryngringsavverkning</t>
        </is>
      </c>
      <c r="D754" s="1" t="n">
        <v>46191</v>
      </c>
      <c r="E754" s="1" t="n">
        <v>46313</v>
      </c>
      <c r="F754" t="inlineStr">
        <is>
          <t>VÄRMLANDS LÄN</t>
        </is>
      </c>
      <c r="G754" t="inlineStr">
        <is>
          <t>SUNNE</t>
        </is>
      </c>
      <c r="H754" t="inlineStr">
        <is>
          <t>Bergvik skog väst AB</t>
        </is>
      </c>
      <c r="I754" t="n">
        <v>6.2</v>
      </c>
      <c r="J754" t="n">
        <v>0</v>
      </c>
      <c r="K754" t="n">
        <v>0</v>
      </c>
      <c r="L754" t="n">
        <v>0</v>
      </c>
      <c r="M754" t="n">
        <v>0</v>
      </c>
      <c r="N754" t="n">
        <v>0</v>
      </c>
      <c r="O754" t="n">
        <v>0</v>
      </c>
      <c r="P754" t="n">
        <v>0</v>
      </c>
      <c r="Q754" t="n">
        <v>0</v>
      </c>
      <c r="R754" t="n">
        <v>0</v>
      </c>
      <c r="S754" t="n">
        <v>0</v>
      </c>
      <c r="T754" t="n">
        <v>0</v>
      </c>
      <c r="U754" t="n">
        <v>0</v>
      </c>
      <c r="V754" s="2" t="inlineStr"/>
    </row>
    <row r="755" ht="15" customHeight="1">
      <c r="A755" t="inlineStr">
        <is>
          <t>A 7712-2024</t>
        </is>
      </c>
      <c r="B755" t="inlineStr">
        <is>
          <t>avverkningsanmälan</t>
        </is>
      </c>
      <c r="C755" t="inlineStr">
        <is>
          <t>Föryngringsavverkning</t>
        </is>
      </c>
      <c r="D755" s="1" t="n">
        <v>45349</v>
      </c>
      <c r="E755" s="1" t="n">
        <v>46313</v>
      </c>
      <c r="F755" t="inlineStr">
        <is>
          <t>VÄRMLANDS LÄN</t>
        </is>
      </c>
      <c r="G755" t="inlineStr">
        <is>
          <t>SUNNE</t>
        </is>
      </c>
      <c r="I755" t="n">
        <v>4</v>
      </c>
      <c r="J755" t="n">
        <v>0</v>
      </c>
      <c r="K755" t="n">
        <v>0</v>
      </c>
      <c r="L755" t="n">
        <v>0</v>
      </c>
      <c r="M755" t="n">
        <v>0</v>
      </c>
      <c r="N755" t="n">
        <v>0</v>
      </c>
      <c r="O755" t="n">
        <v>0</v>
      </c>
      <c r="P755" t="n">
        <v>0</v>
      </c>
      <c r="Q755" t="n">
        <v>0</v>
      </c>
      <c r="R755" t="n">
        <v>0</v>
      </c>
      <c r="S755" t="n">
        <v>0</v>
      </c>
      <c r="T755" t="n">
        <v>0</v>
      </c>
      <c r="U755" t="n">
        <v>0</v>
      </c>
      <c r="V755" s="2" t="inlineStr"/>
    </row>
    <row r="756" ht="15" customHeight="1">
      <c r="A756" t="inlineStr">
        <is>
          <t>A 13107-2026</t>
        </is>
      </c>
      <c r="B756" t="inlineStr">
        <is>
          <t>avverkningsanmälan</t>
        </is>
      </c>
      <c r="C756" t="inlineStr">
        <is>
          <t>Föryngringsavverkning</t>
        </is>
      </c>
      <c r="D756" s="1" t="n">
        <v>46093</v>
      </c>
      <c r="E756" s="1" t="n">
        <v>46313</v>
      </c>
      <c r="F756" t="inlineStr">
        <is>
          <t>VÄRMLANDS LÄN</t>
        </is>
      </c>
      <c r="G756" t="inlineStr">
        <is>
          <t>SUNNE</t>
        </is>
      </c>
      <c r="I756" t="n">
        <v>2.2</v>
      </c>
      <c r="J756" t="n">
        <v>0</v>
      </c>
      <c r="K756" t="n">
        <v>0</v>
      </c>
      <c r="L756" t="n">
        <v>0</v>
      </c>
      <c r="M756" t="n">
        <v>0</v>
      </c>
      <c r="N756" t="n">
        <v>0</v>
      </c>
      <c r="O756" t="n">
        <v>0</v>
      </c>
      <c r="P756" t="n">
        <v>0</v>
      </c>
      <c r="Q756" t="n">
        <v>0</v>
      </c>
      <c r="R756" t="n">
        <v>0</v>
      </c>
      <c r="S756" t="n">
        <v>0</v>
      </c>
      <c r="T756" t="n">
        <v>0</v>
      </c>
      <c r="U756" t="n">
        <v>0</v>
      </c>
      <c r="V756" s="2" t="inlineStr"/>
    </row>
    <row r="757" ht="15" customHeight="1">
      <c r="A757" t="inlineStr">
        <is>
          <t>A 13335-2026</t>
        </is>
      </c>
      <c r="B757" t="inlineStr">
        <is>
          <t>avverkningsanmälan</t>
        </is>
      </c>
      <c r="C757" t="inlineStr">
        <is>
          <t>Avverkning för att bevara och utveckla /försöksver</t>
        </is>
      </c>
      <c r="D757" s="1" t="n">
        <v>46094</v>
      </c>
      <c r="E757" s="1" t="n">
        <v>46313</v>
      </c>
      <c r="F757" t="inlineStr">
        <is>
          <t>VÄRMLANDS LÄN</t>
        </is>
      </c>
      <c r="G757" t="inlineStr">
        <is>
          <t>SUNNE</t>
        </is>
      </c>
      <c r="H757" t="inlineStr">
        <is>
          <t>Övriga Aktiebolag</t>
        </is>
      </c>
      <c r="I757" t="n">
        <v>1</v>
      </c>
      <c r="J757" t="n">
        <v>0</v>
      </c>
      <c r="K757" t="n">
        <v>0</v>
      </c>
      <c r="L757" t="n">
        <v>0</v>
      </c>
      <c r="M757" t="n">
        <v>0</v>
      </c>
      <c r="N757" t="n">
        <v>0</v>
      </c>
      <c r="O757" t="n">
        <v>0</v>
      </c>
      <c r="P757" t="n">
        <v>0</v>
      </c>
      <c r="Q757" t="n">
        <v>0</v>
      </c>
      <c r="R757" t="n">
        <v>0</v>
      </c>
      <c r="S757" t="n">
        <v>0</v>
      </c>
      <c r="T757" t="n">
        <v>0</v>
      </c>
      <c r="U757" t="n">
        <v>0</v>
      </c>
      <c r="V757" s="2" t="inlineStr"/>
    </row>
    <row r="758" ht="15" customHeight="1">
      <c r="A758" t="inlineStr">
        <is>
          <t>A 27872-2026</t>
        </is>
      </c>
      <c r="B758" t="inlineStr">
        <is>
          <t>avverkningsanmälan</t>
        </is>
      </c>
      <c r="C758" t="inlineStr">
        <is>
          <t>Föryngringsavverkning</t>
        </is>
      </c>
      <c r="D758" s="1" t="n">
        <v>46191</v>
      </c>
      <c r="E758" s="1" t="n">
        <v>46313</v>
      </c>
      <c r="F758" t="inlineStr">
        <is>
          <t>VÄRMLANDS LÄN</t>
        </is>
      </c>
      <c r="G758" t="inlineStr">
        <is>
          <t>SUNNE</t>
        </is>
      </c>
      <c r="I758" t="n">
        <v>8.1</v>
      </c>
      <c r="J758" t="n">
        <v>0</v>
      </c>
      <c r="K758" t="n">
        <v>0</v>
      </c>
      <c r="L758" t="n">
        <v>0</v>
      </c>
      <c r="M758" t="n">
        <v>0</v>
      </c>
      <c r="N758" t="n">
        <v>0</v>
      </c>
      <c r="O758" t="n">
        <v>0</v>
      </c>
      <c r="P758" t="n">
        <v>0</v>
      </c>
      <c r="Q758" t="n">
        <v>0</v>
      </c>
      <c r="R758" t="n">
        <v>0</v>
      </c>
      <c r="S758" t="n">
        <v>0</v>
      </c>
      <c r="T758" t="n">
        <v>0</v>
      </c>
      <c r="U758" t="n">
        <v>0</v>
      </c>
      <c r="V758" s="2" t="inlineStr"/>
    </row>
    <row r="759" ht="15" customHeight="1">
      <c r="A759" t="inlineStr">
        <is>
          <t>A 27815-2026</t>
        </is>
      </c>
      <c r="B759" t="inlineStr">
        <is>
          <t>avverkningsanmälan</t>
        </is>
      </c>
      <c r="C759" t="inlineStr">
        <is>
          <t>Föryngringsavverkning</t>
        </is>
      </c>
      <c r="D759" s="1" t="n">
        <v>46191</v>
      </c>
      <c r="E759" s="1" t="n">
        <v>46313</v>
      </c>
      <c r="F759" t="inlineStr">
        <is>
          <t>VÄRMLANDS LÄN</t>
        </is>
      </c>
      <c r="G759" t="inlineStr">
        <is>
          <t>SUNNE</t>
        </is>
      </c>
      <c r="H759" t="inlineStr">
        <is>
          <t>Bergvik skog väst AB</t>
        </is>
      </c>
      <c r="I759" t="n">
        <v>2</v>
      </c>
      <c r="J759" t="n">
        <v>0</v>
      </c>
      <c r="K759" t="n">
        <v>0</v>
      </c>
      <c r="L759" t="n">
        <v>0</v>
      </c>
      <c r="M759" t="n">
        <v>0</v>
      </c>
      <c r="N759" t="n">
        <v>0</v>
      </c>
      <c r="O759" t="n">
        <v>0</v>
      </c>
      <c r="P759" t="n">
        <v>0</v>
      </c>
      <c r="Q759" t="n">
        <v>0</v>
      </c>
      <c r="R759" t="n">
        <v>0</v>
      </c>
      <c r="S759" t="n">
        <v>0</v>
      </c>
      <c r="T759" t="n">
        <v>0</v>
      </c>
      <c r="U759" t="n">
        <v>0</v>
      </c>
      <c r="V759" s="2" t="inlineStr"/>
    </row>
    <row r="760" ht="15" customHeight="1">
      <c r="A760" t="inlineStr">
        <is>
          <t>A 27805-2026</t>
        </is>
      </c>
      <c r="B760" t="inlineStr">
        <is>
          <t>avverkningsanmälan</t>
        </is>
      </c>
      <c r="C760" t="inlineStr">
        <is>
          <t>Föryngringsavverkning</t>
        </is>
      </c>
      <c r="D760" s="1" t="n">
        <v>46191</v>
      </c>
      <c r="E760" s="1" t="n">
        <v>46313</v>
      </c>
      <c r="F760" t="inlineStr">
        <is>
          <t>VÄRMLANDS LÄN</t>
        </is>
      </c>
      <c r="G760" t="inlineStr">
        <is>
          <t>SUNNE</t>
        </is>
      </c>
      <c r="I760" t="n">
        <v>2.6</v>
      </c>
      <c r="J760" t="n">
        <v>0</v>
      </c>
      <c r="K760" t="n">
        <v>0</v>
      </c>
      <c r="L760" t="n">
        <v>0</v>
      </c>
      <c r="M760" t="n">
        <v>0</v>
      </c>
      <c r="N760" t="n">
        <v>0</v>
      </c>
      <c r="O760" t="n">
        <v>0</v>
      </c>
      <c r="P760" t="n">
        <v>0</v>
      </c>
      <c r="Q760" t="n">
        <v>0</v>
      </c>
      <c r="R760" t="n">
        <v>0</v>
      </c>
      <c r="S760" t="n">
        <v>0</v>
      </c>
      <c r="T760" t="n">
        <v>0</v>
      </c>
      <c r="U760" t="n">
        <v>0</v>
      </c>
      <c r="V760" s="2" t="inlineStr"/>
    </row>
    <row r="761" ht="15" customHeight="1">
      <c r="A761" t="inlineStr">
        <is>
          <t>A 30132-2022</t>
        </is>
      </c>
      <c r="B761" t="inlineStr">
        <is>
          <t>avverkningsanmälan</t>
        </is>
      </c>
      <c r="C761" t="inlineStr">
        <is>
          <t>Föryngringsavverkning</t>
        </is>
      </c>
      <c r="D761" s="1" t="n">
        <v>44757</v>
      </c>
      <c r="E761" s="1" t="n">
        <v>46313</v>
      </c>
      <c r="F761" t="inlineStr">
        <is>
          <t>VÄRMLANDS LÄN</t>
        </is>
      </c>
      <c r="G761" t="inlineStr">
        <is>
          <t>SUNNE</t>
        </is>
      </c>
      <c r="I761" t="n">
        <v>0.7</v>
      </c>
      <c r="J761" t="n">
        <v>0</v>
      </c>
      <c r="K761" t="n">
        <v>0</v>
      </c>
      <c r="L761" t="n">
        <v>0</v>
      </c>
      <c r="M761" t="n">
        <v>0</v>
      </c>
      <c r="N761" t="n">
        <v>0</v>
      </c>
      <c r="O761" t="n">
        <v>0</v>
      </c>
      <c r="P761" t="n">
        <v>0</v>
      </c>
      <c r="Q761" t="n">
        <v>0</v>
      </c>
      <c r="R761" t="n">
        <v>0</v>
      </c>
      <c r="S761" t="n">
        <v>0</v>
      </c>
      <c r="T761" t="n">
        <v>0</v>
      </c>
      <c r="U761" t="n">
        <v>0</v>
      </c>
      <c r="V761" s="2" t="inlineStr"/>
    </row>
    <row r="762" ht="15" customHeight="1">
      <c r="A762" t="inlineStr">
        <is>
          <t>A 41208-2023</t>
        </is>
      </c>
      <c r="B762" t="inlineStr">
        <is>
          <t>avverkningsanmälan</t>
        </is>
      </c>
      <c r="C762" t="inlineStr">
        <is>
          <t>Föryngringsavverkning</t>
        </is>
      </c>
      <c r="D762" s="1" t="n">
        <v>45174</v>
      </c>
      <c r="E762" s="1" t="n">
        <v>46313</v>
      </c>
      <c r="F762" t="inlineStr">
        <is>
          <t>VÄRMLANDS LÄN</t>
        </is>
      </c>
      <c r="G762" t="inlineStr">
        <is>
          <t>SUNNE</t>
        </is>
      </c>
      <c r="I762" t="n">
        <v>1.6</v>
      </c>
      <c r="J762" t="n">
        <v>0</v>
      </c>
      <c r="K762" t="n">
        <v>0</v>
      </c>
      <c r="L762" t="n">
        <v>0</v>
      </c>
      <c r="M762" t="n">
        <v>0</v>
      </c>
      <c r="N762" t="n">
        <v>0</v>
      </c>
      <c r="O762" t="n">
        <v>0</v>
      </c>
      <c r="P762" t="n">
        <v>0</v>
      </c>
      <c r="Q762" t="n">
        <v>0</v>
      </c>
      <c r="R762" t="n">
        <v>0</v>
      </c>
      <c r="S762" t="n">
        <v>0</v>
      </c>
      <c r="T762" t="n">
        <v>0</v>
      </c>
      <c r="U762" t="n">
        <v>0</v>
      </c>
      <c r="V762" s="2" t="inlineStr"/>
    </row>
    <row r="763" ht="15" customHeight="1">
      <c r="A763" t="inlineStr">
        <is>
          <t>A 3074-2024</t>
        </is>
      </c>
      <c r="B763" t="inlineStr">
        <is>
          <t>avverkningsanmälan</t>
        </is>
      </c>
      <c r="C763" t="inlineStr">
        <is>
          <t>Föryngringsavverkning</t>
        </is>
      </c>
      <c r="D763" s="1" t="n">
        <v>45316</v>
      </c>
      <c r="E763" s="1" t="n">
        <v>46313</v>
      </c>
      <c r="F763" t="inlineStr">
        <is>
          <t>VÄRMLANDS LÄN</t>
        </is>
      </c>
      <c r="G763" t="inlineStr">
        <is>
          <t>SUNNE</t>
        </is>
      </c>
      <c r="H763" t="inlineStr">
        <is>
          <t>Kommuner</t>
        </is>
      </c>
      <c r="I763" t="n">
        <v>1.9</v>
      </c>
      <c r="J763" t="n">
        <v>0</v>
      </c>
      <c r="K763" t="n">
        <v>0</v>
      </c>
      <c r="L763" t="n">
        <v>0</v>
      </c>
      <c r="M763" t="n">
        <v>0</v>
      </c>
      <c r="N763" t="n">
        <v>0</v>
      </c>
      <c r="O763" t="n">
        <v>0</v>
      </c>
      <c r="P763" t="n">
        <v>0</v>
      </c>
      <c r="Q763" t="n">
        <v>0</v>
      </c>
      <c r="R763" t="n">
        <v>0</v>
      </c>
      <c r="S763" t="n">
        <v>0</v>
      </c>
      <c r="T763" t="n">
        <v>0</v>
      </c>
      <c r="U763" t="n">
        <v>0</v>
      </c>
      <c r="V763" s="2" t="inlineStr"/>
    </row>
    <row r="764" ht="15" customHeight="1">
      <c r="A764" t="inlineStr">
        <is>
          <t>A 37290-2022</t>
        </is>
      </c>
      <c r="B764" t="inlineStr">
        <is>
          <t>avverkningsanmälan</t>
        </is>
      </c>
      <c r="C764" t="inlineStr">
        <is>
          <t>Föryngringsavverkning</t>
        </is>
      </c>
      <c r="D764" s="1" t="n">
        <v>44808</v>
      </c>
      <c r="E764" s="1" t="n">
        <v>46313</v>
      </c>
      <c r="F764" t="inlineStr">
        <is>
          <t>VÄRMLANDS LÄN</t>
        </is>
      </c>
      <c r="G764" t="inlineStr">
        <is>
          <t>SUNNE</t>
        </is>
      </c>
      <c r="I764" t="n">
        <v>2</v>
      </c>
      <c r="J764" t="n">
        <v>0</v>
      </c>
      <c r="K764" t="n">
        <v>0</v>
      </c>
      <c r="L764" t="n">
        <v>0</v>
      </c>
      <c r="M764" t="n">
        <v>0</v>
      </c>
      <c r="N764" t="n">
        <v>0</v>
      </c>
      <c r="O764" t="n">
        <v>0</v>
      </c>
      <c r="P764" t="n">
        <v>0</v>
      </c>
      <c r="Q764" t="n">
        <v>0</v>
      </c>
      <c r="R764" t="n">
        <v>0</v>
      </c>
      <c r="S764" t="n">
        <v>0</v>
      </c>
      <c r="T764" t="n">
        <v>0</v>
      </c>
      <c r="U764" t="n">
        <v>0</v>
      </c>
      <c r="V764" s="2" t="inlineStr"/>
    </row>
    <row r="765" ht="15" customHeight="1">
      <c r="A765" t="inlineStr">
        <is>
          <t>A 14470-2026</t>
        </is>
      </c>
      <c r="B765" t="inlineStr">
        <is>
          <t>avverkningsanmälan</t>
        </is>
      </c>
      <c r="C765" t="inlineStr">
        <is>
          <t>Föryngringsavverkning</t>
        </is>
      </c>
      <c r="D765" s="1" t="n">
        <v>46100</v>
      </c>
      <c r="E765" s="1" t="n">
        <v>46313</v>
      </c>
      <c r="F765" t="inlineStr">
        <is>
          <t>VÄRMLANDS LÄN</t>
        </is>
      </c>
      <c r="G765" t="inlineStr">
        <is>
          <t>SUNNE</t>
        </is>
      </c>
      <c r="I765" t="n">
        <v>1.5</v>
      </c>
      <c r="J765" t="n">
        <v>0</v>
      </c>
      <c r="K765" t="n">
        <v>0</v>
      </c>
      <c r="L765" t="n">
        <v>0</v>
      </c>
      <c r="M765" t="n">
        <v>0</v>
      </c>
      <c r="N765" t="n">
        <v>0</v>
      </c>
      <c r="O765" t="n">
        <v>0</v>
      </c>
      <c r="P765" t="n">
        <v>0</v>
      </c>
      <c r="Q765" t="n">
        <v>0</v>
      </c>
      <c r="R765" t="n">
        <v>0</v>
      </c>
      <c r="S765" t="n">
        <v>0</v>
      </c>
      <c r="T765" t="n">
        <v>0</v>
      </c>
      <c r="U765" t="n">
        <v>0</v>
      </c>
      <c r="V765" s="2" t="inlineStr"/>
    </row>
    <row r="766" ht="15" customHeight="1">
      <c r="A766" t="inlineStr">
        <is>
          <t>A 14416-2026</t>
        </is>
      </c>
      <c r="B766" t="inlineStr">
        <is>
          <t>avverkningsanmälan</t>
        </is>
      </c>
      <c r="C766" t="inlineStr">
        <is>
          <t>Föryngringsavverkning</t>
        </is>
      </c>
      <c r="D766" s="1" t="n">
        <v>46100</v>
      </c>
      <c r="E766" s="1" t="n">
        <v>46313</v>
      </c>
      <c r="F766" t="inlineStr">
        <is>
          <t>VÄRMLANDS LÄN</t>
        </is>
      </c>
      <c r="G766" t="inlineStr">
        <is>
          <t>SUNNE</t>
        </is>
      </c>
      <c r="I766" t="n">
        <v>1</v>
      </c>
      <c r="J766" t="n">
        <v>0</v>
      </c>
      <c r="K766" t="n">
        <v>0</v>
      </c>
      <c r="L766" t="n">
        <v>0</v>
      </c>
      <c r="M766" t="n">
        <v>0</v>
      </c>
      <c r="N766" t="n">
        <v>0</v>
      </c>
      <c r="O766" t="n">
        <v>0</v>
      </c>
      <c r="P766" t="n">
        <v>0</v>
      </c>
      <c r="Q766" t="n">
        <v>0</v>
      </c>
      <c r="R766" t="n">
        <v>0</v>
      </c>
      <c r="S766" t="n">
        <v>0</v>
      </c>
      <c r="T766" t="n">
        <v>0</v>
      </c>
      <c r="U766" t="n">
        <v>0</v>
      </c>
      <c r="V766" s="2" t="inlineStr"/>
    </row>
    <row r="767" ht="15" customHeight="1">
      <c r="A767" t="inlineStr">
        <is>
          <t>A 50455-2023</t>
        </is>
      </c>
      <c r="B767" t="inlineStr">
        <is>
          <t>avverkningsanmälan</t>
        </is>
      </c>
      <c r="C767" t="inlineStr">
        <is>
          <t>Föryngringsavverkning</t>
        </is>
      </c>
      <c r="D767" s="1" t="n">
        <v>45216</v>
      </c>
      <c r="E767" s="1" t="n">
        <v>46313</v>
      </c>
      <c r="F767" t="inlineStr">
        <is>
          <t>VÄRMLANDS LÄN</t>
        </is>
      </c>
      <c r="G767" t="inlineStr">
        <is>
          <t>SUNNE</t>
        </is>
      </c>
      <c r="I767" t="n">
        <v>6</v>
      </c>
      <c r="J767" t="n">
        <v>0</v>
      </c>
      <c r="K767" t="n">
        <v>0</v>
      </c>
      <c r="L767" t="n">
        <v>0</v>
      </c>
      <c r="M767" t="n">
        <v>0</v>
      </c>
      <c r="N767" t="n">
        <v>0</v>
      </c>
      <c r="O767" t="n">
        <v>0</v>
      </c>
      <c r="P767" t="n">
        <v>0</v>
      </c>
      <c r="Q767" t="n">
        <v>0</v>
      </c>
      <c r="R767" t="n">
        <v>0</v>
      </c>
      <c r="S767" t="n">
        <v>0</v>
      </c>
      <c r="T767" t="n">
        <v>0</v>
      </c>
      <c r="U767" t="n">
        <v>0</v>
      </c>
      <c r="V767" s="2" t="inlineStr"/>
    </row>
    <row r="768" ht="15" customHeight="1">
      <c r="A768" t="inlineStr">
        <is>
          <t>A 1963-2024</t>
        </is>
      </c>
      <c r="B768" t="inlineStr">
        <is>
          <t>avverkningsanmälan</t>
        </is>
      </c>
      <c r="C768" t="inlineStr">
        <is>
          <t>Föryngringsavverkning</t>
        </is>
      </c>
      <c r="D768" s="1" t="n">
        <v>45308</v>
      </c>
      <c r="E768" s="1" t="n">
        <v>46313</v>
      </c>
      <c r="F768" t="inlineStr">
        <is>
          <t>VÄRMLANDS LÄN</t>
        </is>
      </c>
      <c r="G768" t="inlineStr">
        <is>
          <t>SUNNE</t>
        </is>
      </c>
      <c r="I768" t="n">
        <v>1</v>
      </c>
      <c r="J768" t="n">
        <v>0</v>
      </c>
      <c r="K768" t="n">
        <v>0</v>
      </c>
      <c r="L768" t="n">
        <v>0</v>
      </c>
      <c r="M768" t="n">
        <v>0</v>
      </c>
      <c r="N768" t="n">
        <v>0</v>
      </c>
      <c r="O768" t="n">
        <v>0</v>
      </c>
      <c r="P768" t="n">
        <v>0</v>
      </c>
      <c r="Q768" t="n">
        <v>0</v>
      </c>
      <c r="R768" t="n">
        <v>0</v>
      </c>
      <c r="S768" t="n">
        <v>0</v>
      </c>
      <c r="T768" t="n">
        <v>0</v>
      </c>
      <c r="U768" t="n">
        <v>0</v>
      </c>
      <c r="V768" s="2" t="inlineStr"/>
    </row>
    <row r="769" ht="15" customHeight="1">
      <c r="A769" t="inlineStr">
        <is>
          <t>A 19554-2023</t>
        </is>
      </c>
      <c r="B769" t="inlineStr">
        <is>
          <t>avverkningsanmälan</t>
        </is>
      </c>
      <c r="C769" t="inlineStr">
        <is>
          <t>Föryngringsavverkning</t>
        </is>
      </c>
      <c r="D769" s="1" t="n">
        <v>45050</v>
      </c>
      <c r="E769" s="1" t="n">
        <v>46313</v>
      </c>
      <c r="F769" t="inlineStr">
        <is>
          <t>VÄRMLANDS LÄN</t>
        </is>
      </c>
      <c r="G769" t="inlineStr">
        <is>
          <t>SUNNE</t>
        </is>
      </c>
      <c r="H769" t="inlineStr">
        <is>
          <t>Övriga Aktiebolag</t>
        </is>
      </c>
      <c r="I769" t="n">
        <v>11.2</v>
      </c>
      <c r="J769" t="n">
        <v>0</v>
      </c>
      <c r="K769" t="n">
        <v>0</v>
      </c>
      <c r="L769" t="n">
        <v>0</v>
      </c>
      <c r="M769" t="n">
        <v>0</v>
      </c>
      <c r="N769" t="n">
        <v>0</v>
      </c>
      <c r="O769" t="n">
        <v>0</v>
      </c>
      <c r="P769" t="n">
        <v>0</v>
      </c>
      <c r="Q769" t="n">
        <v>0</v>
      </c>
      <c r="R769" t="n">
        <v>0</v>
      </c>
      <c r="S769" t="n">
        <v>0</v>
      </c>
      <c r="T769" t="n">
        <v>0</v>
      </c>
      <c r="U769" t="n">
        <v>0</v>
      </c>
      <c r="V769" s="2" t="inlineStr"/>
    </row>
    <row r="770" ht="15" customHeight="1">
      <c r="A770" t="inlineStr">
        <is>
          <t>A 13158-2023</t>
        </is>
      </c>
      <c r="B770" t="inlineStr">
        <is>
          <t>avverkningsanmälan</t>
        </is>
      </c>
      <c r="C770" t="inlineStr">
        <is>
          <t>Föryngringsavverkning</t>
        </is>
      </c>
      <c r="D770" s="1" t="n">
        <v>45002</v>
      </c>
      <c r="E770" s="1" t="n">
        <v>46313</v>
      </c>
      <c r="F770" t="inlineStr">
        <is>
          <t>VÄRMLANDS LÄN</t>
        </is>
      </c>
      <c r="G770" t="inlineStr">
        <is>
          <t>SUNNE</t>
        </is>
      </c>
      <c r="H770" t="inlineStr">
        <is>
          <t>Bergvik skog väst AB</t>
        </is>
      </c>
      <c r="I770" t="n">
        <v>0.7</v>
      </c>
      <c r="J770" t="n">
        <v>0</v>
      </c>
      <c r="K770" t="n">
        <v>0</v>
      </c>
      <c r="L770" t="n">
        <v>0</v>
      </c>
      <c r="M770" t="n">
        <v>0</v>
      </c>
      <c r="N770" t="n">
        <v>0</v>
      </c>
      <c r="O770" t="n">
        <v>0</v>
      </c>
      <c r="P770" t="n">
        <v>0</v>
      </c>
      <c r="Q770" t="n">
        <v>0</v>
      </c>
      <c r="R770" t="n">
        <v>0</v>
      </c>
      <c r="S770" t="n">
        <v>0</v>
      </c>
      <c r="T770" t="n">
        <v>0</v>
      </c>
      <c r="U770" t="n">
        <v>0</v>
      </c>
      <c r="V770" s="2" t="inlineStr"/>
    </row>
    <row r="771" ht="15" customHeight="1">
      <c r="A771" t="inlineStr">
        <is>
          <t>A 28327-2026</t>
        </is>
      </c>
      <c r="B771" t="inlineStr">
        <is>
          <t>avverkningsanmälan</t>
        </is>
      </c>
      <c r="C771" t="inlineStr">
        <is>
          <t>Föryngringsavverkning</t>
        </is>
      </c>
      <c r="D771" s="1" t="n">
        <v>46196</v>
      </c>
      <c r="E771" s="1" t="n">
        <v>46313</v>
      </c>
      <c r="F771" t="inlineStr">
        <is>
          <t>VÄRMLANDS LÄN</t>
        </is>
      </c>
      <c r="G771" t="inlineStr">
        <is>
          <t>SUNNE</t>
        </is>
      </c>
      <c r="I771" t="n">
        <v>1.6</v>
      </c>
      <c r="J771" t="n">
        <v>0</v>
      </c>
      <c r="K771" t="n">
        <v>0</v>
      </c>
      <c r="L771" t="n">
        <v>0</v>
      </c>
      <c r="M771" t="n">
        <v>0</v>
      </c>
      <c r="N771" t="n">
        <v>0</v>
      </c>
      <c r="O771" t="n">
        <v>0</v>
      </c>
      <c r="P771" t="n">
        <v>0</v>
      </c>
      <c r="Q771" t="n">
        <v>0</v>
      </c>
      <c r="R771" t="n">
        <v>0</v>
      </c>
      <c r="S771" t="n">
        <v>0</v>
      </c>
      <c r="T771" t="n">
        <v>0</v>
      </c>
      <c r="U771" t="n">
        <v>0</v>
      </c>
      <c r="V771" s="2" t="inlineStr"/>
    </row>
    <row r="772" ht="15" customHeight="1">
      <c r="A772" t="inlineStr">
        <is>
          <t>A 34380-2023</t>
        </is>
      </c>
      <c r="B772" t="inlineStr">
        <is>
          <t>avverkningsanmälan</t>
        </is>
      </c>
      <c r="C772" t="inlineStr">
        <is>
          <t>Föryngringsavverkning</t>
        </is>
      </c>
      <c r="D772" s="1" t="n">
        <v>45131</v>
      </c>
      <c r="E772" s="1" t="n">
        <v>46313</v>
      </c>
      <c r="F772" t="inlineStr">
        <is>
          <t>VÄRMLANDS LÄN</t>
        </is>
      </c>
      <c r="G772" t="inlineStr">
        <is>
          <t>SUNNE</t>
        </is>
      </c>
      <c r="I772" t="n">
        <v>1.7</v>
      </c>
      <c r="J772" t="n">
        <v>0</v>
      </c>
      <c r="K772" t="n">
        <v>0</v>
      </c>
      <c r="L772" t="n">
        <v>0</v>
      </c>
      <c r="M772" t="n">
        <v>0</v>
      </c>
      <c r="N772" t="n">
        <v>0</v>
      </c>
      <c r="O772" t="n">
        <v>0</v>
      </c>
      <c r="P772" t="n">
        <v>0</v>
      </c>
      <c r="Q772" t="n">
        <v>0</v>
      </c>
      <c r="R772" t="n">
        <v>0</v>
      </c>
      <c r="S772" t="n">
        <v>0</v>
      </c>
      <c r="T772" t="n">
        <v>0</v>
      </c>
      <c r="U772" t="n">
        <v>0</v>
      </c>
      <c r="V772" s="2" t="inlineStr"/>
    </row>
    <row r="773" ht="15" customHeight="1">
      <c r="A773" t="inlineStr">
        <is>
          <t>A 65012-2021</t>
        </is>
      </c>
      <c r="B773" t="inlineStr">
        <is>
          <t>avverkningsanmälan</t>
        </is>
      </c>
      <c r="C773" t="inlineStr">
        <is>
          <t>Föryngringsavverkning</t>
        </is>
      </c>
      <c r="D773" s="1" t="n">
        <v>44514</v>
      </c>
      <c r="E773" s="1" t="n">
        <v>46313</v>
      </c>
      <c r="F773" t="inlineStr">
        <is>
          <t>VÄRMLANDS LÄN</t>
        </is>
      </c>
      <c r="G773" t="inlineStr">
        <is>
          <t>SUNNE</t>
        </is>
      </c>
      <c r="I773" t="n">
        <v>0.9</v>
      </c>
      <c r="J773" t="n">
        <v>0</v>
      </c>
      <c r="K773" t="n">
        <v>0</v>
      </c>
      <c r="L773" t="n">
        <v>0</v>
      </c>
      <c r="M773" t="n">
        <v>0</v>
      </c>
      <c r="N773" t="n">
        <v>0</v>
      </c>
      <c r="O773" t="n">
        <v>0</v>
      </c>
      <c r="P773" t="n">
        <v>0</v>
      </c>
      <c r="Q773" t="n">
        <v>0</v>
      </c>
      <c r="R773" t="n">
        <v>0</v>
      </c>
      <c r="S773" t="n">
        <v>0</v>
      </c>
      <c r="T773" t="n">
        <v>0</v>
      </c>
      <c r="U773" t="n">
        <v>0</v>
      </c>
      <c r="V773" s="2" t="inlineStr"/>
    </row>
    <row r="774" ht="15" customHeight="1">
      <c r="A774" t="inlineStr">
        <is>
          <t>A 19457-2023</t>
        </is>
      </c>
      <c r="B774" t="inlineStr">
        <is>
          <t>avverkningsanmälan</t>
        </is>
      </c>
      <c r="C774" t="inlineStr">
        <is>
          <t>Föryngringsavverkning</t>
        </is>
      </c>
      <c r="D774" s="1" t="n">
        <v>45050</v>
      </c>
      <c r="E774" s="1" t="n">
        <v>46313</v>
      </c>
      <c r="F774" t="inlineStr">
        <is>
          <t>VÄRMLANDS LÄN</t>
        </is>
      </c>
      <c r="G774" t="inlineStr">
        <is>
          <t>SUNNE</t>
        </is>
      </c>
      <c r="I774" t="n">
        <v>0.5</v>
      </c>
      <c r="J774" t="n">
        <v>0</v>
      </c>
      <c r="K774" t="n">
        <v>0</v>
      </c>
      <c r="L774" t="n">
        <v>0</v>
      </c>
      <c r="M774" t="n">
        <v>0</v>
      </c>
      <c r="N774" t="n">
        <v>0</v>
      </c>
      <c r="O774" t="n">
        <v>0</v>
      </c>
      <c r="P774" t="n">
        <v>0</v>
      </c>
      <c r="Q774" t="n">
        <v>0</v>
      </c>
      <c r="R774" t="n">
        <v>0</v>
      </c>
      <c r="S774" t="n">
        <v>0</v>
      </c>
      <c r="T774" t="n">
        <v>0</v>
      </c>
      <c r="U774" t="n">
        <v>0</v>
      </c>
      <c r="V774" s="2" t="inlineStr"/>
    </row>
    <row r="775" ht="15" customHeight="1">
      <c r="A775" t="inlineStr">
        <is>
          <t>A 27573-2023</t>
        </is>
      </c>
      <c r="B775" t="inlineStr">
        <is>
          <t>avverkningsanmälan</t>
        </is>
      </c>
      <c r="C775" t="inlineStr">
        <is>
          <t>Föryngringsavverkning</t>
        </is>
      </c>
      <c r="D775" s="1" t="n">
        <v>45093</v>
      </c>
      <c r="E775" s="1" t="n">
        <v>46313</v>
      </c>
      <c r="F775" t="inlineStr">
        <is>
          <t>VÄRMLANDS LÄN</t>
        </is>
      </c>
      <c r="G775" t="inlineStr">
        <is>
          <t>SUNNE</t>
        </is>
      </c>
      <c r="I775" t="n">
        <v>1.4</v>
      </c>
      <c r="J775" t="n">
        <v>0</v>
      </c>
      <c r="K775" t="n">
        <v>0</v>
      </c>
      <c r="L775" t="n">
        <v>0</v>
      </c>
      <c r="M775" t="n">
        <v>0</v>
      </c>
      <c r="N775" t="n">
        <v>0</v>
      </c>
      <c r="O775" t="n">
        <v>0</v>
      </c>
      <c r="P775" t="n">
        <v>0</v>
      </c>
      <c r="Q775" t="n">
        <v>0</v>
      </c>
      <c r="R775" t="n">
        <v>0</v>
      </c>
      <c r="S775" t="n">
        <v>0</v>
      </c>
      <c r="T775" t="n">
        <v>0</v>
      </c>
      <c r="U775" t="n">
        <v>0</v>
      </c>
      <c r="V775" s="2" t="inlineStr"/>
    </row>
    <row r="776" ht="15" customHeight="1">
      <c r="A776" t="inlineStr">
        <is>
          <t>A 25816-2024</t>
        </is>
      </c>
      <c r="B776" t="inlineStr">
        <is>
          <t>avverkningsanmälan</t>
        </is>
      </c>
      <c r="C776" t="inlineStr">
        <is>
          <t>Föryngringsavverkning</t>
        </is>
      </c>
      <c r="D776" s="1" t="n">
        <v>45467</v>
      </c>
      <c r="E776" s="1" t="n">
        <v>46313</v>
      </c>
      <c r="F776" t="inlineStr">
        <is>
          <t>VÄRMLANDS LÄN</t>
        </is>
      </c>
      <c r="G776" t="inlineStr">
        <is>
          <t>SUNNE</t>
        </is>
      </c>
      <c r="I776" t="n">
        <v>1.3</v>
      </c>
      <c r="J776" t="n">
        <v>0</v>
      </c>
      <c r="K776" t="n">
        <v>0</v>
      </c>
      <c r="L776" t="n">
        <v>0</v>
      </c>
      <c r="M776" t="n">
        <v>0</v>
      </c>
      <c r="N776" t="n">
        <v>0</v>
      </c>
      <c r="O776" t="n">
        <v>0</v>
      </c>
      <c r="P776" t="n">
        <v>0</v>
      </c>
      <c r="Q776" t="n">
        <v>0</v>
      </c>
      <c r="R776" t="n">
        <v>0</v>
      </c>
      <c r="S776" t="n">
        <v>0</v>
      </c>
      <c r="T776" t="n">
        <v>0</v>
      </c>
      <c r="U776" t="n">
        <v>0</v>
      </c>
      <c r="V776" s="2" t="inlineStr"/>
    </row>
    <row r="777" ht="15" customHeight="1">
      <c r="A777" t="inlineStr">
        <is>
          <t>A 34541-2022</t>
        </is>
      </c>
      <c r="B777" t="inlineStr">
        <is>
          <t>avverkningsanmälan</t>
        </is>
      </c>
      <c r="C777" t="inlineStr">
        <is>
          <t>Föryngringsavverkning</t>
        </is>
      </c>
      <c r="D777" s="1" t="n">
        <v>44793</v>
      </c>
      <c r="E777" s="1" t="n">
        <v>46313</v>
      </c>
      <c r="F777" t="inlineStr">
        <is>
          <t>VÄRMLANDS LÄN</t>
        </is>
      </c>
      <c r="G777" t="inlineStr">
        <is>
          <t>SUNNE</t>
        </is>
      </c>
      <c r="I777" t="n">
        <v>3.4</v>
      </c>
      <c r="J777" t="n">
        <v>0</v>
      </c>
      <c r="K777" t="n">
        <v>0</v>
      </c>
      <c r="L777" t="n">
        <v>0</v>
      </c>
      <c r="M777" t="n">
        <v>0</v>
      </c>
      <c r="N777" t="n">
        <v>0</v>
      </c>
      <c r="O777" t="n">
        <v>0</v>
      </c>
      <c r="P777" t="n">
        <v>0</v>
      </c>
      <c r="Q777" t="n">
        <v>0</v>
      </c>
      <c r="R777" t="n">
        <v>0</v>
      </c>
      <c r="S777" t="n">
        <v>0</v>
      </c>
      <c r="T777" t="n">
        <v>0</v>
      </c>
      <c r="U777" t="n">
        <v>0</v>
      </c>
      <c r="V777" s="2" t="inlineStr"/>
    </row>
    <row r="778" ht="15" customHeight="1">
      <c r="A778" t="inlineStr">
        <is>
          <t>A 40612-2023</t>
        </is>
      </c>
      <c r="B778" t="inlineStr">
        <is>
          <t>avverkningsanmälan</t>
        </is>
      </c>
      <c r="C778" t="inlineStr">
        <is>
          <t>Föryngringsavverkning</t>
        </is>
      </c>
      <c r="D778" s="1" t="n">
        <v>45170</v>
      </c>
      <c r="E778" s="1" t="n">
        <v>46313</v>
      </c>
      <c r="F778" t="inlineStr">
        <is>
          <t>VÄRMLANDS LÄN</t>
        </is>
      </c>
      <c r="G778" t="inlineStr">
        <is>
          <t>SUNNE</t>
        </is>
      </c>
      <c r="I778" t="n">
        <v>2.1</v>
      </c>
      <c r="J778" t="n">
        <v>0</v>
      </c>
      <c r="K778" t="n">
        <v>0</v>
      </c>
      <c r="L778" t="n">
        <v>0</v>
      </c>
      <c r="M778" t="n">
        <v>0</v>
      </c>
      <c r="N778" t="n">
        <v>0</v>
      </c>
      <c r="O778" t="n">
        <v>0</v>
      </c>
      <c r="P778" t="n">
        <v>0</v>
      </c>
      <c r="Q778" t="n">
        <v>0</v>
      </c>
      <c r="R778" t="n">
        <v>0</v>
      </c>
      <c r="S778" t="n">
        <v>0</v>
      </c>
      <c r="T778" t="n">
        <v>0</v>
      </c>
      <c r="U778" t="n">
        <v>0</v>
      </c>
      <c r="V778" s="2" t="inlineStr"/>
    </row>
    <row r="779" ht="15" customHeight="1">
      <c r="A779" t="inlineStr">
        <is>
          <t>A 14492-2023</t>
        </is>
      </c>
      <c r="B779" t="inlineStr">
        <is>
          <t>avverkningsanmälan</t>
        </is>
      </c>
      <c r="C779" t="inlineStr">
        <is>
          <t>Föryngringsavverkning</t>
        </is>
      </c>
      <c r="D779" s="1" t="n">
        <v>45012</v>
      </c>
      <c r="E779" s="1" t="n">
        <v>46313</v>
      </c>
      <c r="F779" t="inlineStr">
        <is>
          <t>VÄRMLANDS LÄN</t>
        </is>
      </c>
      <c r="G779" t="inlineStr">
        <is>
          <t>SUNNE</t>
        </is>
      </c>
      <c r="I779" t="n">
        <v>0.9</v>
      </c>
      <c r="J779" t="n">
        <v>0</v>
      </c>
      <c r="K779" t="n">
        <v>0</v>
      </c>
      <c r="L779" t="n">
        <v>0</v>
      </c>
      <c r="M779" t="n">
        <v>0</v>
      </c>
      <c r="N779" t="n">
        <v>0</v>
      </c>
      <c r="O779" t="n">
        <v>0</v>
      </c>
      <c r="P779" t="n">
        <v>0</v>
      </c>
      <c r="Q779" t="n">
        <v>0</v>
      </c>
      <c r="R779" t="n">
        <v>0</v>
      </c>
      <c r="S779" t="n">
        <v>0</v>
      </c>
      <c r="T779" t="n">
        <v>0</v>
      </c>
      <c r="U779" t="n">
        <v>0</v>
      </c>
      <c r="V779" s="2" t="inlineStr"/>
    </row>
    <row r="780" ht="15" customHeight="1">
      <c r="A780" t="inlineStr">
        <is>
          <t>A 39167-2022</t>
        </is>
      </c>
      <c r="B780" t="inlineStr">
        <is>
          <t>avverkningsanmälan</t>
        </is>
      </c>
      <c r="C780" t="inlineStr">
        <is>
          <t>Föryngringsavverkning</t>
        </is>
      </c>
      <c r="D780" s="1" t="n">
        <v>44817</v>
      </c>
      <c r="E780" s="1" t="n">
        <v>46313</v>
      </c>
      <c r="F780" t="inlineStr">
        <is>
          <t>VÄRMLANDS LÄN</t>
        </is>
      </c>
      <c r="G780" t="inlineStr">
        <is>
          <t>SUNNE</t>
        </is>
      </c>
      <c r="I780" t="n">
        <v>1.9</v>
      </c>
      <c r="J780" t="n">
        <v>0</v>
      </c>
      <c r="K780" t="n">
        <v>0</v>
      </c>
      <c r="L780" t="n">
        <v>0</v>
      </c>
      <c r="M780" t="n">
        <v>0</v>
      </c>
      <c r="N780" t="n">
        <v>0</v>
      </c>
      <c r="O780" t="n">
        <v>0</v>
      </c>
      <c r="P780" t="n">
        <v>0</v>
      </c>
      <c r="Q780" t="n">
        <v>0</v>
      </c>
      <c r="R780" t="n">
        <v>0</v>
      </c>
      <c r="S780" t="n">
        <v>0</v>
      </c>
      <c r="T780" t="n">
        <v>0</v>
      </c>
      <c r="U780" t="n">
        <v>0</v>
      </c>
      <c r="V780" s="2" t="inlineStr"/>
    </row>
    <row r="781" ht="15" customHeight="1">
      <c r="A781" t="inlineStr">
        <is>
          <t>A 26681-2023</t>
        </is>
      </c>
      <c r="B781" t="inlineStr">
        <is>
          <t>avverkningsanmälan</t>
        </is>
      </c>
      <c r="C781" t="inlineStr">
        <is>
          <t>Föryngringsavverkning</t>
        </is>
      </c>
      <c r="D781" s="1" t="n">
        <v>45093</v>
      </c>
      <c r="E781" s="1" t="n">
        <v>46313</v>
      </c>
      <c r="F781" t="inlineStr">
        <is>
          <t>VÄRMLANDS LÄN</t>
        </is>
      </c>
      <c r="G781" t="inlineStr">
        <is>
          <t>SUNNE</t>
        </is>
      </c>
      <c r="I781" t="n">
        <v>2.4</v>
      </c>
      <c r="J781" t="n">
        <v>0</v>
      </c>
      <c r="K781" t="n">
        <v>0</v>
      </c>
      <c r="L781" t="n">
        <v>0</v>
      </c>
      <c r="M781" t="n">
        <v>0</v>
      </c>
      <c r="N781" t="n">
        <v>0</v>
      </c>
      <c r="O781" t="n">
        <v>0</v>
      </c>
      <c r="P781" t="n">
        <v>0</v>
      </c>
      <c r="Q781" t="n">
        <v>0</v>
      </c>
      <c r="R781" t="n">
        <v>0</v>
      </c>
      <c r="S781" t="n">
        <v>0</v>
      </c>
      <c r="T781" t="n">
        <v>0</v>
      </c>
      <c r="U781" t="n">
        <v>0</v>
      </c>
      <c r="V781" s="2" t="inlineStr"/>
    </row>
    <row r="782" ht="15" customHeight="1">
      <c r="A782" t="inlineStr">
        <is>
          <t>A 12304-2024</t>
        </is>
      </c>
      <c r="B782" t="inlineStr">
        <is>
          <t>avverkningsanmälan</t>
        </is>
      </c>
      <c r="C782" t="inlineStr">
        <is>
          <t>Föryngringsavverkning</t>
        </is>
      </c>
      <c r="D782" s="1" t="n">
        <v>45378</v>
      </c>
      <c r="E782" s="1" t="n">
        <v>46313</v>
      </c>
      <c r="F782" t="inlineStr">
        <is>
          <t>VÄRMLANDS LÄN</t>
        </is>
      </c>
      <c r="G782" t="inlineStr">
        <is>
          <t>SUNNE</t>
        </is>
      </c>
      <c r="I782" t="n">
        <v>3.3</v>
      </c>
      <c r="J782" t="n">
        <v>0</v>
      </c>
      <c r="K782" t="n">
        <v>0</v>
      </c>
      <c r="L782" t="n">
        <v>0</v>
      </c>
      <c r="M782" t="n">
        <v>0</v>
      </c>
      <c r="N782" t="n">
        <v>0</v>
      </c>
      <c r="O782" t="n">
        <v>0</v>
      </c>
      <c r="P782" t="n">
        <v>0</v>
      </c>
      <c r="Q782" t="n">
        <v>0</v>
      </c>
      <c r="R782" t="n">
        <v>0</v>
      </c>
      <c r="S782" t="n">
        <v>0</v>
      </c>
      <c r="T782" t="n">
        <v>0</v>
      </c>
      <c r="U782" t="n">
        <v>0</v>
      </c>
      <c r="V782" s="2" t="inlineStr"/>
    </row>
    <row r="783" ht="15" customHeight="1">
      <c r="A783" t="inlineStr">
        <is>
          <t>A 15114-2026</t>
        </is>
      </c>
      <c r="B783" t="inlineStr">
        <is>
          <t>avverkningsanmälan</t>
        </is>
      </c>
      <c r="C783" t="inlineStr">
        <is>
          <t>Föryngringsavverkning</t>
        </is>
      </c>
      <c r="D783" s="1" t="n">
        <v>46105</v>
      </c>
      <c r="E783" s="1" t="n">
        <v>46313</v>
      </c>
      <c r="F783" t="inlineStr">
        <is>
          <t>VÄRMLANDS LÄN</t>
        </is>
      </c>
      <c r="G783" t="inlineStr">
        <is>
          <t>SUNNE</t>
        </is>
      </c>
      <c r="I783" t="n">
        <v>0.6</v>
      </c>
      <c r="J783" t="n">
        <v>0</v>
      </c>
      <c r="K783" t="n">
        <v>0</v>
      </c>
      <c r="L783" t="n">
        <v>0</v>
      </c>
      <c r="M783" t="n">
        <v>0</v>
      </c>
      <c r="N783" t="n">
        <v>0</v>
      </c>
      <c r="O783" t="n">
        <v>0</v>
      </c>
      <c r="P783" t="n">
        <v>0</v>
      </c>
      <c r="Q783" t="n">
        <v>0</v>
      </c>
      <c r="R783" t="n">
        <v>0</v>
      </c>
      <c r="S783" t="n">
        <v>0</v>
      </c>
      <c r="T783" t="n">
        <v>0</v>
      </c>
      <c r="U783" t="n">
        <v>0</v>
      </c>
      <c r="V783" s="2" t="inlineStr"/>
    </row>
    <row r="784" ht="15" customHeight="1">
      <c r="A784" t="inlineStr">
        <is>
          <t>A 41967-2023</t>
        </is>
      </c>
      <c r="B784" t="inlineStr">
        <is>
          <t>avverkningsanmälan</t>
        </is>
      </c>
      <c r="C784" t="inlineStr">
        <is>
          <t>Föryngringsavverkning</t>
        </is>
      </c>
      <c r="D784" s="1" t="n">
        <v>45177</v>
      </c>
      <c r="E784" s="1" t="n">
        <v>46313</v>
      </c>
      <c r="F784" t="inlineStr">
        <is>
          <t>VÄRMLANDS LÄN</t>
        </is>
      </c>
      <c r="G784" t="inlineStr">
        <is>
          <t>SUNNE</t>
        </is>
      </c>
      <c r="I784" t="n">
        <v>5.4</v>
      </c>
      <c r="J784" t="n">
        <v>0</v>
      </c>
      <c r="K784" t="n">
        <v>0</v>
      </c>
      <c r="L784" t="n">
        <v>0</v>
      </c>
      <c r="M784" t="n">
        <v>0</v>
      </c>
      <c r="N784" t="n">
        <v>0</v>
      </c>
      <c r="O784" t="n">
        <v>0</v>
      </c>
      <c r="P784" t="n">
        <v>0</v>
      </c>
      <c r="Q784" t="n">
        <v>0</v>
      </c>
      <c r="R784" t="n">
        <v>0</v>
      </c>
      <c r="S784" t="n">
        <v>0</v>
      </c>
      <c r="T784" t="n">
        <v>0</v>
      </c>
      <c r="U784" t="n">
        <v>0</v>
      </c>
      <c r="V784" s="2" t="inlineStr"/>
    </row>
    <row r="785" ht="15" customHeight="1">
      <c r="A785" t="inlineStr">
        <is>
          <t>A 16882-2024</t>
        </is>
      </c>
      <c r="B785" t="inlineStr">
        <is>
          <t>avverkningsanmälan</t>
        </is>
      </c>
      <c r="C785" t="inlineStr">
        <is>
          <t>Föryngringsavverkning</t>
        </is>
      </c>
      <c r="D785" s="1" t="n">
        <v>45411</v>
      </c>
      <c r="E785" s="1" t="n">
        <v>46313</v>
      </c>
      <c r="F785" t="inlineStr">
        <is>
          <t>VÄRMLANDS LÄN</t>
        </is>
      </c>
      <c r="G785" t="inlineStr">
        <is>
          <t>SUNNE</t>
        </is>
      </c>
      <c r="H785" t="inlineStr">
        <is>
          <t>Bergvik skog väst AB</t>
        </is>
      </c>
      <c r="I785" t="n">
        <v>0.5</v>
      </c>
      <c r="J785" t="n">
        <v>0</v>
      </c>
      <c r="K785" t="n">
        <v>0</v>
      </c>
      <c r="L785" t="n">
        <v>0</v>
      </c>
      <c r="M785" t="n">
        <v>0</v>
      </c>
      <c r="N785" t="n">
        <v>0</v>
      </c>
      <c r="O785" t="n">
        <v>0</v>
      </c>
      <c r="P785" t="n">
        <v>0</v>
      </c>
      <c r="Q785" t="n">
        <v>0</v>
      </c>
      <c r="R785" t="n">
        <v>0</v>
      </c>
      <c r="S785" t="n">
        <v>0</v>
      </c>
      <c r="T785" t="n">
        <v>0</v>
      </c>
      <c r="U785" t="n">
        <v>0</v>
      </c>
      <c r="V785" s="2" t="inlineStr"/>
    </row>
    <row r="786" ht="15" customHeight="1">
      <c r="A786" t="inlineStr">
        <is>
          <t>A 55828-2024</t>
        </is>
      </c>
      <c r="B786" t="inlineStr">
        <is>
          <t>avverkningsanmälan</t>
        </is>
      </c>
      <c r="C786" t="inlineStr">
        <is>
          <t>Föryngringsavverkning</t>
        </is>
      </c>
      <c r="D786" s="1" t="n">
        <v>45622</v>
      </c>
      <c r="E786" s="1" t="n">
        <v>46313</v>
      </c>
      <c r="F786" t="inlineStr">
        <is>
          <t>VÄRMLANDS LÄN</t>
        </is>
      </c>
      <c r="G786" t="inlineStr">
        <is>
          <t>SUNNE</t>
        </is>
      </c>
      <c r="I786" t="n">
        <v>1.5</v>
      </c>
      <c r="J786" t="n">
        <v>0</v>
      </c>
      <c r="K786" t="n">
        <v>0</v>
      </c>
      <c r="L786" t="n">
        <v>0</v>
      </c>
      <c r="M786" t="n">
        <v>0</v>
      </c>
      <c r="N786" t="n">
        <v>0</v>
      </c>
      <c r="O786" t="n">
        <v>0</v>
      </c>
      <c r="P786" t="n">
        <v>0</v>
      </c>
      <c r="Q786" t="n">
        <v>0</v>
      </c>
      <c r="R786" t="n">
        <v>0</v>
      </c>
      <c r="S786" t="n">
        <v>0</v>
      </c>
      <c r="T786" t="n">
        <v>0</v>
      </c>
      <c r="U786" t="n">
        <v>0</v>
      </c>
      <c r="V786" s="2" t="inlineStr"/>
    </row>
    <row r="787" ht="15" customHeight="1">
      <c r="A787" t="inlineStr">
        <is>
          <t>A 28694-2026</t>
        </is>
      </c>
      <c r="B787" t="inlineStr">
        <is>
          <t>avverkningsanmälan</t>
        </is>
      </c>
      <c r="C787" t="inlineStr">
        <is>
          <t>Föryngringsavverkning</t>
        </is>
      </c>
      <c r="D787" s="1" t="n">
        <v>46198</v>
      </c>
      <c r="E787" s="1" t="n">
        <v>46313</v>
      </c>
      <c r="F787" t="inlineStr">
        <is>
          <t>VÄRMLANDS LÄN</t>
        </is>
      </c>
      <c r="G787" t="inlineStr">
        <is>
          <t>SUNNE</t>
        </is>
      </c>
      <c r="H787" t="inlineStr">
        <is>
          <t>Bergvik skog väst AB</t>
        </is>
      </c>
      <c r="I787" t="n">
        <v>9.6</v>
      </c>
      <c r="J787" t="n">
        <v>0</v>
      </c>
      <c r="K787" t="n">
        <v>0</v>
      </c>
      <c r="L787" t="n">
        <v>0</v>
      </c>
      <c r="M787" t="n">
        <v>0</v>
      </c>
      <c r="N787" t="n">
        <v>0</v>
      </c>
      <c r="O787" t="n">
        <v>0</v>
      </c>
      <c r="P787" t="n">
        <v>0</v>
      </c>
      <c r="Q787" t="n">
        <v>0</v>
      </c>
      <c r="R787" t="n">
        <v>0</v>
      </c>
      <c r="S787" t="n">
        <v>0</v>
      </c>
      <c r="T787" t="n">
        <v>0</v>
      </c>
      <c r="U787" t="n">
        <v>0</v>
      </c>
      <c r="V787" s="2" t="inlineStr"/>
    </row>
    <row r="788" ht="15" customHeight="1">
      <c r="A788" t="inlineStr">
        <is>
          <t>A 4785-2022</t>
        </is>
      </c>
      <c r="B788" t="inlineStr">
        <is>
          <t>avverkningsanmälan</t>
        </is>
      </c>
      <c r="C788" t="inlineStr">
        <is>
          <t>Föryngringsavverkning</t>
        </is>
      </c>
      <c r="D788" s="1" t="n">
        <v>44592</v>
      </c>
      <c r="E788" s="1" t="n">
        <v>46313</v>
      </c>
      <c r="F788" t="inlineStr">
        <is>
          <t>VÄRMLANDS LÄN</t>
        </is>
      </c>
      <c r="G788" t="inlineStr">
        <is>
          <t>SUNNE</t>
        </is>
      </c>
      <c r="I788" t="n">
        <v>1.9</v>
      </c>
      <c r="J788" t="n">
        <v>0</v>
      </c>
      <c r="K788" t="n">
        <v>0</v>
      </c>
      <c r="L788" t="n">
        <v>0</v>
      </c>
      <c r="M788" t="n">
        <v>0</v>
      </c>
      <c r="N788" t="n">
        <v>0</v>
      </c>
      <c r="O788" t="n">
        <v>0</v>
      </c>
      <c r="P788" t="n">
        <v>0</v>
      </c>
      <c r="Q788" t="n">
        <v>0</v>
      </c>
      <c r="R788" t="n">
        <v>0</v>
      </c>
      <c r="S788" t="n">
        <v>0</v>
      </c>
      <c r="T788" t="n">
        <v>0</v>
      </c>
      <c r="U788" t="n">
        <v>0</v>
      </c>
      <c r="V788" s="2" t="inlineStr"/>
    </row>
    <row r="789" ht="15" customHeight="1">
      <c r="A789" t="inlineStr">
        <is>
          <t>A 16147-2026</t>
        </is>
      </c>
      <c r="B789" t="inlineStr">
        <is>
          <t>avverkningsanmälan</t>
        </is>
      </c>
      <c r="C789" t="inlineStr">
        <is>
          <t>Föryngringsavverkning</t>
        </is>
      </c>
      <c r="D789" s="1" t="n">
        <v>46108</v>
      </c>
      <c r="E789" s="1" t="n">
        <v>46313</v>
      </c>
      <c r="F789" t="inlineStr">
        <is>
          <t>VÄRMLANDS LÄN</t>
        </is>
      </c>
      <c r="G789" t="inlineStr">
        <is>
          <t>SUNNE</t>
        </is>
      </c>
      <c r="I789" t="n">
        <v>1.3</v>
      </c>
      <c r="J789" t="n">
        <v>0</v>
      </c>
      <c r="K789" t="n">
        <v>0</v>
      </c>
      <c r="L789" t="n">
        <v>0</v>
      </c>
      <c r="M789" t="n">
        <v>0</v>
      </c>
      <c r="N789" t="n">
        <v>0</v>
      </c>
      <c r="O789" t="n">
        <v>0</v>
      </c>
      <c r="P789" t="n">
        <v>0</v>
      </c>
      <c r="Q789" t="n">
        <v>0</v>
      </c>
      <c r="R789" t="n">
        <v>0</v>
      </c>
      <c r="S789" t="n">
        <v>0</v>
      </c>
      <c r="T789" t="n">
        <v>0</v>
      </c>
      <c r="U789" t="n">
        <v>0</v>
      </c>
      <c r="V789" s="2" t="inlineStr"/>
    </row>
    <row r="790" ht="15" customHeight="1">
      <c r="A790" t="inlineStr">
        <is>
          <t>A 28461-2026</t>
        </is>
      </c>
      <c r="B790" t="inlineStr">
        <is>
          <t>avverkningsanmälan</t>
        </is>
      </c>
      <c r="C790" t="inlineStr">
        <is>
          <t>Föryngringsavverkning</t>
        </is>
      </c>
      <c r="D790" s="1" t="n">
        <v>46197</v>
      </c>
      <c r="E790" s="1" t="n">
        <v>46313</v>
      </c>
      <c r="F790" t="inlineStr">
        <is>
          <t>VÄRMLANDS LÄN</t>
        </is>
      </c>
      <c r="G790" t="inlineStr">
        <is>
          <t>SUNNE</t>
        </is>
      </c>
      <c r="I790" t="n">
        <v>1.8</v>
      </c>
      <c r="J790" t="n">
        <v>0</v>
      </c>
      <c r="K790" t="n">
        <v>0</v>
      </c>
      <c r="L790" t="n">
        <v>0</v>
      </c>
      <c r="M790" t="n">
        <v>0</v>
      </c>
      <c r="N790" t="n">
        <v>0</v>
      </c>
      <c r="O790" t="n">
        <v>0</v>
      </c>
      <c r="P790" t="n">
        <v>0</v>
      </c>
      <c r="Q790" t="n">
        <v>0</v>
      </c>
      <c r="R790" t="n">
        <v>0</v>
      </c>
      <c r="S790" t="n">
        <v>0</v>
      </c>
      <c r="T790" t="n">
        <v>0</v>
      </c>
      <c r="U790" t="n">
        <v>0</v>
      </c>
      <c r="V790" s="2" t="inlineStr"/>
    </row>
    <row r="791" ht="15" customHeight="1">
      <c r="A791" t="inlineStr">
        <is>
          <t>A 17448-2026</t>
        </is>
      </c>
      <c r="B791" t="inlineStr">
        <is>
          <t>avverkningsanmälan</t>
        </is>
      </c>
      <c r="C791" t="inlineStr">
        <is>
          <t>Föryngringsavverkning</t>
        </is>
      </c>
      <c r="D791" s="1" t="n">
        <v>46114</v>
      </c>
      <c r="E791" s="1" t="n">
        <v>46313</v>
      </c>
      <c r="F791" t="inlineStr">
        <is>
          <t>VÄRMLANDS LÄN</t>
        </is>
      </c>
      <c r="G791" t="inlineStr">
        <is>
          <t>SUNNE</t>
        </is>
      </c>
      <c r="I791" t="n">
        <v>1.1</v>
      </c>
      <c r="J791" t="n">
        <v>0</v>
      </c>
      <c r="K791" t="n">
        <v>0</v>
      </c>
      <c r="L791" t="n">
        <v>0</v>
      </c>
      <c r="M791" t="n">
        <v>0</v>
      </c>
      <c r="N791" t="n">
        <v>0</v>
      </c>
      <c r="O791" t="n">
        <v>0</v>
      </c>
      <c r="P791" t="n">
        <v>0</v>
      </c>
      <c r="Q791" t="n">
        <v>0</v>
      </c>
      <c r="R791" t="n">
        <v>0</v>
      </c>
      <c r="S791" t="n">
        <v>0</v>
      </c>
      <c r="T791" t="n">
        <v>0</v>
      </c>
      <c r="U791" t="n">
        <v>0</v>
      </c>
      <c r="V791" s="2" t="inlineStr"/>
    </row>
    <row r="792" ht="15" customHeight="1">
      <c r="A792" t="inlineStr">
        <is>
          <t>A 17065-2026</t>
        </is>
      </c>
      <c r="B792" t="inlineStr">
        <is>
          <t>avverkningsanmälan</t>
        </is>
      </c>
      <c r="C792" t="inlineStr">
        <is>
          <t>Föryngringsavverkning</t>
        </is>
      </c>
      <c r="D792" s="1" t="n">
        <v>46114</v>
      </c>
      <c r="E792" s="1" t="n">
        <v>46313</v>
      </c>
      <c r="F792" t="inlineStr">
        <is>
          <t>VÄRMLANDS LÄN</t>
        </is>
      </c>
      <c r="G792" t="inlineStr">
        <is>
          <t>SUNNE</t>
        </is>
      </c>
      <c r="I792" t="n">
        <v>1.6</v>
      </c>
      <c r="J792" t="n">
        <v>0</v>
      </c>
      <c r="K792" t="n">
        <v>0</v>
      </c>
      <c r="L792" t="n">
        <v>0</v>
      </c>
      <c r="M792" t="n">
        <v>0</v>
      </c>
      <c r="N792" t="n">
        <v>0</v>
      </c>
      <c r="O792" t="n">
        <v>0</v>
      </c>
      <c r="P792" t="n">
        <v>0</v>
      </c>
      <c r="Q792" t="n">
        <v>0</v>
      </c>
      <c r="R792" t="n">
        <v>0</v>
      </c>
      <c r="S792" t="n">
        <v>0</v>
      </c>
      <c r="T792" t="n">
        <v>0</v>
      </c>
      <c r="U792" t="n">
        <v>0</v>
      </c>
      <c r="V792" s="2" t="inlineStr"/>
    </row>
    <row r="793" ht="15" customHeight="1">
      <c r="A793" t="inlineStr">
        <is>
          <t>A 17196-2026</t>
        </is>
      </c>
      <c r="B793" t="inlineStr">
        <is>
          <t>avverkningsanmälan</t>
        </is>
      </c>
      <c r="C793" t="inlineStr">
        <is>
          <t>Föryngringsavverkning</t>
        </is>
      </c>
      <c r="D793" s="1" t="n">
        <v>46118</v>
      </c>
      <c r="E793" s="1" t="n">
        <v>46313</v>
      </c>
      <c r="F793" t="inlineStr">
        <is>
          <t>VÄRMLANDS LÄN</t>
        </is>
      </c>
      <c r="G793" t="inlineStr">
        <is>
          <t>SUNNE</t>
        </is>
      </c>
      <c r="I793" t="n">
        <v>1.2</v>
      </c>
      <c r="J793" t="n">
        <v>0</v>
      </c>
      <c r="K793" t="n">
        <v>0</v>
      </c>
      <c r="L793" t="n">
        <v>0</v>
      </c>
      <c r="M793" t="n">
        <v>0</v>
      </c>
      <c r="N793" t="n">
        <v>0</v>
      </c>
      <c r="O793" t="n">
        <v>0</v>
      </c>
      <c r="P793" t="n">
        <v>0</v>
      </c>
      <c r="Q793" t="n">
        <v>0</v>
      </c>
      <c r="R793" t="n">
        <v>0</v>
      </c>
      <c r="S793" t="n">
        <v>0</v>
      </c>
      <c r="T793" t="n">
        <v>0</v>
      </c>
      <c r="U793" t="n">
        <v>0</v>
      </c>
      <c r="V793" s="2" t="inlineStr"/>
    </row>
    <row r="794" ht="15" customHeight="1">
      <c r="A794" t="inlineStr">
        <is>
          <t>A 28675-2026</t>
        </is>
      </c>
      <c r="B794" t="inlineStr">
        <is>
          <t>avverkningsanmälan</t>
        </is>
      </c>
      <c r="C794" t="inlineStr">
        <is>
          <t>Föryngringsavverkning</t>
        </is>
      </c>
      <c r="D794" s="1" t="n">
        <v>46198</v>
      </c>
      <c r="E794" s="1" t="n">
        <v>46313</v>
      </c>
      <c r="F794" t="inlineStr">
        <is>
          <t>VÄRMLANDS LÄN</t>
        </is>
      </c>
      <c r="G794" t="inlineStr">
        <is>
          <t>SUNNE</t>
        </is>
      </c>
      <c r="I794" t="n">
        <v>1.8</v>
      </c>
      <c r="J794" t="n">
        <v>0</v>
      </c>
      <c r="K794" t="n">
        <v>0</v>
      </c>
      <c r="L794" t="n">
        <v>0</v>
      </c>
      <c r="M794" t="n">
        <v>0</v>
      </c>
      <c r="N794" t="n">
        <v>0</v>
      </c>
      <c r="O794" t="n">
        <v>0</v>
      </c>
      <c r="P794" t="n">
        <v>0</v>
      </c>
      <c r="Q794" t="n">
        <v>0</v>
      </c>
      <c r="R794" t="n">
        <v>0</v>
      </c>
      <c r="S794" t="n">
        <v>0</v>
      </c>
      <c r="T794" t="n">
        <v>0</v>
      </c>
      <c r="U794" t="n">
        <v>0</v>
      </c>
      <c r="V794" s="2" t="inlineStr"/>
    </row>
    <row r="795" ht="15" customHeight="1">
      <c r="A795" t="inlineStr">
        <is>
          <t>A 17322-2026</t>
        </is>
      </c>
      <c r="B795" t="inlineStr">
        <is>
          <t>avverkningsanmälan</t>
        </is>
      </c>
      <c r="C795" t="inlineStr">
        <is>
          <t>Föryngringsavverkning</t>
        </is>
      </c>
      <c r="D795" s="1" t="n">
        <v>46119</v>
      </c>
      <c r="E795" s="1" t="n">
        <v>46313</v>
      </c>
      <c r="F795" t="inlineStr">
        <is>
          <t>VÄRMLANDS LÄN</t>
        </is>
      </c>
      <c r="G795" t="inlineStr">
        <is>
          <t>SUNNE</t>
        </is>
      </c>
      <c r="I795" t="n">
        <v>3.8</v>
      </c>
      <c r="J795" t="n">
        <v>0</v>
      </c>
      <c r="K795" t="n">
        <v>0</v>
      </c>
      <c r="L795" t="n">
        <v>0</v>
      </c>
      <c r="M795" t="n">
        <v>0</v>
      </c>
      <c r="N795" t="n">
        <v>0</v>
      </c>
      <c r="O795" t="n">
        <v>0</v>
      </c>
      <c r="P795" t="n">
        <v>0</v>
      </c>
      <c r="Q795" t="n">
        <v>0</v>
      </c>
      <c r="R795" t="n">
        <v>0</v>
      </c>
      <c r="S795" t="n">
        <v>0</v>
      </c>
      <c r="T795" t="n">
        <v>0</v>
      </c>
      <c r="U795" t="n">
        <v>0</v>
      </c>
      <c r="V795" s="2" t="inlineStr"/>
    </row>
    <row r="796" ht="15" customHeight="1">
      <c r="A796" t="inlineStr">
        <is>
          <t>A 17653-2026</t>
        </is>
      </c>
      <c r="B796" t="inlineStr">
        <is>
          <t>avverkningsanmälan</t>
        </is>
      </c>
      <c r="C796" t="inlineStr">
        <is>
          <t>Föryngringsavverkning</t>
        </is>
      </c>
      <c r="D796" s="1" t="n">
        <v>46121</v>
      </c>
      <c r="E796" s="1" t="n">
        <v>46313</v>
      </c>
      <c r="F796" t="inlineStr">
        <is>
          <t>VÄRMLANDS LÄN</t>
        </is>
      </c>
      <c r="G796" t="inlineStr">
        <is>
          <t>SUNNE</t>
        </is>
      </c>
      <c r="I796" t="n">
        <v>2.6</v>
      </c>
      <c r="J796" t="n">
        <v>0</v>
      </c>
      <c r="K796" t="n">
        <v>0</v>
      </c>
      <c r="L796" t="n">
        <v>0</v>
      </c>
      <c r="M796" t="n">
        <v>0</v>
      </c>
      <c r="N796" t="n">
        <v>0</v>
      </c>
      <c r="O796" t="n">
        <v>0</v>
      </c>
      <c r="P796" t="n">
        <v>0</v>
      </c>
      <c r="Q796" t="n">
        <v>0</v>
      </c>
      <c r="R796" t="n">
        <v>0</v>
      </c>
      <c r="S796" t="n">
        <v>0</v>
      </c>
      <c r="T796" t="n">
        <v>0</v>
      </c>
      <c r="U796" t="n">
        <v>0</v>
      </c>
      <c r="V796" s="2" t="inlineStr"/>
    </row>
    <row r="797" ht="15" customHeight="1">
      <c r="A797" t="inlineStr">
        <is>
          <t>A 29173-2023</t>
        </is>
      </c>
      <c r="B797" t="inlineStr">
        <is>
          <t>avverkningsanmälan</t>
        </is>
      </c>
      <c r="C797" t="inlineStr">
        <is>
          <t>Föryngringsavverkning</t>
        </is>
      </c>
      <c r="D797" s="1" t="n">
        <v>45105</v>
      </c>
      <c r="E797" s="1" t="n">
        <v>46313</v>
      </c>
      <c r="F797" t="inlineStr">
        <is>
          <t>VÄRMLANDS LÄN</t>
        </is>
      </c>
      <c r="G797" t="inlineStr">
        <is>
          <t>SUNNE</t>
        </is>
      </c>
      <c r="I797" t="n">
        <v>1.6</v>
      </c>
      <c r="J797" t="n">
        <v>0</v>
      </c>
      <c r="K797" t="n">
        <v>0</v>
      </c>
      <c r="L797" t="n">
        <v>0</v>
      </c>
      <c r="M797" t="n">
        <v>0</v>
      </c>
      <c r="N797" t="n">
        <v>0</v>
      </c>
      <c r="O797" t="n">
        <v>0</v>
      </c>
      <c r="P797" t="n">
        <v>0</v>
      </c>
      <c r="Q797" t="n">
        <v>0</v>
      </c>
      <c r="R797" t="n">
        <v>0</v>
      </c>
      <c r="S797" t="n">
        <v>0</v>
      </c>
      <c r="T797" t="n">
        <v>0</v>
      </c>
      <c r="U797" t="n">
        <v>0</v>
      </c>
      <c r="V797" s="2" t="inlineStr"/>
    </row>
    <row r="798" ht="15" customHeight="1">
      <c r="A798" t="inlineStr">
        <is>
          <t>A 17649-2026</t>
        </is>
      </c>
      <c r="B798" t="inlineStr">
        <is>
          <t>avverkningsanmälan</t>
        </is>
      </c>
      <c r="C798" t="inlineStr">
        <is>
          <t>Föryngringsavverkning</t>
        </is>
      </c>
      <c r="D798" s="1" t="n">
        <v>46121</v>
      </c>
      <c r="E798" s="1" t="n">
        <v>46313</v>
      </c>
      <c r="F798" t="inlineStr">
        <is>
          <t>VÄRMLANDS LÄN</t>
        </is>
      </c>
      <c r="G798" t="inlineStr">
        <is>
          <t>SUNNE</t>
        </is>
      </c>
      <c r="I798" t="n">
        <v>0.8</v>
      </c>
      <c r="J798" t="n">
        <v>0</v>
      </c>
      <c r="K798" t="n">
        <v>0</v>
      </c>
      <c r="L798" t="n">
        <v>0</v>
      </c>
      <c r="M798" t="n">
        <v>0</v>
      </c>
      <c r="N798" t="n">
        <v>0</v>
      </c>
      <c r="O798" t="n">
        <v>0</v>
      </c>
      <c r="P798" t="n">
        <v>0</v>
      </c>
      <c r="Q798" t="n">
        <v>0</v>
      </c>
      <c r="R798" t="n">
        <v>0</v>
      </c>
      <c r="S798" t="n">
        <v>0</v>
      </c>
      <c r="T798" t="n">
        <v>0</v>
      </c>
      <c r="U798" t="n">
        <v>0</v>
      </c>
      <c r="V798" s="2" t="inlineStr"/>
    </row>
    <row r="799" ht="15" customHeight="1">
      <c r="A799" t="inlineStr">
        <is>
          <t>A 28948-2026</t>
        </is>
      </c>
      <c r="B799" t="inlineStr">
        <is>
          <t>avverkningsanmälan</t>
        </is>
      </c>
      <c r="C799" t="inlineStr">
        <is>
          <t>Föryngringsavverkning</t>
        </is>
      </c>
      <c r="D799" s="1" t="n">
        <v>46199</v>
      </c>
      <c r="E799" s="1" t="n">
        <v>46313</v>
      </c>
      <c r="F799" t="inlineStr">
        <is>
          <t>VÄRMLANDS LÄN</t>
        </is>
      </c>
      <c r="G799" t="inlineStr">
        <is>
          <t>SUNNE</t>
        </is>
      </c>
      <c r="H799" t="inlineStr">
        <is>
          <t>Bergvik skog väst AB</t>
        </is>
      </c>
      <c r="I799" t="n">
        <v>2.3</v>
      </c>
      <c r="J799" t="n">
        <v>0</v>
      </c>
      <c r="K799" t="n">
        <v>0</v>
      </c>
      <c r="L799" t="n">
        <v>0</v>
      </c>
      <c r="M799" t="n">
        <v>0</v>
      </c>
      <c r="N799" t="n">
        <v>0</v>
      </c>
      <c r="O799" t="n">
        <v>0</v>
      </c>
      <c r="P799" t="n">
        <v>0</v>
      </c>
      <c r="Q799" t="n">
        <v>0</v>
      </c>
      <c r="R799" t="n">
        <v>0</v>
      </c>
      <c r="S799" t="n">
        <v>0</v>
      </c>
      <c r="T799" t="n">
        <v>0</v>
      </c>
      <c r="U799" t="n">
        <v>0</v>
      </c>
      <c r="V799" s="2" t="inlineStr"/>
    </row>
    <row r="800" ht="15" customHeight="1">
      <c r="A800" t="inlineStr">
        <is>
          <t>A 29077-2026</t>
        </is>
      </c>
      <c r="B800" t="inlineStr">
        <is>
          <t>avverkningsanmälan</t>
        </is>
      </c>
      <c r="C800" t="inlineStr">
        <is>
          <t>Föryngringsavverkning</t>
        </is>
      </c>
      <c r="D800" s="1" t="n">
        <v>46199</v>
      </c>
      <c r="E800" s="1" t="n">
        <v>46313</v>
      </c>
      <c r="F800" t="inlineStr">
        <is>
          <t>VÄRMLANDS LÄN</t>
        </is>
      </c>
      <c r="G800" t="inlineStr">
        <is>
          <t>SUNNE</t>
        </is>
      </c>
      <c r="I800" t="n">
        <v>12.3</v>
      </c>
      <c r="J800" t="n">
        <v>0</v>
      </c>
      <c r="K800" t="n">
        <v>0</v>
      </c>
      <c r="L800" t="n">
        <v>0</v>
      </c>
      <c r="M800" t="n">
        <v>0</v>
      </c>
      <c r="N800" t="n">
        <v>0</v>
      </c>
      <c r="O800" t="n">
        <v>0</v>
      </c>
      <c r="P800" t="n">
        <v>0</v>
      </c>
      <c r="Q800" t="n">
        <v>0</v>
      </c>
      <c r="R800" t="n">
        <v>0</v>
      </c>
      <c r="S800" t="n">
        <v>0</v>
      </c>
      <c r="T800" t="n">
        <v>0</v>
      </c>
      <c r="U800" t="n">
        <v>0</v>
      </c>
      <c r="V800" s="2" t="inlineStr"/>
    </row>
    <row r="801" ht="15" customHeight="1">
      <c r="A801" t="inlineStr">
        <is>
          <t>A 18072-2026</t>
        </is>
      </c>
      <c r="B801" t="inlineStr">
        <is>
          <t>avverkningsanmälan</t>
        </is>
      </c>
      <c r="C801" t="inlineStr">
        <is>
          <t>Föryngringsavverkning</t>
        </is>
      </c>
      <c r="D801" s="1" t="n">
        <v>46125</v>
      </c>
      <c r="E801" s="1" t="n">
        <v>46313</v>
      </c>
      <c r="F801" t="inlineStr">
        <is>
          <t>VÄRMLANDS LÄN</t>
        </is>
      </c>
      <c r="G801" t="inlineStr">
        <is>
          <t>SUNNE</t>
        </is>
      </c>
      <c r="H801" t="inlineStr">
        <is>
          <t>Bergvik skog väst AB</t>
        </is>
      </c>
      <c r="I801" t="n">
        <v>6.7</v>
      </c>
      <c r="J801" t="n">
        <v>0</v>
      </c>
      <c r="K801" t="n">
        <v>0</v>
      </c>
      <c r="L801" t="n">
        <v>0</v>
      </c>
      <c r="M801" t="n">
        <v>0</v>
      </c>
      <c r="N801" t="n">
        <v>0</v>
      </c>
      <c r="O801" t="n">
        <v>0</v>
      </c>
      <c r="P801" t="n">
        <v>0</v>
      </c>
      <c r="Q801" t="n">
        <v>0</v>
      </c>
      <c r="R801" t="n">
        <v>0</v>
      </c>
      <c r="S801" t="n">
        <v>0</v>
      </c>
      <c r="T801" t="n">
        <v>0</v>
      </c>
      <c r="U801" t="n">
        <v>0</v>
      </c>
      <c r="V801" s="2" t="inlineStr"/>
    </row>
    <row r="802" ht="15" customHeight="1">
      <c r="A802" t="inlineStr">
        <is>
          <t>A 18128-2026</t>
        </is>
      </c>
      <c r="B802" t="inlineStr">
        <is>
          <t>avverkningsanmälan</t>
        </is>
      </c>
      <c r="C802" t="inlineStr">
        <is>
          <t>Föryngringsavverkning</t>
        </is>
      </c>
      <c r="D802" s="1" t="n">
        <v>46125</v>
      </c>
      <c r="E802" s="1" t="n">
        <v>46313</v>
      </c>
      <c r="F802" t="inlineStr">
        <is>
          <t>VÄRMLANDS LÄN</t>
        </is>
      </c>
      <c r="G802" t="inlineStr">
        <is>
          <t>SUNNE</t>
        </is>
      </c>
      <c r="I802" t="n">
        <v>0.6</v>
      </c>
      <c r="J802" t="n">
        <v>0</v>
      </c>
      <c r="K802" t="n">
        <v>0</v>
      </c>
      <c r="L802" t="n">
        <v>0</v>
      </c>
      <c r="M802" t="n">
        <v>0</v>
      </c>
      <c r="N802" t="n">
        <v>0</v>
      </c>
      <c r="O802" t="n">
        <v>0</v>
      </c>
      <c r="P802" t="n">
        <v>0</v>
      </c>
      <c r="Q802" t="n">
        <v>0</v>
      </c>
      <c r="R802" t="n">
        <v>0</v>
      </c>
      <c r="S802" t="n">
        <v>0</v>
      </c>
      <c r="T802" t="n">
        <v>0</v>
      </c>
      <c r="U802" t="n">
        <v>0</v>
      </c>
      <c r="V802" s="2" t="inlineStr"/>
    </row>
    <row r="803" ht="15" customHeight="1">
      <c r="A803" t="inlineStr">
        <is>
          <t>A 18099-2026</t>
        </is>
      </c>
      <c r="B803" t="inlineStr">
        <is>
          <t>avverkningsanmälan</t>
        </is>
      </c>
      <c r="C803" t="inlineStr">
        <is>
          <t>Föryngringsavverkning</t>
        </is>
      </c>
      <c r="D803" s="1" t="n">
        <v>46125</v>
      </c>
      <c r="E803" s="1" t="n">
        <v>46313</v>
      </c>
      <c r="F803" t="inlineStr">
        <is>
          <t>VÄRMLANDS LÄN</t>
        </is>
      </c>
      <c r="G803" t="inlineStr">
        <is>
          <t>SUNNE</t>
        </is>
      </c>
      <c r="H803" t="inlineStr">
        <is>
          <t>Bergvik skog väst AB</t>
        </is>
      </c>
      <c r="I803" t="n">
        <v>1.1</v>
      </c>
      <c r="J803" t="n">
        <v>0</v>
      </c>
      <c r="K803" t="n">
        <v>0</v>
      </c>
      <c r="L803" t="n">
        <v>0</v>
      </c>
      <c r="M803" t="n">
        <v>0</v>
      </c>
      <c r="N803" t="n">
        <v>0</v>
      </c>
      <c r="O803" t="n">
        <v>0</v>
      </c>
      <c r="P803" t="n">
        <v>0</v>
      </c>
      <c r="Q803" t="n">
        <v>0</v>
      </c>
      <c r="R803" t="n">
        <v>0</v>
      </c>
      <c r="S803" t="n">
        <v>0</v>
      </c>
      <c r="T803" t="n">
        <v>0</v>
      </c>
      <c r="U803" t="n">
        <v>0</v>
      </c>
      <c r="V803" s="2" t="inlineStr"/>
    </row>
    <row r="804" ht="15" customHeight="1">
      <c r="A804" t="inlineStr">
        <is>
          <t>A 25005-2023</t>
        </is>
      </c>
      <c r="B804" t="inlineStr">
        <is>
          <t>avverkningsanmälan</t>
        </is>
      </c>
      <c r="C804" t="inlineStr">
        <is>
          <t>Föryngringsavverkning</t>
        </is>
      </c>
      <c r="D804" s="1" t="n">
        <v>45085</v>
      </c>
      <c r="E804" s="1" t="n">
        <v>46313</v>
      </c>
      <c r="F804" t="inlineStr">
        <is>
          <t>VÄRMLANDS LÄN</t>
        </is>
      </c>
      <c r="G804" t="inlineStr">
        <is>
          <t>SUNNE</t>
        </is>
      </c>
      <c r="I804" t="n">
        <v>3.2</v>
      </c>
      <c r="J804" t="n">
        <v>0</v>
      </c>
      <c r="K804" t="n">
        <v>0</v>
      </c>
      <c r="L804" t="n">
        <v>0</v>
      </c>
      <c r="M804" t="n">
        <v>0</v>
      </c>
      <c r="N804" t="n">
        <v>0</v>
      </c>
      <c r="O804" t="n">
        <v>0</v>
      </c>
      <c r="P804" t="n">
        <v>0</v>
      </c>
      <c r="Q804" t="n">
        <v>0</v>
      </c>
      <c r="R804" t="n">
        <v>0</v>
      </c>
      <c r="S804" t="n">
        <v>0</v>
      </c>
      <c r="T804" t="n">
        <v>0</v>
      </c>
      <c r="U804" t="n">
        <v>0</v>
      </c>
      <c r="V804" s="2" t="inlineStr"/>
    </row>
    <row r="805" ht="15" customHeight="1">
      <c r="A805" t="inlineStr">
        <is>
          <t>A 7230-2022</t>
        </is>
      </c>
      <c r="B805" t="inlineStr">
        <is>
          <t>avverkningsanmälan</t>
        </is>
      </c>
      <c r="C805" t="inlineStr">
        <is>
          <t>Föryngringsavverkning</t>
        </is>
      </c>
      <c r="D805" s="1" t="n">
        <v>44606</v>
      </c>
      <c r="E805" s="1" t="n">
        <v>46313</v>
      </c>
      <c r="F805" t="inlineStr">
        <is>
          <t>VÄRMLANDS LÄN</t>
        </is>
      </c>
      <c r="G805" t="inlineStr">
        <is>
          <t>SUNNE</t>
        </is>
      </c>
      <c r="I805" t="n">
        <v>0.5</v>
      </c>
      <c r="J805" t="n">
        <v>0</v>
      </c>
      <c r="K805" t="n">
        <v>0</v>
      </c>
      <c r="L805" t="n">
        <v>0</v>
      </c>
      <c r="M805" t="n">
        <v>0</v>
      </c>
      <c r="N805" t="n">
        <v>0</v>
      </c>
      <c r="O805" t="n">
        <v>0</v>
      </c>
      <c r="P805" t="n">
        <v>0</v>
      </c>
      <c r="Q805" t="n">
        <v>0</v>
      </c>
      <c r="R805" t="n">
        <v>0</v>
      </c>
      <c r="S805" t="n">
        <v>0</v>
      </c>
      <c r="T805" t="n">
        <v>0</v>
      </c>
      <c r="U805" t="n">
        <v>0</v>
      </c>
      <c r="V805" s="2" t="inlineStr"/>
    </row>
    <row r="806" ht="15" customHeight="1">
      <c r="A806" t="inlineStr">
        <is>
          <t>A 54535-2023</t>
        </is>
      </c>
      <c r="B806" t="inlineStr">
        <is>
          <t>avverkningsanmälan</t>
        </is>
      </c>
      <c r="C806" t="inlineStr">
        <is>
          <t>Föryngringsavverkning</t>
        </is>
      </c>
      <c r="D806" s="1" t="n">
        <v>45226</v>
      </c>
      <c r="E806" s="1" t="n">
        <v>46313</v>
      </c>
      <c r="F806" t="inlineStr">
        <is>
          <t>VÄRMLANDS LÄN</t>
        </is>
      </c>
      <c r="G806" t="inlineStr">
        <is>
          <t>SUNNE</t>
        </is>
      </c>
      <c r="I806" t="n">
        <v>3.5</v>
      </c>
      <c r="J806" t="n">
        <v>0</v>
      </c>
      <c r="K806" t="n">
        <v>0</v>
      </c>
      <c r="L806" t="n">
        <v>0</v>
      </c>
      <c r="M806" t="n">
        <v>0</v>
      </c>
      <c r="N806" t="n">
        <v>0</v>
      </c>
      <c r="O806" t="n">
        <v>0</v>
      </c>
      <c r="P806" t="n">
        <v>0</v>
      </c>
      <c r="Q806" t="n">
        <v>0</v>
      </c>
      <c r="R806" t="n">
        <v>0</v>
      </c>
      <c r="S806" t="n">
        <v>0</v>
      </c>
      <c r="T806" t="n">
        <v>0</v>
      </c>
      <c r="U806" t="n">
        <v>0</v>
      </c>
      <c r="V806" s="2" t="inlineStr"/>
    </row>
    <row r="807" ht="15" customHeight="1">
      <c r="A807" t="inlineStr">
        <is>
          <t>A 58812-2022</t>
        </is>
      </c>
      <c r="B807" t="inlineStr">
        <is>
          <t>avverkningsanmälan</t>
        </is>
      </c>
      <c r="C807" t="inlineStr">
        <is>
          <t>Föryngringsavverkning</t>
        </is>
      </c>
      <c r="D807" s="1" t="n">
        <v>44903</v>
      </c>
      <c r="E807" s="1" t="n">
        <v>46313</v>
      </c>
      <c r="F807" t="inlineStr">
        <is>
          <t>VÄRMLANDS LÄN</t>
        </is>
      </c>
      <c r="G807" t="inlineStr">
        <is>
          <t>SUNNE</t>
        </is>
      </c>
      <c r="I807" t="n">
        <v>2</v>
      </c>
      <c r="J807" t="n">
        <v>0</v>
      </c>
      <c r="K807" t="n">
        <v>0</v>
      </c>
      <c r="L807" t="n">
        <v>0</v>
      </c>
      <c r="M807" t="n">
        <v>0</v>
      </c>
      <c r="N807" t="n">
        <v>0</v>
      </c>
      <c r="O807" t="n">
        <v>0</v>
      </c>
      <c r="P807" t="n">
        <v>0</v>
      </c>
      <c r="Q807" t="n">
        <v>0</v>
      </c>
      <c r="R807" t="n">
        <v>0</v>
      </c>
      <c r="S807" t="n">
        <v>0</v>
      </c>
      <c r="T807" t="n">
        <v>0</v>
      </c>
      <c r="U807" t="n">
        <v>0</v>
      </c>
      <c r="V807" s="2" t="inlineStr"/>
    </row>
    <row r="808" ht="15" customHeight="1">
      <c r="A808" t="inlineStr">
        <is>
          <t>A 18886-2026</t>
        </is>
      </c>
      <c r="B808" t="inlineStr">
        <is>
          <t>avverkningsanmälan</t>
        </is>
      </c>
      <c r="C808" t="inlineStr">
        <is>
          <t>Föryngringsavverkning</t>
        </is>
      </c>
      <c r="D808" s="1" t="n">
        <v>46129</v>
      </c>
      <c r="E808" s="1" t="n">
        <v>46313</v>
      </c>
      <c r="F808" t="inlineStr">
        <is>
          <t>VÄRMLANDS LÄN</t>
        </is>
      </c>
      <c r="G808" t="inlineStr">
        <is>
          <t>SUNNE</t>
        </is>
      </c>
      <c r="I808" t="n">
        <v>2.1</v>
      </c>
      <c r="J808" t="n">
        <v>0</v>
      </c>
      <c r="K808" t="n">
        <v>0</v>
      </c>
      <c r="L808" t="n">
        <v>0</v>
      </c>
      <c r="M808" t="n">
        <v>0</v>
      </c>
      <c r="N808" t="n">
        <v>0</v>
      </c>
      <c r="O808" t="n">
        <v>0</v>
      </c>
      <c r="P808" t="n">
        <v>0</v>
      </c>
      <c r="Q808" t="n">
        <v>0</v>
      </c>
      <c r="R808" t="n">
        <v>0</v>
      </c>
      <c r="S808" t="n">
        <v>0</v>
      </c>
      <c r="T808" t="n">
        <v>0</v>
      </c>
      <c r="U808" t="n">
        <v>0</v>
      </c>
      <c r="V808" s="2" t="inlineStr"/>
    </row>
    <row r="809" ht="15" customHeight="1">
      <c r="A809" t="inlineStr">
        <is>
          <t>A 19438-2026</t>
        </is>
      </c>
      <c r="B809" t="inlineStr">
        <is>
          <t>avverkningsanmälan</t>
        </is>
      </c>
      <c r="C809" t="inlineStr">
        <is>
          <t>Föryngringsavverkning</t>
        </is>
      </c>
      <c r="D809" s="1" t="n">
        <v>46129</v>
      </c>
      <c r="E809" s="1" t="n">
        <v>46313</v>
      </c>
      <c r="F809" t="inlineStr">
        <is>
          <t>VÄRMLANDS LÄN</t>
        </is>
      </c>
      <c r="G809" t="inlineStr">
        <is>
          <t>SUNNE</t>
        </is>
      </c>
      <c r="I809" t="n">
        <v>2.5</v>
      </c>
      <c r="J809" t="n">
        <v>0</v>
      </c>
      <c r="K809" t="n">
        <v>0</v>
      </c>
      <c r="L809" t="n">
        <v>0</v>
      </c>
      <c r="M809" t="n">
        <v>0</v>
      </c>
      <c r="N809" t="n">
        <v>0</v>
      </c>
      <c r="O809" t="n">
        <v>0</v>
      </c>
      <c r="P809" t="n">
        <v>0</v>
      </c>
      <c r="Q809" t="n">
        <v>0</v>
      </c>
      <c r="R809" t="n">
        <v>0</v>
      </c>
      <c r="S809" t="n">
        <v>0</v>
      </c>
      <c r="T809" t="n">
        <v>0</v>
      </c>
      <c r="U809" t="n">
        <v>0</v>
      </c>
      <c r="V809" s="2" t="inlineStr"/>
    </row>
    <row r="810" ht="15" customHeight="1">
      <c r="A810" t="inlineStr">
        <is>
          <t>A 12813-2025</t>
        </is>
      </c>
      <c r="B810" t="inlineStr">
        <is>
          <t>avverkningsanmälan</t>
        </is>
      </c>
      <c r="C810" t="inlineStr">
        <is>
          <t>Föryngringsavverkning</t>
        </is>
      </c>
      <c r="D810" s="1" t="n">
        <v>45733</v>
      </c>
      <c r="E810" s="1" t="n">
        <v>46313</v>
      </c>
      <c r="F810" t="inlineStr">
        <is>
          <t>VÄRMLANDS LÄN</t>
        </is>
      </c>
      <c r="G810" t="inlineStr">
        <is>
          <t>SUNNE</t>
        </is>
      </c>
      <c r="I810" t="n">
        <v>1.7</v>
      </c>
      <c r="J810" t="n">
        <v>0</v>
      </c>
      <c r="K810" t="n">
        <v>0</v>
      </c>
      <c r="L810" t="n">
        <v>0</v>
      </c>
      <c r="M810" t="n">
        <v>0</v>
      </c>
      <c r="N810" t="n">
        <v>0</v>
      </c>
      <c r="O810" t="n">
        <v>0</v>
      </c>
      <c r="P810" t="n">
        <v>0</v>
      </c>
      <c r="Q810" t="n">
        <v>0</v>
      </c>
      <c r="R810" t="n">
        <v>0</v>
      </c>
      <c r="S810" t="n">
        <v>0</v>
      </c>
      <c r="T810" t="n">
        <v>0</v>
      </c>
      <c r="U810" t="n">
        <v>0</v>
      </c>
      <c r="V810" s="2" t="inlineStr"/>
    </row>
    <row r="811" ht="15" customHeight="1">
      <c r="A811" t="inlineStr">
        <is>
          <t>A 29212-2026</t>
        </is>
      </c>
      <c r="B811" t="inlineStr">
        <is>
          <t>avverkningsanmälan</t>
        </is>
      </c>
      <c r="C811" t="inlineStr">
        <is>
          <t>Föryngringsavverkning</t>
        </is>
      </c>
      <c r="D811" s="1" t="n">
        <v>46202</v>
      </c>
      <c r="E811" s="1" t="n">
        <v>46313</v>
      </c>
      <c r="F811" t="inlineStr">
        <is>
          <t>VÄRMLANDS LÄN</t>
        </is>
      </c>
      <c r="G811" t="inlineStr">
        <is>
          <t>SUNNE</t>
        </is>
      </c>
      <c r="I811" t="n">
        <v>1.6</v>
      </c>
      <c r="J811" t="n">
        <v>0</v>
      </c>
      <c r="K811" t="n">
        <v>0</v>
      </c>
      <c r="L811" t="n">
        <v>0</v>
      </c>
      <c r="M811" t="n">
        <v>0</v>
      </c>
      <c r="N811" t="n">
        <v>0</v>
      </c>
      <c r="O811" t="n">
        <v>0</v>
      </c>
      <c r="P811" t="n">
        <v>0</v>
      </c>
      <c r="Q811" t="n">
        <v>0</v>
      </c>
      <c r="R811" t="n">
        <v>0</v>
      </c>
      <c r="S811" t="n">
        <v>0</v>
      </c>
      <c r="T811" t="n">
        <v>0</v>
      </c>
      <c r="U811" t="n">
        <v>0</v>
      </c>
      <c r="V811" s="2" t="inlineStr"/>
    </row>
    <row r="812" ht="15" customHeight="1">
      <c r="A812" t="inlineStr">
        <is>
          <t>A 18885-2026</t>
        </is>
      </c>
      <c r="B812" t="inlineStr">
        <is>
          <t>avverkningsanmälan</t>
        </is>
      </c>
      <c r="C812" t="inlineStr">
        <is>
          <t>Föryngringsavverkning</t>
        </is>
      </c>
      <c r="D812" s="1" t="n">
        <v>46129</v>
      </c>
      <c r="E812" s="1" t="n">
        <v>46313</v>
      </c>
      <c r="F812" t="inlineStr">
        <is>
          <t>VÄRMLANDS LÄN</t>
        </is>
      </c>
      <c r="G812" t="inlineStr">
        <is>
          <t>SUNNE</t>
        </is>
      </c>
      <c r="I812" t="n">
        <v>2.1</v>
      </c>
      <c r="J812" t="n">
        <v>0</v>
      </c>
      <c r="K812" t="n">
        <v>0</v>
      </c>
      <c r="L812" t="n">
        <v>0</v>
      </c>
      <c r="M812" t="n">
        <v>0</v>
      </c>
      <c r="N812" t="n">
        <v>0</v>
      </c>
      <c r="O812" t="n">
        <v>0</v>
      </c>
      <c r="P812" t="n">
        <v>0</v>
      </c>
      <c r="Q812" t="n">
        <v>0</v>
      </c>
      <c r="R812" t="n">
        <v>0</v>
      </c>
      <c r="S812" t="n">
        <v>0</v>
      </c>
      <c r="T812" t="n">
        <v>0</v>
      </c>
      <c r="U812" t="n">
        <v>0</v>
      </c>
      <c r="V812" s="2" t="inlineStr"/>
    </row>
    <row r="813" ht="15" customHeight="1">
      <c r="A813" t="inlineStr">
        <is>
          <t>A 19449-2026</t>
        </is>
      </c>
      <c r="B813" t="inlineStr">
        <is>
          <t>avverkningsanmälan</t>
        </is>
      </c>
      <c r="C813" t="inlineStr">
        <is>
          <t>Föryngringsavverkning</t>
        </is>
      </c>
      <c r="D813" s="1" t="n">
        <v>46129</v>
      </c>
      <c r="E813" s="1" t="n">
        <v>46313</v>
      </c>
      <c r="F813" t="inlineStr">
        <is>
          <t>VÄRMLANDS LÄN</t>
        </is>
      </c>
      <c r="G813" t="inlineStr">
        <is>
          <t>SUNNE</t>
        </is>
      </c>
      <c r="I813" t="n">
        <v>2.1</v>
      </c>
      <c r="J813" t="n">
        <v>0</v>
      </c>
      <c r="K813" t="n">
        <v>0</v>
      </c>
      <c r="L813" t="n">
        <v>0</v>
      </c>
      <c r="M813" t="n">
        <v>0</v>
      </c>
      <c r="N813" t="n">
        <v>0</v>
      </c>
      <c r="O813" t="n">
        <v>0</v>
      </c>
      <c r="P813" t="n">
        <v>0</v>
      </c>
      <c r="Q813" t="n">
        <v>0</v>
      </c>
      <c r="R813" t="n">
        <v>0</v>
      </c>
      <c r="S813" t="n">
        <v>0</v>
      </c>
      <c r="T813" t="n">
        <v>0</v>
      </c>
      <c r="U813" t="n">
        <v>0</v>
      </c>
      <c r="V813" s="2" t="inlineStr"/>
    </row>
    <row r="814" ht="15" customHeight="1">
      <c r="A814" t="inlineStr">
        <is>
          <t>A 18736-2026</t>
        </is>
      </c>
      <c r="B814" t="inlineStr">
        <is>
          <t>avverkningsanmälan</t>
        </is>
      </c>
      <c r="C814" t="inlineStr">
        <is>
          <t>Föryngringsavverkning</t>
        </is>
      </c>
      <c r="D814" s="1" t="n">
        <v>46128</v>
      </c>
      <c r="E814" s="1" t="n">
        <v>46313</v>
      </c>
      <c r="F814" t="inlineStr">
        <is>
          <t>VÄRMLANDS LÄN</t>
        </is>
      </c>
      <c r="G814" t="inlineStr">
        <is>
          <t>SUNNE</t>
        </is>
      </c>
      <c r="I814" t="n">
        <v>0.9</v>
      </c>
      <c r="J814" t="n">
        <v>0</v>
      </c>
      <c r="K814" t="n">
        <v>0</v>
      </c>
      <c r="L814" t="n">
        <v>0</v>
      </c>
      <c r="M814" t="n">
        <v>0</v>
      </c>
      <c r="N814" t="n">
        <v>0</v>
      </c>
      <c r="O814" t="n">
        <v>0</v>
      </c>
      <c r="P814" t="n">
        <v>0</v>
      </c>
      <c r="Q814" t="n">
        <v>0</v>
      </c>
      <c r="R814" t="n">
        <v>0</v>
      </c>
      <c r="S814" t="n">
        <v>0</v>
      </c>
      <c r="T814" t="n">
        <v>0</v>
      </c>
      <c r="U814" t="n">
        <v>0</v>
      </c>
      <c r="V814" s="2" t="inlineStr"/>
    </row>
    <row r="815" ht="15" customHeight="1">
      <c r="A815" t="inlineStr">
        <is>
          <t>A 18524-2026</t>
        </is>
      </c>
      <c r="B815" t="inlineStr">
        <is>
          <t>avverkningsanmälan</t>
        </is>
      </c>
      <c r="C815" t="inlineStr">
        <is>
          <t>Föryngringsavverkning</t>
        </is>
      </c>
      <c r="D815" s="1" t="n">
        <v>46127</v>
      </c>
      <c r="E815" s="1" t="n">
        <v>46313</v>
      </c>
      <c r="F815" t="inlineStr">
        <is>
          <t>VÄRMLANDS LÄN</t>
        </is>
      </c>
      <c r="G815" t="inlineStr">
        <is>
          <t>SUNNE</t>
        </is>
      </c>
      <c r="H815" t="inlineStr">
        <is>
          <t>Bergvik skog väst AB</t>
        </is>
      </c>
      <c r="I815" t="n">
        <v>4.5</v>
      </c>
      <c r="J815" t="n">
        <v>0</v>
      </c>
      <c r="K815" t="n">
        <v>0</v>
      </c>
      <c r="L815" t="n">
        <v>0</v>
      </c>
      <c r="M815" t="n">
        <v>0</v>
      </c>
      <c r="N815" t="n">
        <v>0</v>
      </c>
      <c r="O815" t="n">
        <v>0</v>
      </c>
      <c r="P815" t="n">
        <v>0</v>
      </c>
      <c r="Q815" t="n">
        <v>0</v>
      </c>
      <c r="R815" t="n">
        <v>0</v>
      </c>
      <c r="S815" t="n">
        <v>0</v>
      </c>
      <c r="T815" t="n">
        <v>0</v>
      </c>
      <c r="U815" t="n">
        <v>0</v>
      </c>
      <c r="V815" s="2" t="inlineStr"/>
    </row>
    <row r="816" ht="15" customHeight="1">
      <c r="A816" t="inlineStr">
        <is>
          <t>A 19034-2026</t>
        </is>
      </c>
      <c r="B816" t="inlineStr">
        <is>
          <t>avverkningsanmälan</t>
        </is>
      </c>
      <c r="C816" t="inlineStr">
        <is>
          <t>Föryngringsavverkning</t>
        </is>
      </c>
      <c r="D816" s="1" t="n">
        <v>46131</v>
      </c>
      <c r="E816" s="1" t="n">
        <v>46313</v>
      </c>
      <c r="F816" t="inlineStr">
        <is>
          <t>VÄRMLANDS LÄN</t>
        </is>
      </c>
      <c r="G816" t="inlineStr">
        <is>
          <t>SUNNE</t>
        </is>
      </c>
      <c r="I816" t="n">
        <v>5.7</v>
      </c>
      <c r="J816" t="n">
        <v>0</v>
      </c>
      <c r="K816" t="n">
        <v>0</v>
      </c>
      <c r="L816" t="n">
        <v>0</v>
      </c>
      <c r="M816" t="n">
        <v>0</v>
      </c>
      <c r="N816" t="n">
        <v>0</v>
      </c>
      <c r="O816" t="n">
        <v>0</v>
      </c>
      <c r="P816" t="n">
        <v>0</v>
      </c>
      <c r="Q816" t="n">
        <v>0</v>
      </c>
      <c r="R816" t="n">
        <v>0</v>
      </c>
      <c r="S816" t="n">
        <v>0</v>
      </c>
      <c r="T816" t="n">
        <v>0</v>
      </c>
      <c r="U816" t="n">
        <v>0</v>
      </c>
      <c r="V816" s="2" t="inlineStr"/>
    </row>
    <row r="817" ht="15" customHeight="1">
      <c r="A817" t="inlineStr">
        <is>
          <t>A 56029-2023</t>
        </is>
      </c>
      <c r="B817" t="inlineStr">
        <is>
          <t>avverkningsanmälan</t>
        </is>
      </c>
      <c r="C817" t="inlineStr">
        <is>
          <t>Föryngringsavverkning</t>
        </is>
      </c>
      <c r="D817" s="1" t="n">
        <v>45233</v>
      </c>
      <c r="E817" s="1" t="n">
        <v>46313</v>
      </c>
      <c r="F817" t="inlineStr">
        <is>
          <t>VÄRMLANDS LÄN</t>
        </is>
      </c>
      <c r="G817" t="inlineStr">
        <is>
          <t>SUNNE</t>
        </is>
      </c>
      <c r="I817" t="n">
        <v>2</v>
      </c>
      <c r="J817" t="n">
        <v>0</v>
      </c>
      <c r="K817" t="n">
        <v>0</v>
      </c>
      <c r="L817" t="n">
        <v>0</v>
      </c>
      <c r="M817" t="n">
        <v>0</v>
      </c>
      <c r="N817" t="n">
        <v>0</v>
      </c>
      <c r="O817" t="n">
        <v>0</v>
      </c>
      <c r="P817" t="n">
        <v>0</v>
      </c>
      <c r="Q817" t="n">
        <v>0</v>
      </c>
      <c r="R817" t="n">
        <v>0</v>
      </c>
      <c r="S817" t="n">
        <v>0</v>
      </c>
      <c r="T817" t="n">
        <v>0</v>
      </c>
      <c r="U817" t="n">
        <v>0</v>
      </c>
      <c r="V817" s="2" t="inlineStr"/>
    </row>
    <row r="818" ht="15" customHeight="1">
      <c r="A818" t="inlineStr">
        <is>
          <t>A 19441-2026</t>
        </is>
      </c>
      <c r="B818" t="inlineStr">
        <is>
          <t>avverkningsanmälan</t>
        </is>
      </c>
      <c r="C818" t="inlineStr">
        <is>
          <t>Föryngringsavverkning</t>
        </is>
      </c>
      <c r="D818" s="1" t="n">
        <v>46133</v>
      </c>
      <c r="E818" s="1" t="n">
        <v>46313</v>
      </c>
      <c r="F818" t="inlineStr">
        <is>
          <t>VÄRMLANDS LÄN</t>
        </is>
      </c>
      <c r="G818" t="inlineStr">
        <is>
          <t>SUNNE</t>
        </is>
      </c>
      <c r="I818" t="n">
        <v>2.2</v>
      </c>
      <c r="J818" t="n">
        <v>0</v>
      </c>
      <c r="K818" t="n">
        <v>0</v>
      </c>
      <c r="L818" t="n">
        <v>0</v>
      </c>
      <c r="M818" t="n">
        <v>0</v>
      </c>
      <c r="N818" t="n">
        <v>0</v>
      </c>
      <c r="O818" t="n">
        <v>0</v>
      </c>
      <c r="P818" t="n">
        <v>0</v>
      </c>
      <c r="Q818" t="n">
        <v>0</v>
      </c>
      <c r="R818" t="n">
        <v>0</v>
      </c>
      <c r="S818" t="n">
        <v>0</v>
      </c>
      <c r="T818" t="n">
        <v>0</v>
      </c>
      <c r="U818" t="n">
        <v>0</v>
      </c>
      <c r="V818" s="2" t="inlineStr"/>
    </row>
    <row r="819" ht="15" customHeight="1">
      <c r="A819" t="inlineStr">
        <is>
          <t>A 19338-2026</t>
        </is>
      </c>
      <c r="B819" t="inlineStr">
        <is>
          <t>avverkningsanmälan</t>
        </is>
      </c>
      <c r="C819" t="inlineStr">
        <is>
          <t>Föryngringsavverkning</t>
        </is>
      </c>
      <c r="D819" s="1" t="n">
        <v>46133</v>
      </c>
      <c r="E819" s="1" t="n">
        <v>46313</v>
      </c>
      <c r="F819" t="inlineStr">
        <is>
          <t>VÄRMLANDS LÄN</t>
        </is>
      </c>
      <c r="G819" t="inlineStr">
        <is>
          <t>SUNNE</t>
        </is>
      </c>
      <c r="I819" t="n">
        <v>3</v>
      </c>
      <c r="J819" t="n">
        <v>0</v>
      </c>
      <c r="K819" t="n">
        <v>0</v>
      </c>
      <c r="L819" t="n">
        <v>0</v>
      </c>
      <c r="M819" t="n">
        <v>0</v>
      </c>
      <c r="N819" t="n">
        <v>0</v>
      </c>
      <c r="O819" t="n">
        <v>0</v>
      </c>
      <c r="P819" t="n">
        <v>0</v>
      </c>
      <c r="Q819" t="n">
        <v>0</v>
      </c>
      <c r="R819" t="n">
        <v>0</v>
      </c>
      <c r="S819" t="n">
        <v>0</v>
      </c>
      <c r="T819" t="n">
        <v>0</v>
      </c>
      <c r="U819" t="n">
        <v>0</v>
      </c>
      <c r="V819" s="2" t="inlineStr"/>
    </row>
    <row r="820" ht="15" customHeight="1">
      <c r="A820" t="inlineStr">
        <is>
          <t>A 60696-2023</t>
        </is>
      </c>
      <c r="B820" t="inlineStr">
        <is>
          <t>avverkningsanmälan</t>
        </is>
      </c>
      <c r="C820" t="inlineStr">
        <is>
          <t>Föryngringsavverkning</t>
        </is>
      </c>
      <c r="D820" s="1" t="n">
        <v>45260</v>
      </c>
      <c r="E820" s="1" t="n">
        <v>46313</v>
      </c>
      <c r="F820" t="inlineStr">
        <is>
          <t>VÄRMLANDS LÄN</t>
        </is>
      </c>
      <c r="G820" t="inlineStr">
        <is>
          <t>SUNNE</t>
        </is>
      </c>
      <c r="I820" t="n">
        <v>0.6</v>
      </c>
      <c r="J820" t="n">
        <v>0</v>
      </c>
      <c r="K820" t="n">
        <v>0</v>
      </c>
      <c r="L820" t="n">
        <v>0</v>
      </c>
      <c r="M820" t="n">
        <v>0</v>
      </c>
      <c r="N820" t="n">
        <v>0</v>
      </c>
      <c r="O820" t="n">
        <v>0</v>
      </c>
      <c r="P820" t="n">
        <v>0</v>
      </c>
      <c r="Q820" t="n">
        <v>0</v>
      </c>
      <c r="R820" t="n">
        <v>0</v>
      </c>
      <c r="S820" t="n">
        <v>0</v>
      </c>
      <c r="T820" t="n">
        <v>0</v>
      </c>
      <c r="U820" t="n">
        <v>0</v>
      </c>
      <c r="V820" s="2" t="inlineStr"/>
    </row>
    <row r="821" ht="15" customHeight="1">
      <c r="A821" t="inlineStr">
        <is>
          <t>A 34375-2023</t>
        </is>
      </c>
      <c r="B821" t="inlineStr">
        <is>
          <t>avverkningsanmälan</t>
        </is>
      </c>
      <c r="C821" t="inlineStr">
        <is>
          <t>Föryngringsavverkning</t>
        </is>
      </c>
      <c r="D821" s="1" t="n">
        <v>45131</v>
      </c>
      <c r="E821" s="1" t="n">
        <v>46313</v>
      </c>
      <c r="F821" t="inlineStr">
        <is>
          <t>VÄRMLANDS LÄN</t>
        </is>
      </c>
      <c r="G821" t="inlineStr">
        <is>
          <t>SUNNE</t>
        </is>
      </c>
      <c r="I821" t="n">
        <v>2.2</v>
      </c>
      <c r="J821" t="n">
        <v>0</v>
      </c>
      <c r="K821" t="n">
        <v>0</v>
      </c>
      <c r="L821" t="n">
        <v>0</v>
      </c>
      <c r="M821" t="n">
        <v>0</v>
      </c>
      <c r="N821" t="n">
        <v>0</v>
      </c>
      <c r="O821" t="n">
        <v>0</v>
      </c>
      <c r="P821" t="n">
        <v>0</v>
      </c>
      <c r="Q821" t="n">
        <v>0</v>
      </c>
      <c r="R821" t="n">
        <v>0</v>
      </c>
      <c r="S821" t="n">
        <v>0</v>
      </c>
      <c r="T821" t="n">
        <v>0</v>
      </c>
      <c r="U821" t="n">
        <v>0</v>
      </c>
      <c r="V821" s="2" t="inlineStr"/>
    </row>
    <row r="822" ht="15" customHeight="1">
      <c r="A822" t="inlineStr">
        <is>
          <t>A 19398-2026</t>
        </is>
      </c>
      <c r="B822" t="inlineStr">
        <is>
          <t>avverkningsanmälan</t>
        </is>
      </c>
      <c r="C822" t="inlineStr">
        <is>
          <t>Föryngringsavverkning</t>
        </is>
      </c>
      <c r="D822" s="1" t="n">
        <v>46133</v>
      </c>
      <c r="E822" s="1" t="n">
        <v>46313</v>
      </c>
      <c r="F822" t="inlineStr">
        <is>
          <t>VÄRMLANDS LÄN</t>
        </is>
      </c>
      <c r="G822" t="inlineStr">
        <is>
          <t>SUNNE</t>
        </is>
      </c>
      <c r="I822" t="n">
        <v>4</v>
      </c>
      <c r="J822" t="n">
        <v>0</v>
      </c>
      <c r="K822" t="n">
        <v>0</v>
      </c>
      <c r="L822" t="n">
        <v>0</v>
      </c>
      <c r="M822" t="n">
        <v>0</v>
      </c>
      <c r="N822" t="n">
        <v>0</v>
      </c>
      <c r="O822" t="n">
        <v>0</v>
      </c>
      <c r="P822" t="n">
        <v>0</v>
      </c>
      <c r="Q822" t="n">
        <v>0</v>
      </c>
      <c r="R822" t="n">
        <v>0</v>
      </c>
      <c r="S822" t="n">
        <v>0</v>
      </c>
      <c r="T822" t="n">
        <v>0</v>
      </c>
      <c r="U822" t="n">
        <v>0</v>
      </c>
      <c r="V822" s="2" t="inlineStr"/>
    </row>
    <row r="823" ht="15" customHeight="1">
      <c r="A823" t="inlineStr">
        <is>
          <t>A 29490-2026</t>
        </is>
      </c>
      <c r="B823" t="inlineStr">
        <is>
          <t>avverkningsanmälan</t>
        </is>
      </c>
      <c r="C823" t="inlineStr">
        <is>
          <t>Föryngringsavverkning</t>
        </is>
      </c>
      <c r="D823" s="1" t="n">
        <v>46203</v>
      </c>
      <c r="E823" s="1" t="n">
        <v>46313</v>
      </c>
      <c r="F823" t="inlineStr">
        <is>
          <t>VÄRMLANDS LÄN</t>
        </is>
      </c>
      <c r="G823" t="inlineStr">
        <is>
          <t>SUNNE</t>
        </is>
      </c>
      <c r="I823" t="n">
        <v>3.8</v>
      </c>
      <c r="J823" t="n">
        <v>0</v>
      </c>
      <c r="K823" t="n">
        <v>0</v>
      </c>
      <c r="L823" t="n">
        <v>0</v>
      </c>
      <c r="M823" t="n">
        <v>0</v>
      </c>
      <c r="N823" t="n">
        <v>0</v>
      </c>
      <c r="O823" t="n">
        <v>0</v>
      </c>
      <c r="P823" t="n">
        <v>0</v>
      </c>
      <c r="Q823" t="n">
        <v>0</v>
      </c>
      <c r="R823" t="n">
        <v>0</v>
      </c>
      <c r="S823" t="n">
        <v>0</v>
      </c>
      <c r="T823" t="n">
        <v>0</v>
      </c>
      <c r="U823" t="n">
        <v>0</v>
      </c>
      <c r="V823" s="2" t="inlineStr"/>
    </row>
    <row r="824" ht="15" customHeight="1">
      <c r="A824" t="inlineStr">
        <is>
          <t>A 12408-2024</t>
        </is>
      </c>
      <c r="B824" t="inlineStr">
        <is>
          <t>avverkningsanmälan</t>
        </is>
      </c>
      <c r="C824" t="inlineStr">
        <is>
          <t>Föryngringsavverkning</t>
        </is>
      </c>
      <c r="D824" s="1" t="n">
        <v>45379</v>
      </c>
      <c r="E824" s="1" t="n">
        <v>46313</v>
      </c>
      <c r="F824" t="inlineStr">
        <is>
          <t>VÄRMLANDS LÄN</t>
        </is>
      </c>
      <c r="G824" t="inlineStr">
        <is>
          <t>SUNNE</t>
        </is>
      </c>
      <c r="I824" t="n">
        <v>3.7</v>
      </c>
      <c r="J824" t="n">
        <v>0</v>
      </c>
      <c r="K824" t="n">
        <v>0</v>
      </c>
      <c r="L824" t="n">
        <v>0</v>
      </c>
      <c r="M824" t="n">
        <v>0</v>
      </c>
      <c r="N824" t="n">
        <v>0</v>
      </c>
      <c r="O824" t="n">
        <v>0</v>
      </c>
      <c r="P824" t="n">
        <v>0</v>
      </c>
      <c r="Q824" t="n">
        <v>0</v>
      </c>
      <c r="R824" t="n">
        <v>0</v>
      </c>
      <c r="S824" t="n">
        <v>0</v>
      </c>
      <c r="T824" t="n">
        <v>0</v>
      </c>
      <c r="U824" t="n">
        <v>0</v>
      </c>
      <c r="V824" s="2" t="inlineStr"/>
    </row>
    <row r="825" ht="15" customHeight="1">
      <c r="A825" t="inlineStr">
        <is>
          <t>A 20057-2024</t>
        </is>
      </c>
      <c r="B825" t="inlineStr">
        <is>
          <t>avverkningsanmälan</t>
        </is>
      </c>
      <c r="C825" t="inlineStr">
        <is>
          <t>Föryngringsavverkning</t>
        </is>
      </c>
      <c r="D825" s="1" t="n">
        <v>45434</v>
      </c>
      <c r="E825" s="1" t="n">
        <v>46313</v>
      </c>
      <c r="F825" t="inlineStr">
        <is>
          <t>VÄRMLANDS LÄN</t>
        </is>
      </c>
      <c r="G825" t="inlineStr">
        <is>
          <t>SUNNE</t>
        </is>
      </c>
      <c r="I825" t="n">
        <v>1.8</v>
      </c>
      <c r="J825" t="n">
        <v>0</v>
      </c>
      <c r="K825" t="n">
        <v>0</v>
      </c>
      <c r="L825" t="n">
        <v>0</v>
      </c>
      <c r="M825" t="n">
        <v>0</v>
      </c>
      <c r="N825" t="n">
        <v>0</v>
      </c>
      <c r="O825" t="n">
        <v>0</v>
      </c>
      <c r="P825" t="n">
        <v>0</v>
      </c>
      <c r="Q825" t="n">
        <v>0</v>
      </c>
      <c r="R825" t="n">
        <v>0</v>
      </c>
      <c r="S825" t="n">
        <v>0</v>
      </c>
      <c r="T825" t="n">
        <v>0</v>
      </c>
      <c r="U825" t="n">
        <v>0</v>
      </c>
      <c r="V825" s="2" t="inlineStr"/>
    </row>
    <row r="826" ht="15" customHeight="1">
      <c r="A826" t="inlineStr">
        <is>
          <t>A 7400-2023</t>
        </is>
      </c>
      <c r="B826" t="inlineStr">
        <is>
          <t>avverkningsanmälan</t>
        </is>
      </c>
      <c r="C826" t="inlineStr">
        <is>
          <t>Föryngringsavverkning</t>
        </is>
      </c>
      <c r="D826" s="1" t="n">
        <v>44971</v>
      </c>
      <c r="E826" s="1" t="n">
        <v>46313</v>
      </c>
      <c r="F826" t="inlineStr">
        <is>
          <t>VÄRMLANDS LÄN</t>
        </is>
      </c>
      <c r="G826" t="inlineStr">
        <is>
          <t>SUNNE</t>
        </is>
      </c>
      <c r="I826" t="n">
        <v>0.3</v>
      </c>
      <c r="J826" t="n">
        <v>0</v>
      </c>
      <c r="K826" t="n">
        <v>0</v>
      </c>
      <c r="L826" t="n">
        <v>0</v>
      </c>
      <c r="M826" t="n">
        <v>0</v>
      </c>
      <c r="N826" t="n">
        <v>0</v>
      </c>
      <c r="O826" t="n">
        <v>0</v>
      </c>
      <c r="P826" t="n">
        <v>0</v>
      </c>
      <c r="Q826" t="n">
        <v>0</v>
      </c>
      <c r="R826" t="n">
        <v>0</v>
      </c>
      <c r="S826" t="n">
        <v>0</v>
      </c>
      <c r="T826" t="n">
        <v>0</v>
      </c>
      <c r="U826" t="n">
        <v>0</v>
      </c>
      <c r="V826" s="2" t="inlineStr"/>
    </row>
    <row r="827" ht="15" customHeight="1">
      <c r="A827" t="inlineStr">
        <is>
          <t>A 1158-2025</t>
        </is>
      </c>
      <c r="B827" t="inlineStr">
        <is>
          <t>avverkningsanmälan</t>
        </is>
      </c>
      <c r="C827" t="inlineStr">
        <is>
          <t>Föryngringsavverkning</t>
        </is>
      </c>
      <c r="D827" s="1" t="n">
        <v>45666</v>
      </c>
      <c r="E827" s="1" t="n">
        <v>46313</v>
      </c>
      <c r="F827" t="inlineStr">
        <is>
          <t>VÄRMLANDS LÄN</t>
        </is>
      </c>
      <c r="G827" t="inlineStr">
        <is>
          <t>SUNNE</t>
        </is>
      </c>
      <c r="I827" t="n">
        <v>0.8</v>
      </c>
      <c r="J827" t="n">
        <v>0</v>
      </c>
      <c r="K827" t="n">
        <v>0</v>
      </c>
      <c r="L827" t="n">
        <v>0</v>
      </c>
      <c r="M827" t="n">
        <v>0</v>
      </c>
      <c r="N827" t="n">
        <v>0</v>
      </c>
      <c r="O827" t="n">
        <v>0</v>
      </c>
      <c r="P827" t="n">
        <v>0</v>
      </c>
      <c r="Q827" t="n">
        <v>0</v>
      </c>
      <c r="R827" t="n">
        <v>0</v>
      </c>
      <c r="S827" t="n">
        <v>0</v>
      </c>
      <c r="T827" t="n">
        <v>0</v>
      </c>
      <c r="U827" t="n">
        <v>0</v>
      </c>
      <c r="V827" s="2" t="inlineStr"/>
    </row>
    <row r="828" ht="15" customHeight="1">
      <c r="A828" t="inlineStr">
        <is>
          <t>A 19587-2026</t>
        </is>
      </c>
      <c r="B828" t="inlineStr">
        <is>
          <t>avverkningsanmälan</t>
        </is>
      </c>
      <c r="C828" t="inlineStr">
        <is>
          <t>Föryngringsavverkning</t>
        </is>
      </c>
      <c r="D828" s="1" t="n">
        <v>46134</v>
      </c>
      <c r="E828" s="1" t="n">
        <v>46313</v>
      </c>
      <c r="F828" t="inlineStr">
        <is>
          <t>VÄRMLANDS LÄN</t>
        </is>
      </c>
      <c r="G828" t="inlineStr">
        <is>
          <t>SUNNE</t>
        </is>
      </c>
      <c r="I828" t="n">
        <v>2.1</v>
      </c>
      <c r="J828" t="n">
        <v>0</v>
      </c>
      <c r="K828" t="n">
        <v>0</v>
      </c>
      <c r="L828" t="n">
        <v>0</v>
      </c>
      <c r="M828" t="n">
        <v>0</v>
      </c>
      <c r="N828" t="n">
        <v>0</v>
      </c>
      <c r="O828" t="n">
        <v>0</v>
      </c>
      <c r="P828" t="n">
        <v>0</v>
      </c>
      <c r="Q828" t="n">
        <v>0</v>
      </c>
      <c r="R828" t="n">
        <v>0</v>
      </c>
      <c r="S828" t="n">
        <v>0</v>
      </c>
      <c r="T828" t="n">
        <v>0</v>
      </c>
      <c r="U828" t="n">
        <v>0</v>
      </c>
      <c r="V828" s="2" t="inlineStr"/>
    </row>
    <row r="829" ht="15" customHeight="1">
      <c r="A829" t="inlineStr">
        <is>
          <t>A 19405-2026</t>
        </is>
      </c>
      <c r="B829" t="inlineStr">
        <is>
          <t>avverkningsanmälan</t>
        </is>
      </c>
      <c r="C829" t="inlineStr">
        <is>
          <t>Föryngringsavverkning</t>
        </is>
      </c>
      <c r="D829" s="1" t="n">
        <v>46133</v>
      </c>
      <c r="E829" s="1" t="n">
        <v>46313</v>
      </c>
      <c r="F829" t="inlineStr">
        <is>
          <t>VÄRMLANDS LÄN</t>
        </is>
      </c>
      <c r="G829" t="inlineStr">
        <is>
          <t>SUNNE</t>
        </is>
      </c>
      <c r="I829" t="n">
        <v>3</v>
      </c>
      <c r="J829" t="n">
        <v>0</v>
      </c>
      <c r="K829" t="n">
        <v>0</v>
      </c>
      <c r="L829" t="n">
        <v>0</v>
      </c>
      <c r="M829" t="n">
        <v>0</v>
      </c>
      <c r="N829" t="n">
        <v>0</v>
      </c>
      <c r="O829" t="n">
        <v>0</v>
      </c>
      <c r="P829" t="n">
        <v>0</v>
      </c>
      <c r="Q829" t="n">
        <v>0</v>
      </c>
      <c r="R829" t="n">
        <v>0</v>
      </c>
      <c r="S829" t="n">
        <v>0</v>
      </c>
      <c r="T829" t="n">
        <v>0</v>
      </c>
      <c r="U829" t="n">
        <v>0</v>
      </c>
      <c r="V829" s="2" t="inlineStr"/>
    </row>
    <row r="830" ht="15" customHeight="1">
      <c r="A830" t="inlineStr">
        <is>
          <t>A 16085-2025</t>
        </is>
      </c>
      <c r="B830" t="inlineStr">
        <is>
          <t>avverkningsanmälan</t>
        </is>
      </c>
      <c r="C830" t="inlineStr">
        <is>
          <t>Föryngringsavverkning</t>
        </is>
      </c>
      <c r="D830" s="1" t="n">
        <v>45749</v>
      </c>
      <c r="E830" s="1" t="n">
        <v>46313</v>
      </c>
      <c r="F830" t="inlineStr">
        <is>
          <t>VÄRMLANDS LÄN</t>
        </is>
      </c>
      <c r="G830" t="inlineStr">
        <is>
          <t>SUNNE</t>
        </is>
      </c>
      <c r="I830" t="n">
        <v>1.1</v>
      </c>
      <c r="J830" t="n">
        <v>0</v>
      </c>
      <c r="K830" t="n">
        <v>0</v>
      </c>
      <c r="L830" t="n">
        <v>0</v>
      </c>
      <c r="M830" t="n">
        <v>0</v>
      </c>
      <c r="N830" t="n">
        <v>0</v>
      </c>
      <c r="O830" t="n">
        <v>0</v>
      </c>
      <c r="P830" t="n">
        <v>0</v>
      </c>
      <c r="Q830" t="n">
        <v>0</v>
      </c>
      <c r="R830" t="n">
        <v>0</v>
      </c>
      <c r="S830" t="n">
        <v>0</v>
      </c>
      <c r="T830" t="n">
        <v>0</v>
      </c>
      <c r="U830" t="n">
        <v>0</v>
      </c>
      <c r="V830" s="2" t="inlineStr"/>
    </row>
    <row r="831" ht="15" customHeight="1">
      <c r="A831" t="inlineStr">
        <is>
          <t>A 33778-2025</t>
        </is>
      </c>
      <c r="B831" t="inlineStr">
        <is>
          <t>avverkningsanmälan</t>
        </is>
      </c>
      <c r="C831" t="inlineStr">
        <is>
          <t>Föryngringsavverkning</t>
        </is>
      </c>
      <c r="D831" s="1" t="n">
        <v>45842</v>
      </c>
      <c r="E831" s="1" t="n">
        <v>46313</v>
      </c>
      <c r="F831" t="inlineStr">
        <is>
          <t>VÄRMLANDS LÄN</t>
        </is>
      </c>
      <c r="G831" t="inlineStr">
        <is>
          <t>SUNNE</t>
        </is>
      </c>
      <c r="I831" t="n">
        <v>12.7</v>
      </c>
      <c r="J831" t="n">
        <v>0</v>
      </c>
      <c r="K831" t="n">
        <v>0</v>
      </c>
      <c r="L831" t="n">
        <v>0</v>
      </c>
      <c r="M831" t="n">
        <v>0</v>
      </c>
      <c r="N831" t="n">
        <v>0</v>
      </c>
      <c r="O831" t="n">
        <v>0</v>
      </c>
      <c r="P831" t="n">
        <v>0</v>
      </c>
      <c r="Q831" t="n">
        <v>0</v>
      </c>
      <c r="R831" t="n">
        <v>0</v>
      </c>
      <c r="S831" t="n">
        <v>0</v>
      </c>
      <c r="T831" t="n">
        <v>0</v>
      </c>
      <c r="U831" t="n">
        <v>0</v>
      </c>
      <c r="V831" s="2" t="inlineStr"/>
    </row>
    <row r="832" ht="15" customHeight="1">
      <c r="A832" t="inlineStr">
        <is>
          <t>A 45034-2025</t>
        </is>
      </c>
      <c r="B832" t="inlineStr">
        <is>
          <t>avverkningsanmälan</t>
        </is>
      </c>
      <c r="C832" t="inlineStr">
        <is>
          <t>Föryngringsavverkning</t>
        </is>
      </c>
      <c r="D832" s="1" t="n">
        <v>45918</v>
      </c>
      <c r="E832" s="1" t="n">
        <v>46313</v>
      </c>
      <c r="F832" t="inlineStr">
        <is>
          <t>VÄRMLANDS LÄN</t>
        </is>
      </c>
      <c r="G832" t="inlineStr">
        <is>
          <t>SUNNE</t>
        </is>
      </c>
      <c r="I832" t="n">
        <v>1.3</v>
      </c>
      <c r="J832" t="n">
        <v>0</v>
      </c>
      <c r="K832" t="n">
        <v>0</v>
      </c>
      <c r="L832" t="n">
        <v>0</v>
      </c>
      <c r="M832" t="n">
        <v>0</v>
      </c>
      <c r="N832" t="n">
        <v>0</v>
      </c>
      <c r="O832" t="n">
        <v>0</v>
      </c>
      <c r="P832" t="n">
        <v>0</v>
      </c>
      <c r="Q832" t="n">
        <v>0</v>
      </c>
      <c r="R832" t="n">
        <v>0</v>
      </c>
      <c r="S832" t="n">
        <v>0</v>
      </c>
      <c r="T832" t="n">
        <v>0</v>
      </c>
      <c r="U832" t="n">
        <v>0</v>
      </c>
      <c r="V832" s="2" t="inlineStr"/>
    </row>
    <row r="833" ht="15" customHeight="1">
      <c r="A833" t="inlineStr">
        <is>
          <t>A 29406-2026</t>
        </is>
      </c>
      <c r="B833" t="inlineStr">
        <is>
          <t>avverkningsanmälan</t>
        </is>
      </c>
      <c r="C833" t="inlineStr">
        <is>
          <t>Föryngringsavverkning</t>
        </is>
      </c>
      <c r="D833" s="1" t="n">
        <v>46203</v>
      </c>
      <c r="E833" s="1" t="n">
        <v>46313</v>
      </c>
      <c r="F833" t="inlineStr">
        <is>
          <t>VÄRMLANDS LÄN</t>
        </is>
      </c>
      <c r="G833" t="inlineStr">
        <is>
          <t>SUNNE</t>
        </is>
      </c>
      <c r="I833" t="n">
        <v>2.5</v>
      </c>
      <c r="J833" t="n">
        <v>0</v>
      </c>
      <c r="K833" t="n">
        <v>0</v>
      </c>
      <c r="L833" t="n">
        <v>0</v>
      </c>
      <c r="M833" t="n">
        <v>0</v>
      </c>
      <c r="N833" t="n">
        <v>0</v>
      </c>
      <c r="O833" t="n">
        <v>0</v>
      </c>
      <c r="P833" t="n">
        <v>0</v>
      </c>
      <c r="Q833" t="n">
        <v>0</v>
      </c>
      <c r="R833" t="n">
        <v>0</v>
      </c>
      <c r="S833" t="n">
        <v>0</v>
      </c>
      <c r="T833" t="n">
        <v>0</v>
      </c>
      <c r="U833" t="n">
        <v>0</v>
      </c>
      <c r="V833" s="2" t="inlineStr"/>
    </row>
    <row r="834" ht="15" customHeight="1">
      <c r="A834" t="inlineStr">
        <is>
          <t>A 20017-2025</t>
        </is>
      </c>
      <c r="B834" t="inlineStr">
        <is>
          <t>avverkningsanmälan</t>
        </is>
      </c>
      <c r="C834" t="inlineStr">
        <is>
          <t>Föryngringsavverkning</t>
        </is>
      </c>
      <c r="D834" s="1" t="n">
        <v>45772</v>
      </c>
      <c r="E834" s="1" t="n">
        <v>46313</v>
      </c>
      <c r="F834" t="inlineStr">
        <is>
          <t>VÄRMLANDS LÄN</t>
        </is>
      </c>
      <c r="G834" t="inlineStr">
        <is>
          <t>SUNNE</t>
        </is>
      </c>
      <c r="H834" t="inlineStr">
        <is>
          <t>Övriga statliga verk och myndigheter</t>
        </is>
      </c>
      <c r="I834" t="n">
        <v>1.7</v>
      </c>
      <c r="J834" t="n">
        <v>0</v>
      </c>
      <c r="K834" t="n">
        <v>0</v>
      </c>
      <c r="L834" t="n">
        <v>0</v>
      </c>
      <c r="M834" t="n">
        <v>0</v>
      </c>
      <c r="N834" t="n">
        <v>0</v>
      </c>
      <c r="O834" t="n">
        <v>0</v>
      </c>
      <c r="P834" t="n">
        <v>0</v>
      </c>
      <c r="Q834" t="n">
        <v>0</v>
      </c>
      <c r="R834" t="n">
        <v>0</v>
      </c>
      <c r="S834" t="n">
        <v>0</v>
      </c>
      <c r="T834" t="n">
        <v>0</v>
      </c>
      <c r="U834" t="n">
        <v>0</v>
      </c>
      <c r="V834" s="2" t="inlineStr"/>
    </row>
    <row r="835" ht="15" customHeight="1">
      <c r="A835" t="inlineStr">
        <is>
          <t>A 38873-2024</t>
        </is>
      </c>
      <c r="B835" t="inlineStr">
        <is>
          <t>avverkningsanmälan</t>
        </is>
      </c>
      <c r="C835" t="inlineStr">
        <is>
          <t>Föryngringsavverkning</t>
        </is>
      </c>
      <c r="D835" s="1" t="n">
        <v>45547</v>
      </c>
      <c r="E835" s="1" t="n">
        <v>46313</v>
      </c>
      <c r="F835" t="inlineStr">
        <is>
          <t>VÄRMLANDS LÄN</t>
        </is>
      </c>
      <c r="G835" t="inlineStr">
        <is>
          <t>SUNNE</t>
        </is>
      </c>
      <c r="I835" t="n">
        <v>7.2</v>
      </c>
      <c r="J835" t="n">
        <v>0</v>
      </c>
      <c r="K835" t="n">
        <v>0</v>
      </c>
      <c r="L835" t="n">
        <v>0</v>
      </c>
      <c r="M835" t="n">
        <v>0</v>
      </c>
      <c r="N835" t="n">
        <v>0</v>
      </c>
      <c r="O835" t="n">
        <v>0</v>
      </c>
      <c r="P835" t="n">
        <v>0</v>
      </c>
      <c r="Q835" t="n">
        <v>0</v>
      </c>
      <c r="R835" t="n">
        <v>0</v>
      </c>
      <c r="S835" t="n">
        <v>0</v>
      </c>
      <c r="T835" t="n">
        <v>0</v>
      </c>
      <c r="U835" t="n">
        <v>0</v>
      </c>
      <c r="V835" s="2" t="inlineStr"/>
    </row>
    <row r="836" ht="15" customHeight="1">
      <c r="A836" t="inlineStr">
        <is>
          <t>A 48108-2023</t>
        </is>
      </c>
      <c r="B836" t="inlineStr">
        <is>
          <t>avverkningsanmälan</t>
        </is>
      </c>
      <c r="C836" t="inlineStr">
        <is>
          <t>Föryngringsavverkning</t>
        </is>
      </c>
      <c r="D836" s="1" t="n">
        <v>45205</v>
      </c>
      <c r="E836" s="1" t="n">
        <v>46313</v>
      </c>
      <c r="F836" t="inlineStr">
        <is>
          <t>VÄRMLANDS LÄN</t>
        </is>
      </c>
      <c r="G836" t="inlineStr">
        <is>
          <t>SUNNE</t>
        </is>
      </c>
      <c r="I836" t="n">
        <v>0.8</v>
      </c>
      <c r="J836" t="n">
        <v>0</v>
      </c>
      <c r="K836" t="n">
        <v>0</v>
      </c>
      <c r="L836" t="n">
        <v>0</v>
      </c>
      <c r="M836" t="n">
        <v>0</v>
      </c>
      <c r="N836" t="n">
        <v>0</v>
      </c>
      <c r="O836" t="n">
        <v>0</v>
      </c>
      <c r="P836" t="n">
        <v>0</v>
      </c>
      <c r="Q836" t="n">
        <v>0</v>
      </c>
      <c r="R836" t="n">
        <v>0</v>
      </c>
      <c r="S836" t="n">
        <v>0</v>
      </c>
      <c r="T836" t="n">
        <v>0</v>
      </c>
      <c r="U836" t="n">
        <v>0</v>
      </c>
      <c r="V836" s="2" t="inlineStr"/>
    </row>
    <row r="837" ht="15" customHeight="1">
      <c r="A837" t="inlineStr">
        <is>
          <t>A 60145-2022</t>
        </is>
      </c>
      <c r="B837" t="inlineStr">
        <is>
          <t>avverkningsanmälan</t>
        </is>
      </c>
      <c r="C837" t="inlineStr">
        <is>
          <t>Föryngringsavverkning</t>
        </is>
      </c>
      <c r="D837" s="1" t="n">
        <v>44909</v>
      </c>
      <c r="E837" s="1" t="n">
        <v>46313</v>
      </c>
      <c r="F837" t="inlineStr">
        <is>
          <t>VÄRMLANDS LÄN</t>
        </is>
      </c>
      <c r="G837" t="inlineStr">
        <is>
          <t>SUNNE</t>
        </is>
      </c>
      <c r="I837" t="n">
        <v>1.5</v>
      </c>
      <c r="J837" t="n">
        <v>0</v>
      </c>
      <c r="K837" t="n">
        <v>0</v>
      </c>
      <c r="L837" t="n">
        <v>0</v>
      </c>
      <c r="M837" t="n">
        <v>0</v>
      </c>
      <c r="N837" t="n">
        <v>0</v>
      </c>
      <c r="O837" t="n">
        <v>0</v>
      </c>
      <c r="P837" t="n">
        <v>0</v>
      </c>
      <c r="Q837" t="n">
        <v>0</v>
      </c>
      <c r="R837" t="n">
        <v>0</v>
      </c>
      <c r="S837" t="n">
        <v>0</v>
      </c>
      <c r="T837" t="n">
        <v>0</v>
      </c>
      <c r="U837" t="n">
        <v>0</v>
      </c>
      <c r="V837" s="2" t="inlineStr"/>
    </row>
    <row r="838" ht="15" customHeight="1">
      <c r="A838" t="inlineStr">
        <is>
          <t>A 17830-2023</t>
        </is>
      </c>
      <c r="B838" t="inlineStr">
        <is>
          <t>avverkningsanmälan</t>
        </is>
      </c>
      <c r="C838" t="inlineStr">
        <is>
          <t>Föryngringsavverkning</t>
        </is>
      </c>
      <c r="D838" s="1" t="n">
        <v>45037</v>
      </c>
      <c r="E838" s="1" t="n">
        <v>46313</v>
      </c>
      <c r="F838" t="inlineStr">
        <is>
          <t>VÄRMLANDS LÄN</t>
        </is>
      </c>
      <c r="G838" t="inlineStr">
        <is>
          <t>SUNNE</t>
        </is>
      </c>
      <c r="I838" t="n">
        <v>13.1</v>
      </c>
      <c r="J838" t="n">
        <v>0</v>
      </c>
      <c r="K838" t="n">
        <v>0</v>
      </c>
      <c r="L838" t="n">
        <v>0</v>
      </c>
      <c r="M838" t="n">
        <v>0</v>
      </c>
      <c r="N838" t="n">
        <v>0</v>
      </c>
      <c r="O838" t="n">
        <v>0</v>
      </c>
      <c r="P838" t="n">
        <v>0</v>
      </c>
      <c r="Q838" t="n">
        <v>0</v>
      </c>
      <c r="R838" t="n">
        <v>0</v>
      </c>
      <c r="S838" t="n">
        <v>0</v>
      </c>
      <c r="T838" t="n">
        <v>0</v>
      </c>
      <c r="U838" t="n">
        <v>0</v>
      </c>
      <c r="V838" s="2" t="inlineStr"/>
    </row>
    <row r="839" ht="15" customHeight="1">
      <c r="A839" t="inlineStr">
        <is>
          <t>A 21920-2023</t>
        </is>
      </c>
      <c r="B839" t="inlineStr">
        <is>
          <t>avverkningsanmälan</t>
        </is>
      </c>
      <c r="C839" t="inlineStr">
        <is>
          <t>Föryngringsavverkning</t>
        </is>
      </c>
      <c r="D839" s="1" t="n">
        <v>45068</v>
      </c>
      <c r="E839" s="1" t="n">
        <v>46313</v>
      </c>
      <c r="F839" t="inlineStr">
        <is>
          <t>VÄRMLANDS LÄN</t>
        </is>
      </c>
      <c r="G839" t="inlineStr">
        <is>
          <t>SUNNE</t>
        </is>
      </c>
      <c r="I839" t="n">
        <v>1.4</v>
      </c>
      <c r="J839" t="n">
        <v>0</v>
      </c>
      <c r="K839" t="n">
        <v>0</v>
      </c>
      <c r="L839" t="n">
        <v>0</v>
      </c>
      <c r="M839" t="n">
        <v>0</v>
      </c>
      <c r="N839" t="n">
        <v>0</v>
      </c>
      <c r="O839" t="n">
        <v>0</v>
      </c>
      <c r="P839" t="n">
        <v>0</v>
      </c>
      <c r="Q839" t="n">
        <v>0</v>
      </c>
      <c r="R839" t="n">
        <v>0</v>
      </c>
      <c r="S839" t="n">
        <v>0</v>
      </c>
      <c r="T839" t="n">
        <v>0</v>
      </c>
      <c r="U839" t="n">
        <v>0</v>
      </c>
      <c r="V839" s="2" t="inlineStr"/>
    </row>
    <row r="840" ht="15" customHeight="1">
      <c r="A840" t="inlineStr">
        <is>
          <t>A 62827-2025</t>
        </is>
      </c>
      <c r="B840" t="inlineStr">
        <is>
          <t>avverkningsanmälan</t>
        </is>
      </c>
      <c r="C840" t="inlineStr">
        <is>
          <t>Föryngringsavverkning</t>
        </is>
      </c>
      <c r="D840" s="1" t="n">
        <v>46008</v>
      </c>
      <c r="E840" s="1" t="n">
        <v>46313</v>
      </c>
      <c r="F840" t="inlineStr">
        <is>
          <t>VÄRMLANDS LÄN</t>
        </is>
      </c>
      <c r="G840" t="inlineStr">
        <is>
          <t>SUNNE</t>
        </is>
      </c>
      <c r="I840" t="n">
        <v>0.9</v>
      </c>
      <c r="J840" t="n">
        <v>0</v>
      </c>
      <c r="K840" t="n">
        <v>0</v>
      </c>
      <c r="L840" t="n">
        <v>0</v>
      </c>
      <c r="M840" t="n">
        <v>0</v>
      </c>
      <c r="N840" t="n">
        <v>0</v>
      </c>
      <c r="O840" t="n">
        <v>0</v>
      </c>
      <c r="P840" t="n">
        <v>0</v>
      </c>
      <c r="Q840" t="n">
        <v>0</v>
      </c>
      <c r="R840" t="n">
        <v>0</v>
      </c>
      <c r="S840" t="n">
        <v>0</v>
      </c>
      <c r="T840" t="n">
        <v>0</v>
      </c>
      <c r="U840" t="n">
        <v>0</v>
      </c>
      <c r="V840" s="2" t="inlineStr"/>
    </row>
    <row r="841" ht="15" customHeight="1">
      <c r="A841" t="inlineStr">
        <is>
          <t>A 6641-2024</t>
        </is>
      </c>
      <c r="B841" t="inlineStr">
        <is>
          <t>avverkningsanmälan</t>
        </is>
      </c>
      <c r="C841" t="inlineStr">
        <is>
          <t>Föryngringsavverkning</t>
        </is>
      </c>
      <c r="D841" s="1" t="n">
        <v>45341</v>
      </c>
      <c r="E841" s="1" t="n">
        <v>46313</v>
      </c>
      <c r="F841" t="inlineStr">
        <is>
          <t>VÄRMLANDS LÄN</t>
        </is>
      </c>
      <c r="G841" t="inlineStr">
        <is>
          <t>SUNNE</t>
        </is>
      </c>
      <c r="I841" t="n">
        <v>0.6</v>
      </c>
      <c r="J841" t="n">
        <v>0</v>
      </c>
      <c r="K841" t="n">
        <v>0</v>
      </c>
      <c r="L841" t="n">
        <v>0</v>
      </c>
      <c r="M841" t="n">
        <v>0</v>
      </c>
      <c r="N841" t="n">
        <v>0</v>
      </c>
      <c r="O841" t="n">
        <v>0</v>
      </c>
      <c r="P841" t="n">
        <v>0</v>
      </c>
      <c r="Q841" t="n">
        <v>0</v>
      </c>
      <c r="R841" t="n">
        <v>0</v>
      </c>
      <c r="S841" t="n">
        <v>0</v>
      </c>
      <c r="T841" t="n">
        <v>0</v>
      </c>
      <c r="U841" t="n">
        <v>0</v>
      </c>
      <c r="V841" s="2" t="inlineStr"/>
    </row>
    <row r="842" ht="15" customHeight="1">
      <c r="A842" t="inlineStr">
        <is>
          <t>A 29928-2026</t>
        </is>
      </c>
      <c r="B842" t="inlineStr">
        <is>
          <t>avverkningsanmälan</t>
        </is>
      </c>
      <c r="C842" t="inlineStr">
        <is>
          <t>Föryngringsavverkning</t>
        </is>
      </c>
      <c r="D842" s="1" t="n">
        <v>46205</v>
      </c>
      <c r="E842" s="1" t="n">
        <v>46313</v>
      </c>
      <c r="F842" t="inlineStr">
        <is>
          <t>VÄRMLANDS LÄN</t>
        </is>
      </c>
      <c r="G842" t="inlineStr">
        <is>
          <t>SUNNE</t>
        </is>
      </c>
      <c r="I842" t="n">
        <v>0.5</v>
      </c>
      <c r="J842" t="n">
        <v>0</v>
      </c>
      <c r="K842" t="n">
        <v>0</v>
      </c>
      <c r="L842" t="n">
        <v>0</v>
      </c>
      <c r="M842" t="n">
        <v>0</v>
      </c>
      <c r="N842" t="n">
        <v>0</v>
      </c>
      <c r="O842" t="n">
        <v>0</v>
      </c>
      <c r="P842" t="n">
        <v>0</v>
      </c>
      <c r="Q842" t="n">
        <v>0</v>
      </c>
      <c r="R842" t="n">
        <v>0</v>
      </c>
      <c r="S842" t="n">
        <v>0</v>
      </c>
      <c r="T842" t="n">
        <v>0</v>
      </c>
      <c r="U842" t="n">
        <v>0</v>
      </c>
      <c r="V842" s="2" t="inlineStr"/>
    </row>
    <row r="843" ht="15" customHeight="1">
      <c r="A843" t="inlineStr">
        <is>
          <t>A 44489-2025</t>
        </is>
      </c>
      <c r="B843" t="inlineStr">
        <is>
          <t>avverkningsanmälan</t>
        </is>
      </c>
      <c r="C843" t="inlineStr">
        <is>
          <t>Föryngringsavverkning</t>
        </is>
      </c>
      <c r="D843" s="1" t="n">
        <v>45916</v>
      </c>
      <c r="E843" s="1" t="n">
        <v>46313</v>
      </c>
      <c r="F843" t="inlineStr">
        <is>
          <t>VÄRMLANDS LÄN</t>
        </is>
      </c>
      <c r="G843" t="inlineStr">
        <is>
          <t>SUNNE</t>
        </is>
      </c>
      <c r="I843" t="n">
        <v>1.2</v>
      </c>
      <c r="J843" t="n">
        <v>0</v>
      </c>
      <c r="K843" t="n">
        <v>0</v>
      </c>
      <c r="L843" t="n">
        <v>0</v>
      </c>
      <c r="M843" t="n">
        <v>0</v>
      </c>
      <c r="N843" t="n">
        <v>0</v>
      </c>
      <c r="O843" t="n">
        <v>0</v>
      </c>
      <c r="P843" t="n">
        <v>0</v>
      </c>
      <c r="Q843" t="n">
        <v>0</v>
      </c>
      <c r="R843" t="n">
        <v>0</v>
      </c>
      <c r="S843" t="n">
        <v>0</v>
      </c>
      <c r="T843" t="n">
        <v>0</v>
      </c>
      <c r="U843" t="n">
        <v>0</v>
      </c>
      <c r="V843" s="2" t="inlineStr"/>
    </row>
    <row r="844" ht="15" customHeight="1">
      <c r="A844" t="inlineStr">
        <is>
          <t>A 18434-2025</t>
        </is>
      </c>
      <c r="B844" t="inlineStr">
        <is>
          <t>avverkningsanmälan</t>
        </is>
      </c>
      <c r="C844" t="inlineStr">
        <is>
          <t>Föryngringsavverkning</t>
        </is>
      </c>
      <c r="D844" s="1" t="n">
        <v>45762</v>
      </c>
      <c r="E844" s="1" t="n">
        <v>46313</v>
      </c>
      <c r="F844" t="inlineStr">
        <is>
          <t>VÄRMLANDS LÄN</t>
        </is>
      </c>
      <c r="G844" t="inlineStr">
        <is>
          <t>SUNNE</t>
        </is>
      </c>
      <c r="I844" t="n">
        <v>2</v>
      </c>
      <c r="J844" t="n">
        <v>0</v>
      </c>
      <c r="K844" t="n">
        <v>0</v>
      </c>
      <c r="L844" t="n">
        <v>0</v>
      </c>
      <c r="M844" t="n">
        <v>0</v>
      </c>
      <c r="N844" t="n">
        <v>0</v>
      </c>
      <c r="O844" t="n">
        <v>0</v>
      </c>
      <c r="P844" t="n">
        <v>0</v>
      </c>
      <c r="Q844" t="n">
        <v>0</v>
      </c>
      <c r="R844" t="n">
        <v>0</v>
      </c>
      <c r="S844" t="n">
        <v>0</v>
      </c>
      <c r="T844" t="n">
        <v>0</v>
      </c>
      <c r="U844" t="n">
        <v>0</v>
      </c>
      <c r="V844" s="2" t="inlineStr"/>
    </row>
    <row r="845" ht="15" customHeight="1">
      <c r="A845" t="inlineStr">
        <is>
          <t>A 6944-2025</t>
        </is>
      </c>
      <c r="B845" t="inlineStr">
        <is>
          <t>avverkningsanmälan</t>
        </is>
      </c>
      <c r="C845" t="inlineStr">
        <is>
          <t>Föryngringsavverkning</t>
        </is>
      </c>
      <c r="D845" s="1" t="n">
        <v>45701</v>
      </c>
      <c r="E845" s="1" t="n">
        <v>46313</v>
      </c>
      <c r="F845" t="inlineStr">
        <is>
          <t>VÄRMLANDS LÄN</t>
        </is>
      </c>
      <c r="G845" t="inlineStr">
        <is>
          <t>SUNNE</t>
        </is>
      </c>
      <c r="H845" t="inlineStr">
        <is>
          <t>Bergvik skog väst AB</t>
        </is>
      </c>
      <c r="I845" t="n">
        <v>2.8</v>
      </c>
      <c r="J845" t="n">
        <v>0</v>
      </c>
      <c r="K845" t="n">
        <v>0</v>
      </c>
      <c r="L845" t="n">
        <v>0</v>
      </c>
      <c r="M845" t="n">
        <v>0</v>
      </c>
      <c r="N845" t="n">
        <v>0</v>
      </c>
      <c r="O845" t="n">
        <v>0</v>
      </c>
      <c r="P845" t="n">
        <v>0</v>
      </c>
      <c r="Q845" t="n">
        <v>0</v>
      </c>
      <c r="R845" t="n">
        <v>0</v>
      </c>
      <c r="S845" t="n">
        <v>0</v>
      </c>
      <c r="T845" t="n">
        <v>0</v>
      </c>
      <c r="U845" t="n">
        <v>0</v>
      </c>
      <c r="V845" s="2" t="inlineStr"/>
    </row>
    <row r="846" ht="15" customHeight="1">
      <c r="A846" t="inlineStr">
        <is>
          <t>A 36926-2024</t>
        </is>
      </c>
      <c r="B846" t="inlineStr">
        <is>
          <t>avverkningsanmälan</t>
        </is>
      </c>
      <c r="C846" t="inlineStr">
        <is>
          <t>Föryngringsavverkning</t>
        </is>
      </c>
      <c r="D846" s="1" t="n">
        <v>45538</v>
      </c>
      <c r="E846" s="1" t="n">
        <v>46313</v>
      </c>
      <c r="F846" t="inlineStr">
        <is>
          <t>VÄRMLANDS LÄN</t>
        </is>
      </c>
      <c r="G846" t="inlineStr">
        <is>
          <t>SUNNE</t>
        </is>
      </c>
      <c r="I846" t="n">
        <v>0.9</v>
      </c>
      <c r="J846" t="n">
        <v>0</v>
      </c>
      <c r="K846" t="n">
        <v>0</v>
      </c>
      <c r="L846" t="n">
        <v>0</v>
      </c>
      <c r="M846" t="n">
        <v>0</v>
      </c>
      <c r="N846" t="n">
        <v>0</v>
      </c>
      <c r="O846" t="n">
        <v>0</v>
      </c>
      <c r="P846" t="n">
        <v>0</v>
      </c>
      <c r="Q846" t="n">
        <v>0</v>
      </c>
      <c r="R846" t="n">
        <v>0</v>
      </c>
      <c r="S846" t="n">
        <v>0</v>
      </c>
      <c r="T846" t="n">
        <v>0</v>
      </c>
      <c r="U846" t="n">
        <v>0</v>
      </c>
      <c r="V846" s="2" t="inlineStr"/>
    </row>
    <row r="847" ht="15" customHeight="1">
      <c r="A847" t="inlineStr">
        <is>
          <t>A 24536-2023</t>
        </is>
      </c>
      <c r="B847" t="inlineStr">
        <is>
          <t>avverkningsanmälan</t>
        </is>
      </c>
      <c r="C847" t="inlineStr">
        <is>
          <t>Föryngringsavverkning</t>
        </is>
      </c>
      <c r="D847" s="1" t="n">
        <v>45082</v>
      </c>
      <c r="E847" s="1" t="n">
        <v>46313</v>
      </c>
      <c r="F847" t="inlineStr">
        <is>
          <t>VÄRMLANDS LÄN</t>
        </is>
      </c>
      <c r="G847" t="inlineStr">
        <is>
          <t>SUNNE</t>
        </is>
      </c>
      <c r="I847" t="n">
        <v>1.5</v>
      </c>
      <c r="J847" t="n">
        <v>0</v>
      </c>
      <c r="K847" t="n">
        <v>0</v>
      </c>
      <c r="L847" t="n">
        <v>0</v>
      </c>
      <c r="M847" t="n">
        <v>0</v>
      </c>
      <c r="N847" t="n">
        <v>0</v>
      </c>
      <c r="O847" t="n">
        <v>0</v>
      </c>
      <c r="P847" t="n">
        <v>0</v>
      </c>
      <c r="Q847" t="n">
        <v>0</v>
      </c>
      <c r="R847" t="n">
        <v>0</v>
      </c>
      <c r="S847" t="n">
        <v>0</v>
      </c>
      <c r="T847" t="n">
        <v>0</v>
      </c>
      <c r="U847" t="n">
        <v>0</v>
      </c>
      <c r="V847" s="2" t="inlineStr"/>
    </row>
    <row r="848" ht="15" customHeight="1">
      <c r="A848" t="inlineStr">
        <is>
          <t>A 61216-2024</t>
        </is>
      </c>
      <c r="B848" t="inlineStr">
        <is>
          <t>avverkningsanmälan</t>
        </is>
      </c>
      <c r="C848" t="inlineStr">
        <is>
          <t>Föryngringsavverkning</t>
        </is>
      </c>
      <c r="D848" s="1" t="n">
        <v>45644</v>
      </c>
      <c r="E848" s="1" t="n">
        <v>46313</v>
      </c>
      <c r="F848" t="inlineStr">
        <is>
          <t>VÄRMLANDS LÄN</t>
        </is>
      </c>
      <c r="G848" t="inlineStr">
        <is>
          <t>SUNNE</t>
        </is>
      </c>
      <c r="I848" t="n">
        <v>9.800000000000001</v>
      </c>
      <c r="J848" t="n">
        <v>0</v>
      </c>
      <c r="K848" t="n">
        <v>0</v>
      </c>
      <c r="L848" t="n">
        <v>0</v>
      </c>
      <c r="M848" t="n">
        <v>0</v>
      </c>
      <c r="N848" t="n">
        <v>0</v>
      </c>
      <c r="O848" t="n">
        <v>0</v>
      </c>
      <c r="P848" t="n">
        <v>0</v>
      </c>
      <c r="Q848" t="n">
        <v>0</v>
      </c>
      <c r="R848" t="n">
        <v>0</v>
      </c>
      <c r="S848" t="n">
        <v>0</v>
      </c>
      <c r="T848" t="n">
        <v>0</v>
      </c>
      <c r="U848" t="n">
        <v>0</v>
      </c>
      <c r="V848" s="2" t="inlineStr"/>
    </row>
    <row r="849" ht="15" customHeight="1">
      <c r="A849" t="inlineStr">
        <is>
          <t>A 834-2024</t>
        </is>
      </c>
      <c r="B849" t="inlineStr">
        <is>
          <t>avverkningsanmälan</t>
        </is>
      </c>
      <c r="C849" t="inlineStr">
        <is>
          <t>Föryngringsavverkning</t>
        </is>
      </c>
      <c r="D849" s="1" t="n">
        <v>45300</v>
      </c>
      <c r="E849" s="1" t="n">
        <v>46313</v>
      </c>
      <c r="F849" t="inlineStr">
        <is>
          <t>VÄRMLANDS LÄN</t>
        </is>
      </c>
      <c r="G849" t="inlineStr">
        <is>
          <t>SUNNE</t>
        </is>
      </c>
      <c r="H849" t="inlineStr">
        <is>
          <t>Övriga statliga verk och myndigheter</t>
        </is>
      </c>
      <c r="I849" t="n">
        <v>1.6</v>
      </c>
      <c r="J849" t="n">
        <v>0</v>
      </c>
      <c r="K849" t="n">
        <v>0</v>
      </c>
      <c r="L849" t="n">
        <v>0</v>
      </c>
      <c r="M849" t="n">
        <v>0</v>
      </c>
      <c r="N849" t="n">
        <v>0</v>
      </c>
      <c r="O849" t="n">
        <v>0</v>
      </c>
      <c r="P849" t="n">
        <v>0</v>
      </c>
      <c r="Q849" t="n">
        <v>0</v>
      </c>
      <c r="R849" t="n">
        <v>0</v>
      </c>
      <c r="S849" t="n">
        <v>0</v>
      </c>
      <c r="T849" t="n">
        <v>0</v>
      </c>
      <c r="U849" t="n">
        <v>0</v>
      </c>
      <c r="V849" s="2" t="inlineStr"/>
    </row>
    <row r="850" ht="15" customHeight="1">
      <c r="A850" t="inlineStr">
        <is>
          <t>A 29920-2026</t>
        </is>
      </c>
      <c r="B850" t="inlineStr">
        <is>
          <t>avverkningsanmälan</t>
        </is>
      </c>
      <c r="C850" t="inlineStr">
        <is>
          <t>Föryngringsavverkning</t>
        </is>
      </c>
      <c r="D850" s="1" t="n">
        <v>46205</v>
      </c>
      <c r="E850" s="1" t="n">
        <v>46313</v>
      </c>
      <c r="F850" t="inlineStr">
        <is>
          <t>VÄRMLANDS LÄN</t>
        </is>
      </c>
      <c r="G850" t="inlineStr">
        <is>
          <t>SUNNE</t>
        </is>
      </c>
      <c r="I850" t="n">
        <v>1.6</v>
      </c>
      <c r="J850" t="n">
        <v>0</v>
      </c>
      <c r="K850" t="n">
        <v>0</v>
      </c>
      <c r="L850" t="n">
        <v>0</v>
      </c>
      <c r="M850" t="n">
        <v>0</v>
      </c>
      <c r="N850" t="n">
        <v>0</v>
      </c>
      <c r="O850" t="n">
        <v>0</v>
      </c>
      <c r="P850" t="n">
        <v>0</v>
      </c>
      <c r="Q850" t="n">
        <v>0</v>
      </c>
      <c r="R850" t="n">
        <v>0</v>
      </c>
      <c r="S850" t="n">
        <v>0</v>
      </c>
      <c r="T850" t="n">
        <v>0</v>
      </c>
      <c r="U850" t="n">
        <v>0</v>
      </c>
      <c r="V850" s="2" t="inlineStr"/>
    </row>
    <row r="851" ht="15" customHeight="1">
      <c r="A851" t="inlineStr">
        <is>
          <t>A 58757-2021</t>
        </is>
      </c>
      <c r="B851" t="inlineStr">
        <is>
          <t>avverkningsanmälan</t>
        </is>
      </c>
      <c r="C851" t="inlineStr">
        <is>
          <t>Föryngringsavverkning</t>
        </is>
      </c>
      <c r="D851" s="1" t="n">
        <v>44489</v>
      </c>
      <c r="E851" s="1" t="n">
        <v>46313</v>
      </c>
      <c r="F851" t="inlineStr">
        <is>
          <t>VÄRMLANDS LÄN</t>
        </is>
      </c>
      <c r="G851" t="inlineStr">
        <is>
          <t>SUNNE</t>
        </is>
      </c>
      <c r="I851" t="n">
        <v>0.5</v>
      </c>
      <c r="J851" t="n">
        <v>0</v>
      </c>
      <c r="K851" t="n">
        <v>0</v>
      </c>
      <c r="L851" t="n">
        <v>0</v>
      </c>
      <c r="M851" t="n">
        <v>0</v>
      </c>
      <c r="N851" t="n">
        <v>0</v>
      </c>
      <c r="O851" t="n">
        <v>0</v>
      </c>
      <c r="P851" t="n">
        <v>0</v>
      </c>
      <c r="Q851" t="n">
        <v>0</v>
      </c>
      <c r="R851" t="n">
        <v>0</v>
      </c>
      <c r="S851" t="n">
        <v>0</v>
      </c>
      <c r="T851" t="n">
        <v>0</v>
      </c>
      <c r="U851" t="n">
        <v>0</v>
      </c>
      <c r="V851" s="2" t="inlineStr"/>
    </row>
    <row r="852" ht="15" customHeight="1">
      <c r="A852" t="inlineStr">
        <is>
          <t>A 24796-2023</t>
        </is>
      </c>
      <c r="B852" t="inlineStr">
        <is>
          <t>avverkningsanmälan</t>
        </is>
      </c>
      <c r="C852" t="inlineStr">
        <is>
          <t>Föryngringsavverkning</t>
        </is>
      </c>
      <c r="D852" s="1" t="n">
        <v>45084</v>
      </c>
      <c r="E852" s="1" t="n">
        <v>46313</v>
      </c>
      <c r="F852" t="inlineStr">
        <is>
          <t>VÄRMLANDS LÄN</t>
        </is>
      </c>
      <c r="G852" t="inlineStr">
        <is>
          <t>SUNNE</t>
        </is>
      </c>
      <c r="I852" t="n">
        <v>0.6</v>
      </c>
      <c r="J852" t="n">
        <v>0</v>
      </c>
      <c r="K852" t="n">
        <v>0</v>
      </c>
      <c r="L852" t="n">
        <v>0</v>
      </c>
      <c r="M852" t="n">
        <v>0</v>
      </c>
      <c r="N852" t="n">
        <v>0</v>
      </c>
      <c r="O852" t="n">
        <v>0</v>
      </c>
      <c r="P852" t="n">
        <v>0</v>
      </c>
      <c r="Q852" t="n">
        <v>0</v>
      </c>
      <c r="R852" t="n">
        <v>0</v>
      </c>
      <c r="S852" t="n">
        <v>0</v>
      </c>
      <c r="T852" t="n">
        <v>0</v>
      </c>
      <c r="U852" t="n">
        <v>0</v>
      </c>
      <c r="V852" s="2" t="inlineStr"/>
    </row>
    <row r="853" ht="15" customHeight="1">
      <c r="A853" t="inlineStr">
        <is>
          <t>A 30286-2026</t>
        </is>
      </c>
      <c r="B853" t="inlineStr">
        <is>
          <t>avverkningsanmälan</t>
        </is>
      </c>
      <c r="C853" t="inlineStr">
        <is>
          <t>Föryngringsavverkning</t>
        </is>
      </c>
      <c r="D853" s="1" t="n">
        <v>46206</v>
      </c>
      <c r="E853" s="1" t="n">
        <v>46313</v>
      </c>
      <c r="F853" t="inlineStr">
        <is>
          <t>VÄRMLANDS LÄN</t>
        </is>
      </c>
      <c r="G853" t="inlineStr">
        <is>
          <t>SUNNE</t>
        </is>
      </c>
      <c r="H853" t="inlineStr">
        <is>
          <t>Bergvik skog väst AB</t>
        </is>
      </c>
      <c r="I853" t="n">
        <v>1.2</v>
      </c>
      <c r="J853" t="n">
        <v>0</v>
      </c>
      <c r="K853" t="n">
        <v>0</v>
      </c>
      <c r="L853" t="n">
        <v>0</v>
      </c>
      <c r="M853" t="n">
        <v>0</v>
      </c>
      <c r="N853" t="n">
        <v>0</v>
      </c>
      <c r="O853" t="n">
        <v>0</v>
      </c>
      <c r="P853" t="n">
        <v>0</v>
      </c>
      <c r="Q853" t="n">
        <v>0</v>
      </c>
      <c r="R853" t="n">
        <v>0</v>
      </c>
      <c r="S853" t="n">
        <v>0</v>
      </c>
      <c r="T853" t="n">
        <v>0</v>
      </c>
      <c r="U853" t="n">
        <v>0</v>
      </c>
      <c r="V853" s="2" t="inlineStr"/>
    </row>
    <row r="854" ht="15" customHeight="1">
      <c r="A854" t="inlineStr">
        <is>
          <t>A 29853-2026</t>
        </is>
      </c>
      <c r="B854" t="inlineStr">
        <is>
          <t>avverkningsanmälan</t>
        </is>
      </c>
      <c r="C854" t="inlineStr">
        <is>
          <t>Föryngringsavverkning</t>
        </is>
      </c>
      <c r="D854" s="1" t="n">
        <v>46205</v>
      </c>
      <c r="E854" s="1" t="n">
        <v>46313</v>
      </c>
      <c r="F854" t="inlineStr">
        <is>
          <t>VÄRMLANDS LÄN</t>
        </is>
      </c>
      <c r="G854" t="inlineStr">
        <is>
          <t>SUNNE</t>
        </is>
      </c>
      <c r="I854" t="n">
        <v>0.7</v>
      </c>
      <c r="J854" t="n">
        <v>0</v>
      </c>
      <c r="K854" t="n">
        <v>0</v>
      </c>
      <c r="L854" t="n">
        <v>0</v>
      </c>
      <c r="M854" t="n">
        <v>0</v>
      </c>
      <c r="N854" t="n">
        <v>0</v>
      </c>
      <c r="O854" t="n">
        <v>0</v>
      </c>
      <c r="P854" t="n">
        <v>0</v>
      </c>
      <c r="Q854" t="n">
        <v>0</v>
      </c>
      <c r="R854" t="n">
        <v>0</v>
      </c>
      <c r="S854" t="n">
        <v>0</v>
      </c>
      <c r="T854" t="n">
        <v>0</v>
      </c>
      <c r="U854" t="n">
        <v>0</v>
      </c>
      <c r="V854" s="2" t="inlineStr"/>
    </row>
    <row r="855" ht="15" customHeight="1">
      <c r="A855" t="inlineStr">
        <is>
          <t>A 29982-2026</t>
        </is>
      </c>
      <c r="B855" t="inlineStr">
        <is>
          <t>avverkningsanmälan</t>
        </is>
      </c>
      <c r="C855" t="inlineStr">
        <is>
          <t>Föryngringsavverkning</t>
        </is>
      </c>
      <c r="D855" s="1" t="n">
        <v>46205</v>
      </c>
      <c r="E855" s="1" t="n">
        <v>46313</v>
      </c>
      <c r="F855" t="inlineStr">
        <is>
          <t>VÄRMLANDS LÄN</t>
        </is>
      </c>
      <c r="G855" t="inlineStr">
        <is>
          <t>SUNNE</t>
        </is>
      </c>
      <c r="I855" t="n">
        <v>1.7</v>
      </c>
      <c r="J855" t="n">
        <v>0</v>
      </c>
      <c r="K855" t="n">
        <v>0</v>
      </c>
      <c r="L855" t="n">
        <v>0</v>
      </c>
      <c r="M855" t="n">
        <v>0</v>
      </c>
      <c r="N855" t="n">
        <v>0</v>
      </c>
      <c r="O855" t="n">
        <v>0</v>
      </c>
      <c r="P855" t="n">
        <v>0</v>
      </c>
      <c r="Q855" t="n">
        <v>0</v>
      </c>
      <c r="R855" t="n">
        <v>0</v>
      </c>
      <c r="S855" t="n">
        <v>0</v>
      </c>
      <c r="T855" t="n">
        <v>0</v>
      </c>
      <c r="U855" t="n">
        <v>0</v>
      </c>
      <c r="V855" s="2" t="inlineStr"/>
    </row>
    <row r="856" ht="15" customHeight="1">
      <c r="A856" t="inlineStr">
        <is>
          <t>A 29990-2026</t>
        </is>
      </c>
      <c r="B856" t="inlineStr">
        <is>
          <t>avverkningsanmälan</t>
        </is>
      </c>
      <c r="C856" t="inlineStr">
        <is>
          <t>Föryngringsavverkning</t>
        </is>
      </c>
      <c r="D856" s="1" t="n">
        <v>46205</v>
      </c>
      <c r="E856" s="1" t="n">
        <v>46313</v>
      </c>
      <c r="F856" t="inlineStr">
        <is>
          <t>VÄRMLANDS LÄN</t>
        </is>
      </c>
      <c r="G856" t="inlineStr">
        <is>
          <t>SUNNE</t>
        </is>
      </c>
      <c r="I856" t="n">
        <v>1.1</v>
      </c>
      <c r="J856" t="n">
        <v>0</v>
      </c>
      <c r="K856" t="n">
        <v>0</v>
      </c>
      <c r="L856" t="n">
        <v>0</v>
      </c>
      <c r="M856" t="n">
        <v>0</v>
      </c>
      <c r="N856" t="n">
        <v>0</v>
      </c>
      <c r="O856" t="n">
        <v>0</v>
      </c>
      <c r="P856" t="n">
        <v>0</v>
      </c>
      <c r="Q856" t="n">
        <v>0</v>
      </c>
      <c r="R856" t="n">
        <v>0</v>
      </c>
      <c r="S856" t="n">
        <v>0</v>
      </c>
      <c r="T856" t="n">
        <v>0</v>
      </c>
      <c r="U856" t="n">
        <v>0</v>
      </c>
      <c r="V856" s="2" t="inlineStr"/>
    </row>
    <row r="857" ht="15" customHeight="1">
      <c r="A857" t="inlineStr">
        <is>
          <t>A 29978-2026</t>
        </is>
      </c>
      <c r="B857" t="inlineStr">
        <is>
          <t>avverkningsanmälan</t>
        </is>
      </c>
      <c r="C857" t="inlineStr">
        <is>
          <t>Föryngringsavverkning</t>
        </is>
      </c>
      <c r="D857" s="1" t="n">
        <v>46205</v>
      </c>
      <c r="E857" s="1" t="n">
        <v>46313</v>
      </c>
      <c r="F857" t="inlineStr">
        <is>
          <t>VÄRMLANDS LÄN</t>
        </is>
      </c>
      <c r="G857" t="inlineStr">
        <is>
          <t>SUNNE</t>
        </is>
      </c>
      <c r="I857" t="n">
        <v>2.9</v>
      </c>
      <c r="J857" t="n">
        <v>0</v>
      </c>
      <c r="K857" t="n">
        <v>0</v>
      </c>
      <c r="L857" t="n">
        <v>0</v>
      </c>
      <c r="M857" t="n">
        <v>0</v>
      </c>
      <c r="N857" t="n">
        <v>0</v>
      </c>
      <c r="O857" t="n">
        <v>0</v>
      </c>
      <c r="P857" t="n">
        <v>0</v>
      </c>
      <c r="Q857" t="n">
        <v>0</v>
      </c>
      <c r="R857" t="n">
        <v>0</v>
      </c>
      <c r="S857" t="n">
        <v>0</v>
      </c>
      <c r="T857" t="n">
        <v>0</v>
      </c>
      <c r="U857" t="n">
        <v>0</v>
      </c>
      <c r="V857" s="2" t="inlineStr"/>
    </row>
    <row r="858" ht="15" customHeight="1">
      <c r="A858" t="inlineStr">
        <is>
          <t>A 29834-2026</t>
        </is>
      </c>
      <c r="B858" t="inlineStr">
        <is>
          <t>avverkningsanmälan</t>
        </is>
      </c>
      <c r="C858" t="inlineStr">
        <is>
          <t>Föryngringsavverkning</t>
        </is>
      </c>
      <c r="D858" s="1" t="n">
        <v>46205</v>
      </c>
      <c r="E858" s="1" t="n">
        <v>46313</v>
      </c>
      <c r="F858" t="inlineStr">
        <is>
          <t>VÄRMLANDS LÄN</t>
        </is>
      </c>
      <c r="G858" t="inlineStr">
        <is>
          <t>SUNNE</t>
        </is>
      </c>
      <c r="I858" t="n">
        <v>3.3</v>
      </c>
      <c r="J858" t="n">
        <v>0</v>
      </c>
      <c r="K858" t="n">
        <v>0</v>
      </c>
      <c r="L858" t="n">
        <v>0</v>
      </c>
      <c r="M858" t="n">
        <v>0</v>
      </c>
      <c r="N858" t="n">
        <v>0</v>
      </c>
      <c r="O858" t="n">
        <v>0</v>
      </c>
      <c r="P858" t="n">
        <v>0</v>
      </c>
      <c r="Q858" t="n">
        <v>0</v>
      </c>
      <c r="R858" t="n">
        <v>0</v>
      </c>
      <c r="S858" t="n">
        <v>0</v>
      </c>
      <c r="T858" t="n">
        <v>0</v>
      </c>
      <c r="U858" t="n">
        <v>0</v>
      </c>
      <c r="V858" s="2" t="inlineStr"/>
    </row>
    <row r="859" ht="15" customHeight="1">
      <c r="A859" t="inlineStr">
        <is>
          <t>A 29917-2026</t>
        </is>
      </c>
      <c r="B859" t="inlineStr">
        <is>
          <t>avverkningsanmälan</t>
        </is>
      </c>
      <c r="C859" t="inlineStr">
        <is>
          <t>Föryngringsavverkning</t>
        </is>
      </c>
      <c r="D859" s="1" t="n">
        <v>46205</v>
      </c>
      <c r="E859" s="1" t="n">
        <v>46313</v>
      </c>
      <c r="F859" t="inlineStr">
        <is>
          <t>VÄRMLANDS LÄN</t>
        </is>
      </c>
      <c r="G859" t="inlineStr">
        <is>
          <t>SUNNE</t>
        </is>
      </c>
      <c r="I859" t="n">
        <v>1.4</v>
      </c>
      <c r="J859" t="n">
        <v>0</v>
      </c>
      <c r="K859" t="n">
        <v>0</v>
      </c>
      <c r="L859" t="n">
        <v>0</v>
      </c>
      <c r="M859" t="n">
        <v>0</v>
      </c>
      <c r="N859" t="n">
        <v>0</v>
      </c>
      <c r="O859" t="n">
        <v>0</v>
      </c>
      <c r="P859" t="n">
        <v>0</v>
      </c>
      <c r="Q859" t="n">
        <v>0</v>
      </c>
      <c r="R859" t="n">
        <v>0</v>
      </c>
      <c r="S859" t="n">
        <v>0</v>
      </c>
      <c r="T859" t="n">
        <v>0</v>
      </c>
      <c r="U859" t="n">
        <v>0</v>
      </c>
      <c r="V859" s="2" t="inlineStr"/>
    </row>
    <row r="860" ht="15" customHeight="1">
      <c r="A860" t="inlineStr">
        <is>
          <t>A 47162-2024</t>
        </is>
      </c>
      <c r="B860" t="inlineStr">
        <is>
          <t>avverkningsanmälan</t>
        </is>
      </c>
      <c r="C860" t="inlineStr">
        <is>
          <t>Föryngringsavverkning</t>
        </is>
      </c>
      <c r="D860" s="1" t="n">
        <v>45586</v>
      </c>
      <c r="E860" s="1" t="n">
        <v>46313</v>
      </c>
      <c r="F860" t="inlineStr">
        <is>
          <t>VÄRMLANDS LÄN</t>
        </is>
      </c>
      <c r="G860" t="inlineStr">
        <is>
          <t>SUNNE</t>
        </is>
      </c>
      <c r="H860" t="inlineStr">
        <is>
          <t>Kommuner</t>
        </is>
      </c>
      <c r="I860" t="n">
        <v>1.8</v>
      </c>
      <c r="J860" t="n">
        <v>0</v>
      </c>
      <c r="K860" t="n">
        <v>0</v>
      </c>
      <c r="L860" t="n">
        <v>0</v>
      </c>
      <c r="M860" t="n">
        <v>0</v>
      </c>
      <c r="N860" t="n">
        <v>0</v>
      </c>
      <c r="O860" t="n">
        <v>0</v>
      </c>
      <c r="P860" t="n">
        <v>0</v>
      </c>
      <c r="Q860" t="n">
        <v>0</v>
      </c>
      <c r="R860" t="n">
        <v>0</v>
      </c>
      <c r="S860" t="n">
        <v>0</v>
      </c>
      <c r="T860" t="n">
        <v>0</v>
      </c>
      <c r="U860" t="n">
        <v>0</v>
      </c>
      <c r="V860" s="2" t="inlineStr"/>
    </row>
    <row r="861" ht="15" customHeight="1">
      <c r="A861" t="inlineStr">
        <is>
          <t>A 2977-2024</t>
        </is>
      </c>
      <c r="B861" t="inlineStr">
        <is>
          <t>avverkningsanmälan</t>
        </is>
      </c>
      <c r="C861" t="inlineStr">
        <is>
          <t>Föryngringsavverkning</t>
        </is>
      </c>
      <c r="D861" s="1" t="n">
        <v>45315</v>
      </c>
      <c r="E861" s="1" t="n">
        <v>46313</v>
      </c>
      <c r="F861" t="inlineStr">
        <is>
          <t>VÄRMLANDS LÄN</t>
        </is>
      </c>
      <c r="G861" t="inlineStr">
        <is>
          <t>SUNNE</t>
        </is>
      </c>
      <c r="I861" t="n">
        <v>2</v>
      </c>
      <c r="J861" t="n">
        <v>0</v>
      </c>
      <c r="K861" t="n">
        <v>0</v>
      </c>
      <c r="L861" t="n">
        <v>0</v>
      </c>
      <c r="M861" t="n">
        <v>0</v>
      </c>
      <c r="N861" t="n">
        <v>0</v>
      </c>
      <c r="O861" t="n">
        <v>0</v>
      </c>
      <c r="P861" t="n">
        <v>0</v>
      </c>
      <c r="Q861" t="n">
        <v>0</v>
      </c>
      <c r="R861" t="n">
        <v>0</v>
      </c>
      <c r="S861" t="n">
        <v>0</v>
      </c>
      <c r="T861" t="n">
        <v>0</v>
      </c>
      <c r="U861" t="n">
        <v>0</v>
      </c>
      <c r="V861" s="2" t="inlineStr"/>
    </row>
    <row r="862" ht="15" customHeight="1">
      <c r="A862" t="inlineStr">
        <is>
          <t>A 38361-2022</t>
        </is>
      </c>
      <c r="B862" t="inlineStr">
        <is>
          <t>avverkningsanmälan</t>
        </is>
      </c>
      <c r="C862" t="inlineStr">
        <is>
          <t>Föryngringsavverkning</t>
        </is>
      </c>
      <c r="D862" s="1" t="n">
        <v>44812</v>
      </c>
      <c r="E862" s="1" t="n">
        <v>46313</v>
      </c>
      <c r="F862" t="inlineStr">
        <is>
          <t>VÄRMLANDS LÄN</t>
        </is>
      </c>
      <c r="G862" t="inlineStr">
        <is>
          <t>SUNNE</t>
        </is>
      </c>
      <c r="I862" t="n">
        <v>1</v>
      </c>
      <c r="J862" t="n">
        <v>0</v>
      </c>
      <c r="K862" t="n">
        <v>0</v>
      </c>
      <c r="L862" t="n">
        <v>0</v>
      </c>
      <c r="M862" t="n">
        <v>0</v>
      </c>
      <c r="N862" t="n">
        <v>0</v>
      </c>
      <c r="O862" t="n">
        <v>0</v>
      </c>
      <c r="P862" t="n">
        <v>0</v>
      </c>
      <c r="Q862" t="n">
        <v>0</v>
      </c>
      <c r="R862" t="n">
        <v>0</v>
      </c>
      <c r="S862" t="n">
        <v>0</v>
      </c>
      <c r="T862" t="n">
        <v>0</v>
      </c>
      <c r="U862" t="n">
        <v>0</v>
      </c>
      <c r="V862" s="2" t="inlineStr"/>
    </row>
    <row r="863" ht="15" customHeight="1">
      <c r="A863" t="inlineStr">
        <is>
          <t>A 30409-2026</t>
        </is>
      </c>
      <c r="B863" t="inlineStr">
        <is>
          <t>avverkningsanmälan</t>
        </is>
      </c>
      <c r="C863" t="inlineStr">
        <is>
          <t>Föryngringsavverkning</t>
        </is>
      </c>
      <c r="D863" s="1" t="n">
        <v>46209</v>
      </c>
      <c r="E863" s="1" t="n">
        <v>46313</v>
      </c>
      <c r="F863" t="inlineStr">
        <is>
          <t>VÄRMLANDS LÄN</t>
        </is>
      </c>
      <c r="G863" t="inlineStr">
        <is>
          <t>SUNNE</t>
        </is>
      </c>
      <c r="I863" t="n">
        <v>2</v>
      </c>
      <c r="J863" t="n">
        <v>0</v>
      </c>
      <c r="K863" t="n">
        <v>0</v>
      </c>
      <c r="L863" t="n">
        <v>0</v>
      </c>
      <c r="M863" t="n">
        <v>0</v>
      </c>
      <c r="N863" t="n">
        <v>0</v>
      </c>
      <c r="O863" t="n">
        <v>0</v>
      </c>
      <c r="P863" t="n">
        <v>0</v>
      </c>
      <c r="Q863" t="n">
        <v>0</v>
      </c>
      <c r="R863" t="n">
        <v>0</v>
      </c>
      <c r="S863" t="n">
        <v>0</v>
      </c>
      <c r="T863" t="n">
        <v>0</v>
      </c>
      <c r="U863" t="n">
        <v>0</v>
      </c>
      <c r="V863" s="2" t="inlineStr"/>
    </row>
    <row r="864" ht="15" customHeight="1">
      <c r="A864" t="inlineStr">
        <is>
          <t>A 30370-2026</t>
        </is>
      </c>
      <c r="B864" t="inlineStr">
        <is>
          <t>avverkningsanmälan</t>
        </is>
      </c>
      <c r="C864" t="inlineStr">
        <is>
          <t>Föryngringsavverkning</t>
        </is>
      </c>
      <c r="D864" s="1" t="n">
        <v>46209</v>
      </c>
      <c r="E864" s="1" t="n">
        <v>46313</v>
      </c>
      <c r="F864" t="inlineStr">
        <is>
          <t>VÄRMLANDS LÄN</t>
        </is>
      </c>
      <c r="G864" t="inlineStr">
        <is>
          <t>SUNNE</t>
        </is>
      </c>
      <c r="H864" t="inlineStr">
        <is>
          <t>Kommuner</t>
        </is>
      </c>
      <c r="I864" t="n">
        <v>1.1</v>
      </c>
      <c r="J864" t="n">
        <v>0</v>
      </c>
      <c r="K864" t="n">
        <v>0</v>
      </c>
      <c r="L864" t="n">
        <v>0</v>
      </c>
      <c r="M864" t="n">
        <v>0</v>
      </c>
      <c r="N864" t="n">
        <v>0</v>
      </c>
      <c r="O864" t="n">
        <v>0</v>
      </c>
      <c r="P864" t="n">
        <v>0</v>
      </c>
      <c r="Q864" t="n">
        <v>0</v>
      </c>
      <c r="R864" t="n">
        <v>0</v>
      </c>
      <c r="S864" t="n">
        <v>0</v>
      </c>
      <c r="T864" t="n">
        <v>0</v>
      </c>
      <c r="U864" t="n">
        <v>0</v>
      </c>
      <c r="V864" s="2" t="inlineStr"/>
    </row>
    <row r="865" ht="15" customHeight="1">
      <c r="A865" t="inlineStr">
        <is>
          <t>A 30974-2023</t>
        </is>
      </c>
      <c r="B865" t="inlineStr">
        <is>
          <t>avverkningsanmälan</t>
        </is>
      </c>
      <c r="C865" t="inlineStr">
        <is>
          <t>Föryngringsavverkning</t>
        </is>
      </c>
      <c r="D865" s="1" t="n">
        <v>45113</v>
      </c>
      <c r="E865" s="1" t="n">
        <v>46313</v>
      </c>
      <c r="F865" t="inlineStr">
        <is>
          <t>VÄRMLANDS LÄN</t>
        </is>
      </c>
      <c r="G865" t="inlineStr">
        <is>
          <t>SUNNE</t>
        </is>
      </c>
      <c r="I865" t="n">
        <v>7.5</v>
      </c>
      <c r="J865" t="n">
        <v>0</v>
      </c>
      <c r="K865" t="n">
        <v>0</v>
      </c>
      <c r="L865" t="n">
        <v>0</v>
      </c>
      <c r="M865" t="n">
        <v>0</v>
      </c>
      <c r="N865" t="n">
        <v>0</v>
      </c>
      <c r="O865" t="n">
        <v>0</v>
      </c>
      <c r="P865" t="n">
        <v>0</v>
      </c>
      <c r="Q865" t="n">
        <v>0</v>
      </c>
      <c r="R865" t="n">
        <v>0</v>
      </c>
      <c r="S865" t="n">
        <v>0</v>
      </c>
      <c r="T865" t="n">
        <v>0</v>
      </c>
      <c r="U865" t="n">
        <v>0</v>
      </c>
      <c r="V865" s="2" t="inlineStr"/>
    </row>
    <row r="866" ht="15" customHeight="1">
      <c r="A866" t="inlineStr">
        <is>
          <t>A 12527-2024</t>
        </is>
      </c>
      <c r="B866" t="inlineStr">
        <is>
          <t>avverkningsanmälan</t>
        </is>
      </c>
      <c r="C866" t="inlineStr">
        <is>
          <t>Föryngringsavverkning</t>
        </is>
      </c>
      <c r="D866" s="1" t="n">
        <v>45379</v>
      </c>
      <c r="E866" s="1" t="n">
        <v>46313</v>
      </c>
      <c r="F866" t="inlineStr">
        <is>
          <t>VÄRMLANDS LÄN</t>
        </is>
      </c>
      <c r="G866" t="inlineStr">
        <is>
          <t>SUNNE</t>
        </is>
      </c>
      <c r="I866" t="n">
        <v>1.1</v>
      </c>
      <c r="J866" t="n">
        <v>0</v>
      </c>
      <c r="K866" t="n">
        <v>0</v>
      </c>
      <c r="L866" t="n">
        <v>0</v>
      </c>
      <c r="M866" t="n">
        <v>0</v>
      </c>
      <c r="N866" t="n">
        <v>0</v>
      </c>
      <c r="O866" t="n">
        <v>0</v>
      </c>
      <c r="P866" t="n">
        <v>0</v>
      </c>
      <c r="Q866" t="n">
        <v>0</v>
      </c>
      <c r="R866" t="n">
        <v>0</v>
      </c>
      <c r="S866" t="n">
        <v>0</v>
      </c>
      <c r="T866" t="n">
        <v>0</v>
      </c>
      <c r="U866" t="n">
        <v>0</v>
      </c>
      <c r="V866" s="2" t="inlineStr"/>
    </row>
    <row r="867" ht="15" customHeight="1">
      <c r="A867" t="inlineStr">
        <is>
          <t>A 42388-2022</t>
        </is>
      </c>
      <c r="B867" t="inlineStr">
        <is>
          <t>avverkningsanmälan</t>
        </is>
      </c>
      <c r="C867" t="inlineStr">
        <is>
          <t>Föryngringsavverkning</t>
        </is>
      </c>
      <c r="D867" s="1" t="n">
        <v>44831</v>
      </c>
      <c r="E867" s="1" t="n">
        <v>46313</v>
      </c>
      <c r="F867" t="inlineStr">
        <is>
          <t>VÄRMLANDS LÄN</t>
        </is>
      </c>
      <c r="G867" t="inlineStr">
        <is>
          <t>SUNNE</t>
        </is>
      </c>
      <c r="I867" t="n">
        <v>2.9</v>
      </c>
      <c r="J867" t="n">
        <v>0</v>
      </c>
      <c r="K867" t="n">
        <v>0</v>
      </c>
      <c r="L867" t="n">
        <v>0</v>
      </c>
      <c r="M867" t="n">
        <v>0</v>
      </c>
      <c r="N867" t="n">
        <v>0</v>
      </c>
      <c r="O867" t="n">
        <v>0</v>
      </c>
      <c r="P867" t="n">
        <v>0</v>
      </c>
      <c r="Q867" t="n">
        <v>0</v>
      </c>
      <c r="R867" t="n">
        <v>0</v>
      </c>
      <c r="S867" t="n">
        <v>0</v>
      </c>
      <c r="T867" t="n">
        <v>0</v>
      </c>
      <c r="U867" t="n">
        <v>0</v>
      </c>
      <c r="V867" s="2" t="inlineStr"/>
    </row>
    <row r="868" ht="15" customHeight="1">
      <c r="A868" t="inlineStr">
        <is>
          <t>A 9445-2024</t>
        </is>
      </c>
      <c r="B868" t="inlineStr">
        <is>
          <t>avverkningsanmälan</t>
        </is>
      </c>
      <c r="C868" t="inlineStr">
        <is>
          <t>Föryngringsavverkning</t>
        </is>
      </c>
      <c r="D868" s="1" t="n">
        <v>45359</v>
      </c>
      <c r="E868" s="1" t="n">
        <v>46313</v>
      </c>
      <c r="F868" t="inlineStr">
        <is>
          <t>VÄRMLANDS LÄN</t>
        </is>
      </c>
      <c r="G868" t="inlineStr">
        <is>
          <t>SUNNE</t>
        </is>
      </c>
      <c r="I868" t="n">
        <v>0.9</v>
      </c>
      <c r="J868" t="n">
        <v>0</v>
      </c>
      <c r="K868" t="n">
        <v>0</v>
      </c>
      <c r="L868" t="n">
        <v>0</v>
      </c>
      <c r="M868" t="n">
        <v>0</v>
      </c>
      <c r="N868" t="n">
        <v>0</v>
      </c>
      <c r="O868" t="n">
        <v>0</v>
      </c>
      <c r="P868" t="n">
        <v>0</v>
      </c>
      <c r="Q868" t="n">
        <v>0</v>
      </c>
      <c r="R868" t="n">
        <v>0</v>
      </c>
      <c r="S868" t="n">
        <v>0</v>
      </c>
      <c r="T868" t="n">
        <v>0</v>
      </c>
      <c r="U868" t="n">
        <v>0</v>
      </c>
      <c r="V868" s="2" t="inlineStr"/>
    </row>
    <row r="869" ht="15" customHeight="1">
      <c r="A869" t="inlineStr">
        <is>
          <t>A 46790-2024</t>
        </is>
      </c>
      <c r="B869" t="inlineStr">
        <is>
          <t>avverkningsanmälan</t>
        </is>
      </c>
      <c r="C869" t="inlineStr">
        <is>
          <t>Föryngringsavverkning</t>
        </is>
      </c>
      <c r="D869" s="1" t="n">
        <v>45583</v>
      </c>
      <c r="E869" s="1" t="n">
        <v>46313</v>
      </c>
      <c r="F869" t="inlineStr">
        <is>
          <t>VÄRMLANDS LÄN</t>
        </is>
      </c>
      <c r="G869" t="inlineStr">
        <is>
          <t>SUNNE</t>
        </is>
      </c>
      <c r="H869" t="inlineStr">
        <is>
          <t>Kommuner</t>
        </is>
      </c>
      <c r="I869" t="n">
        <v>1</v>
      </c>
      <c r="J869" t="n">
        <v>0</v>
      </c>
      <c r="K869" t="n">
        <v>0</v>
      </c>
      <c r="L869" t="n">
        <v>0</v>
      </c>
      <c r="M869" t="n">
        <v>0</v>
      </c>
      <c r="N869" t="n">
        <v>0</v>
      </c>
      <c r="O869" t="n">
        <v>0</v>
      </c>
      <c r="P869" t="n">
        <v>0</v>
      </c>
      <c r="Q869" t="n">
        <v>0</v>
      </c>
      <c r="R869" t="n">
        <v>0</v>
      </c>
      <c r="S869" t="n">
        <v>0</v>
      </c>
      <c r="T869" t="n">
        <v>0</v>
      </c>
      <c r="U869" t="n">
        <v>0</v>
      </c>
      <c r="V869" s="2" t="inlineStr"/>
    </row>
    <row r="870" ht="15" customHeight="1">
      <c r="A870" t="inlineStr">
        <is>
          <t>A 60999-2024</t>
        </is>
      </c>
      <c r="B870" t="inlineStr">
        <is>
          <t>avverkningsanmälan</t>
        </is>
      </c>
      <c r="C870" t="inlineStr">
        <is>
          <t>Föryngringsavverkning</t>
        </is>
      </c>
      <c r="D870" s="1" t="n">
        <v>45645</v>
      </c>
      <c r="E870" s="1" t="n">
        <v>46313</v>
      </c>
      <c r="F870" t="inlineStr">
        <is>
          <t>VÄRMLANDS LÄN</t>
        </is>
      </c>
      <c r="G870" t="inlineStr">
        <is>
          <t>SUNNE</t>
        </is>
      </c>
      <c r="I870" t="n">
        <v>1.2</v>
      </c>
      <c r="J870" t="n">
        <v>0</v>
      </c>
      <c r="K870" t="n">
        <v>0</v>
      </c>
      <c r="L870" t="n">
        <v>0</v>
      </c>
      <c r="M870" t="n">
        <v>0</v>
      </c>
      <c r="N870" t="n">
        <v>0</v>
      </c>
      <c r="O870" t="n">
        <v>0</v>
      </c>
      <c r="P870" t="n">
        <v>0</v>
      </c>
      <c r="Q870" t="n">
        <v>0</v>
      </c>
      <c r="R870" t="n">
        <v>0</v>
      </c>
      <c r="S870" t="n">
        <v>0</v>
      </c>
      <c r="T870" t="n">
        <v>0</v>
      </c>
      <c r="U870" t="n">
        <v>0</v>
      </c>
      <c r="V870" s="2" t="inlineStr"/>
    </row>
    <row r="871" ht="15" customHeight="1">
      <c r="A871" t="inlineStr">
        <is>
          <t>A 18740-2024</t>
        </is>
      </c>
      <c r="B871" t="inlineStr">
        <is>
          <t>avverkningsanmälan</t>
        </is>
      </c>
      <c r="C871" t="inlineStr">
        <is>
          <t>Föryngringsavverkning</t>
        </is>
      </c>
      <c r="D871" s="1" t="n">
        <v>45426</v>
      </c>
      <c r="E871" s="1" t="n">
        <v>46313</v>
      </c>
      <c r="F871" t="inlineStr">
        <is>
          <t>VÄRMLANDS LÄN</t>
        </is>
      </c>
      <c r="G871" t="inlineStr">
        <is>
          <t>SUNNE</t>
        </is>
      </c>
      <c r="I871" t="n">
        <v>1.7</v>
      </c>
      <c r="J871" t="n">
        <v>0</v>
      </c>
      <c r="K871" t="n">
        <v>0</v>
      </c>
      <c r="L871" t="n">
        <v>0</v>
      </c>
      <c r="M871" t="n">
        <v>0</v>
      </c>
      <c r="N871" t="n">
        <v>0</v>
      </c>
      <c r="O871" t="n">
        <v>0</v>
      </c>
      <c r="P871" t="n">
        <v>0</v>
      </c>
      <c r="Q871" t="n">
        <v>0</v>
      </c>
      <c r="R871" t="n">
        <v>0</v>
      </c>
      <c r="S871" t="n">
        <v>0</v>
      </c>
      <c r="T871" t="n">
        <v>0</v>
      </c>
      <c r="U871" t="n">
        <v>0</v>
      </c>
      <c r="V871" s="2" t="inlineStr"/>
    </row>
    <row r="872" ht="15" customHeight="1">
      <c r="A872" t="inlineStr">
        <is>
          <t>A 1759-2022</t>
        </is>
      </c>
      <c r="B872" t="inlineStr">
        <is>
          <t>avverkningsanmälan</t>
        </is>
      </c>
      <c r="C872" t="inlineStr">
        <is>
          <t>Föryngringsavverkning</t>
        </is>
      </c>
      <c r="D872" s="1" t="n">
        <v>44574</v>
      </c>
      <c r="E872" s="1" t="n">
        <v>46313</v>
      </c>
      <c r="F872" t="inlineStr">
        <is>
          <t>VÄRMLANDS LÄN</t>
        </is>
      </c>
      <c r="G872" t="inlineStr">
        <is>
          <t>SUNNE</t>
        </is>
      </c>
      <c r="I872" t="n">
        <v>1.3</v>
      </c>
      <c r="J872" t="n">
        <v>0</v>
      </c>
      <c r="K872" t="n">
        <v>0</v>
      </c>
      <c r="L872" t="n">
        <v>0</v>
      </c>
      <c r="M872" t="n">
        <v>0</v>
      </c>
      <c r="N872" t="n">
        <v>0</v>
      </c>
      <c r="O872" t="n">
        <v>0</v>
      </c>
      <c r="P872" t="n">
        <v>0</v>
      </c>
      <c r="Q872" t="n">
        <v>0</v>
      </c>
      <c r="R872" t="n">
        <v>0</v>
      </c>
      <c r="S872" t="n">
        <v>0</v>
      </c>
      <c r="T872" t="n">
        <v>0</v>
      </c>
      <c r="U872" t="n">
        <v>0</v>
      </c>
      <c r="V872" s="2" t="inlineStr"/>
    </row>
    <row r="873" ht="15" customHeight="1">
      <c r="A873" t="inlineStr">
        <is>
          <t>A 2519-2022</t>
        </is>
      </c>
      <c r="B873" t="inlineStr">
        <is>
          <t>avverkningsanmälan</t>
        </is>
      </c>
      <c r="C873" t="inlineStr">
        <is>
          <t>Föryngringsavverkning</t>
        </is>
      </c>
      <c r="D873" s="1" t="n">
        <v>44579</v>
      </c>
      <c r="E873" s="1" t="n">
        <v>46313</v>
      </c>
      <c r="F873" t="inlineStr">
        <is>
          <t>VÄRMLANDS LÄN</t>
        </is>
      </c>
      <c r="G873" t="inlineStr">
        <is>
          <t>SUNNE</t>
        </is>
      </c>
      <c r="I873" t="n">
        <v>0.8</v>
      </c>
      <c r="J873" t="n">
        <v>0</v>
      </c>
      <c r="K873" t="n">
        <v>0</v>
      </c>
      <c r="L873" t="n">
        <v>0</v>
      </c>
      <c r="M873" t="n">
        <v>0</v>
      </c>
      <c r="N873" t="n">
        <v>0</v>
      </c>
      <c r="O873" t="n">
        <v>0</v>
      </c>
      <c r="P873" t="n">
        <v>0</v>
      </c>
      <c r="Q873" t="n">
        <v>0</v>
      </c>
      <c r="R873" t="n">
        <v>0</v>
      </c>
      <c r="S873" t="n">
        <v>0</v>
      </c>
      <c r="T873" t="n">
        <v>0</v>
      </c>
      <c r="U873" t="n">
        <v>0</v>
      </c>
      <c r="V873" s="2" t="inlineStr"/>
    </row>
    <row r="874" ht="15" customHeight="1">
      <c r="A874" t="inlineStr">
        <is>
          <t>A 11505-2024</t>
        </is>
      </c>
      <c r="B874" t="inlineStr">
        <is>
          <t>avverkningsanmälan</t>
        </is>
      </c>
      <c r="C874" t="inlineStr">
        <is>
          <t>Avverkning för annat ändamål</t>
        </is>
      </c>
      <c r="D874" s="1" t="n">
        <v>45372</v>
      </c>
      <c r="E874" s="1" t="n">
        <v>46313</v>
      </c>
      <c r="F874" t="inlineStr">
        <is>
          <t>VÄRMLANDS LÄN</t>
        </is>
      </c>
      <c r="G874" t="inlineStr">
        <is>
          <t>SUNNE</t>
        </is>
      </c>
      <c r="I874" t="n">
        <v>0.2</v>
      </c>
      <c r="J874" t="n">
        <v>0</v>
      </c>
      <c r="K874" t="n">
        <v>0</v>
      </c>
      <c r="L874" t="n">
        <v>0</v>
      </c>
      <c r="M874" t="n">
        <v>0</v>
      </c>
      <c r="N874" t="n">
        <v>0</v>
      </c>
      <c r="O874" t="n">
        <v>0</v>
      </c>
      <c r="P874" t="n">
        <v>0</v>
      </c>
      <c r="Q874" t="n">
        <v>0</v>
      </c>
      <c r="R874" t="n">
        <v>0</v>
      </c>
      <c r="S874" t="n">
        <v>0</v>
      </c>
      <c r="T874" t="n">
        <v>0</v>
      </c>
      <c r="U874" t="n">
        <v>0</v>
      </c>
      <c r="V874" s="2" t="inlineStr"/>
    </row>
    <row r="875" ht="15" customHeight="1">
      <c r="A875" t="inlineStr">
        <is>
          <t>A 7057-2023</t>
        </is>
      </c>
      <c r="B875" t="inlineStr">
        <is>
          <t>avverkningsanmälan</t>
        </is>
      </c>
      <c r="C875" t="inlineStr">
        <is>
          <t>Föryngringsavverkning</t>
        </is>
      </c>
      <c r="D875" s="1" t="n">
        <v>44969</v>
      </c>
      <c r="E875" s="1" t="n">
        <v>46313</v>
      </c>
      <c r="F875" t="inlineStr">
        <is>
          <t>VÄRMLANDS LÄN</t>
        </is>
      </c>
      <c r="G875" t="inlineStr">
        <is>
          <t>SUNNE</t>
        </is>
      </c>
      <c r="I875" t="n">
        <v>9.1</v>
      </c>
      <c r="J875" t="n">
        <v>0</v>
      </c>
      <c r="K875" t="n">
        <v>0</v>
      </c>
      <c r="L875" t="n">
        <v>0</v>
      </c>
      <c r="M875" t="n">
        <v>0</v>
      </c>
      <c r="N875" t="n">
        <v>0</v>
      </c>
      <c r="O875" t="n">
        <v>0</v>
      </c>
      <c r="P875" t="n">
        <v>0</v>
      </c>
      <c r="Q875" t="n">
        <v>0</v>
      </c>
      <c r="R875" t="n">
        <v>0</v>
      </c>
      <c r="S875" t="n">
        <v>0</v>
      </c>
      <c r="T875" t="n">
        <v>0</v>
      </c>
      <c r="U875" t="n">
        <v>0</v>
      </c>
      <c r="V875" s="2" t="inlineStr"/>
    </row>
    <row r="876" ht="15" customHeight="1">
      <c r="A876" t="inlineStr">
        <is>
          <t>A 59694-2022</t>
        </is>
      </c>
      <c r="B876" t="inlineStr">
        <is>
          <t>avverkningsanmälan</t>
        </is>
      </c>
      <c r="C876" t="inlineStr">
        <is>
          <t>Föryngringsavverkning</t>
        </is>
      </c>
      <c r="D876" s="1" t="n">
        <v>44908</v>
      </c>
      <c r="E876" s="1" t="n">
        <v>46313</v>
      </c>
      <c r="F876" t="inlineStr">
        <is>
          <t>VÄRMLANDS LÄN</t>
        </is>
      </c>
      <c r="G876" t="inlineStr">
        <is>
          <t>SUNNE</t>
        </is>
      </c>
      <c r="I876" t="n">
        <v>1.6</v>
      </c>
      <c r="J876" t="n">
        <v>0</v>
      </c>
      <c r="K876" t="n">
        <v>0</v>
      </c>
      <c r="L876" t="n">
        <v>0</v>
      </c>
      <c r="M876" t="n">
        <v>0</v>
      </c>
      <c r="N876" t="n">
        <v>0</v>
      </c>
      <c r="O876" t="n">
        <v>0</v>
      </c>
      <c r="P876" t="n">
        <v>0</v>
      </c>
      <c r="Q876" t="n">
        <v>0</v>
      </c>
      <c r="R876" t="n">
        <v>0</v>
      </c>
      <c r="S876" t="n">
        <v>0</v>
      </c>
      <c r="T876" t="n">
        <v>0</v>
      </c>
      <c r="U876" t="n">
        <v>0</v>
      </c>
      <c r="V876" s="2" t="inlineStr"/>
    </row>
    <row r="877" ht="15" customHeight="1">
      <c r="A877" t="inlineStr">
        <is>
          <t>A 56652-2022</t>
        </is>
      </c>
      <c r="B877" t="inlineStr">
        <is>
          <t>avverkningsanmälan</t>
        </is>
      </c>
      <c r="C877" t="inlineStr">
        <is>
          <t>Föryngringsavverkning</t>
        </is>
      </c>
      <c r="D877" s="1" t="n">
        <v>44893</v>
      </c>
      <c r="E877" s="1" t="n">
        <v>46313</v>
      </c>
      <c r="F877" t="inlineStr">
        <is>
          <t>VÄRMLANDS LÄN</t>
        </is>
      </c>
      <c r="G877" t="inlineStr">
        <is>
          <t>SUNNE</t>
        </is>
      </c>
      <c r="I877" t="n">
        <v>1.1</v>
      </c>
      <c r="J877" t="n">
        <v>0</v>
      </c>
      <c r="K877" t="n">
        <v>0</v>
      </c>
      <c r="L877" t="n">
        <v>0</v>
      </c>
      <c r="M877" t="n">
        <v>0</v>
      </c>
      <c r="N877" t="n">
        <v>0</v>
      </c>
      <c r="O877" t="n">
        <v>0</v>
      </c>
      <c r="P877" t="n">
        <v>0</v>
      </c>
      <c r="Q877" t="n">
        <v>0</v>
      </c>
      <c r="R877" t="n">
        <v>0</v>
      </c>
      <c r="S877" t="n">
        <v>0</v>
      </c>
      <c r="T877" t="n">
        <v>0</v>
      </c>
      <c r="U877" t="n">
        <v>0</v>
      </c>
      <c r="V877" s="2" t="inlineStr"/>
    </row>
    <row r="878" ht="15" customHeight="1">
      <c r="A878" t="inlineStr">
        <is>
          <t>A 57939-2022</t>
        </is>
      </c>
      <c r="B878" t="inlineStr">
        <is>
          <t>avverkningsanmälan</t>
        </is>
      </c>
      <c r="C878" t="inlineStr">
        <is>
          <t>Föryngringsavverkning</t>
        </is>
      </c>
      <c r="D878" s="1" t="n">
        <v>44900</v>
      </c>
      <c r="E878" s="1" t="n">
        <v>46313</v>
      </c>
      <c r="F878" t="inlineStr">
        <is>
          <t>VÄRMLANDS LÄN</t>
        </is>
      </c>
      <c r="G878" t="inlineStr">
        <is>
          <t>SUNNE</t>
        </is>
      </c>
      <c r="I878" t="n">
        <v>2.7</v>
      </c>
      <c r="J878" t="n">
        <v>0</v>
      </c>
      <c r="K878" t="n">
        <v>0</v>
      </c>
      <c r="L878" t="n">
        <v>0</v>
      </c>
      <c r="M878" t="n">
        <v>0</v>
      </c>
      <c r="N878" t="n">
        <v>0</v>
      </c>
      <c r="O878" t="n">
        <v>0</v>
      </c>
      <c r="P878" t="n">
        <v>0</v>
      </c>
      <c r="Q878" t="n">
        <v>0</v>
      </c>
      <c r="R878" t="n">
        <v>0</v>
      </c>
      <c r="S878" t="n">
        <v>0</v>
      </c>
      <c r="T878" t="n">
        <v>0</v>
      </c>
      <c r="U878" t="n">
        <v>0</v>
      </c>
      <c r="V878" s="2" t="inlineStr"/>
    </row>
    <row r="879" ht="15" customHeight="1">
      <c r="A879" t="inlineStr">
        <is>
          <t>A 52309-2024</t>
        </is>
      </c>
      <c r="B879" t="inlineStr">
        <is>
          <t>avverkningsanmälan</t>
        </is>
      </c>
      <c r="C879" t="inlineStr">
        <is>
          <t>Föryngringsavverkning</t>
        </is>
      </c>
      <c r="D879" s="1" t="n">
        <v>45608</v>
      </c>
      <c r="E879" s="1" t="n">
        <v>46313</v>
      </c>
      <c r="F879" t="inlineStr">
        <is>
          <t>VÄRMLANDS LÄN</t>
        </is>
      </c>
      <c r="G879" t="inlineStr">
        <is>
          <t>SUNNE</t>
        </is>
      </c>
      <c r="I879" t="n">
        <v>0.7</v>
      </c>
      <c r="J879" t="n">
        <v>0</v>
      </c>
      <c r="K879" t="n">
        <v>0</v>
      </c>
      <c r="L879" t="n">
        <v>0</v>
      </c>
      <c r="M879" t="n">
        <v>0</v>
      </c>
      <c r="N879" t="n">
        <v>0</v>
      </c>
      <c r="O879" t="n">
        <v>0</v>
      </c>
      <c r="P879" t="n">
        <v>0</v>
      </c>
      <c r="Q879" t="n">
        <v>0</v>
      </c>
      <c r="R879" t="n">
        <v>0</v>
      </c>
      <c r="S879" t="n">
        <v>0</v>
      </c>
      <c r="T879" t="n">
        <v>0</v>
      </c>
      <c r="U879" t="n">
        <v>0</v>
      </c>
      <c r="V879" s="2" t="inlineStr"/>
    </row>
    <row r="880" ht="15" customHeight="1">
      <c r="A880" t="inlineStr">
        <is>
          <t>A 31129-2026</t>
        </is>
      </c>
      <c r="B880" t="inlineStr">
        <is>
          <t>avverkningsanmälan</t>
        </is>
      </c>
      <c r="C880" t="inlineStr">
        <is>
          <t>Föryngringsavverkning</t>
        </is>
      </c>
      <c r="D880" s="1" t="n">
        <v>46216</v>
      </c>
      <c r="E880" s="1" t="n">
        <v>46313</v>
      </c>
      <c r="F880" t="inlineStr">
        <is>
          <t>VÄRMLANDS LÄN</t>
        </is>
      </c>
      <c r="G880" t="inlineStr">
        <is>
          <t>SUNNE</t>
        </is>
      </c>
      <c r="H880" t="inlineStr">
        <is>
          <t>Bergvik skog väst AB</t>
        </is>
      </c>
      <c r="I880" t="n">
        <v>8.6</v>
      </c>
      <c r="J880" t="n">
        <v>0</v>
      </c>
      <c r="K880" t="n">
        <v>0</v>
      </c>
      <c r="L880" t="n">
        <v>0</v>
      </c>
      <c r="M880" t="n">
        <v>0</v>
      </c>
      <c r="N880" t="n">
        <v>0</v>
      </c>
      <c r="O880" t="n">
        <v>0</v>
      </c>
      <c r="P880" t="n">
        <v>0</v>
      </c>
      <c r="Q880" t="n">
        <v>0</v>
      </c>
      <c r="R880" t="n">
        <v>0</v>
      </c>
      <c r="S880" t="n">
        <v>0</v>
      </c>
      <c r="T880" t="n">
        <v>0</v>
      </c>
      <c r="U880" t="n">
        <v>0</v>
      </c>
      <c r="V880" s="2" t="inlineStr"/>
    </row>
    <row r="881" ht="15" customHeight="1">
      <c r="A881" t="inlineStr">
        <is>
          <t>A 63095-2023</t>
        </is>
      </c>
      <c r="B881" t="inlineStr">
        <is>
          <t>avverkningsanmälan</t>
        </is>
      </c>
      <c r="C881" t="inlineStr">
        <is>
          <t>Föryngringsavverkning</t>
        </is>
      </c>
      <c r="D881" s="1" t="n">
        <v>45273</v>
      </c>
      <c r="E881" s="1" t="n">
        <v>46313</v>
      </c>
      <c r="F881" t="inlineStr">
        <is>
          <t>VÄRMLANDS LÄN</t>
        </is>
      </c>
      <c r="G881" t="inlineStr">
        <is>
          <t>SUNNE</t>
        </is>
      </c>
      <c r="I881" t="n">
        <v>0.4</v>
      </c>
      <c r="J881" t="n">
        <v>0</v>
      </c>
      <c r="K881" t="n">
        <v>0</v>
      </c>
      <c r="L881" t="n">
        <v>0</v>
      </c>
      <c r="M881" t="n">
        <v>0</v>
      </c>
      <c r="N881" t="n">
        <v>0</v>
      </c>
      <c r="O881" t="n">
        <v>0</v>
      </c>
      <c r="P881" t="n">
        <v>0</v>
      </c>
      <c r="Q881" t="n">
        <v>0</v>
      </c>
      <c r="R881" t="n">
        <v>0</v>
      </c>
      <c r="S881" t="n">
        <v>0</v>
      </c>
      <c r="T881" t="n">
        <v>0</v>
      </c>
      <c r="U881" t="n">
        <v>0</v>
      </c>
      <c r="V881" s="2" t="inlineStr"/>
    </row>
    <row r="882" ht="15" customHeight="1">
      <c r="A882" t="inlineStr">
        <is>
          <t>A 52521-2023</t>
        </is>
      </c>
      <c r="B882" t="inlineStr">
        <is>
          <t>avverkningsanmälan</t>
        </is>
      </c>
      <c r="C882" t="inlineStr">
        <is>
          <t>Föryngringsavverkning</t>
        </is>
      </c>
      <c r="D882" s="1" t="n">
        <v>45225</v>
      </c>
      <c r="E882" s="1" t="n">
        <v>46313</v>
      </c>
      <c r="F882" t="inlineStr">
        <is>
          <t>VÄRMLANDS LÄN</t>
        </is>
      </c>
      <c r="G882" t="inlineStr">
        <is>
          <t>SUNNE</t>
        </is>
      </c>
      <c r="I882" t="n">
        <v>1.1</v>
      </c>
      <c r="J882" t="n">
        <v>0</v>
      </c>
      <c r="K882" t="n">
        <v>0</v>
      </c>
      <c r="L882" t="n">
        <v>0</v>
      </c>
      <c r="M882" t="n">
        <v>0</v>
      </c>
      <c r="N882" t="n">
        <v>0</v>
      </c>
      <c r="O882" t="n">
        <v>0</v>
      </c>
      <c r="P882" t="n">
        <v>0</v>
      </c>
      <c r="Q882" t="n">
        <v>0</v>
      </c>
      <c r="R882" t="n">
        <v>0</v>
      </c>
      <c r="S882" t="n">
        <v>0</v>
      </c>
      <c r="T882" t="n">
        <v>0</v>
      </c>
      <c r="U882" t="n">
        <v>0</v>
      </c>
      <c r="V882" s="2" t="inlineStr"/>
    </row>
    <row r="883" ht="15" customHeight="1">
      <c r="A883" t="inlineStr">
        <is>
          <t>A 62183-2022</t>
        </is>
      </c>
      <c r="B883" t="inlineStr">
        <is>
          <t>avverkningsanmälan</t>
        </is>
      </c>
      <c r="C883" t="inlineStr">
        <is>
          <t>Föryngringsavverkning</t>
        </is>
      </c>
      <c r="D883" s="1" t="n">
        <v>44922</v>
      </c>
      <c r="E883" s="1" t="n">
        <v>46313</v>
      </c>
      <c r="F883" t="inlineStr">
        <is>
          <t>VÄRMLANDS LÄN</t>
        </is>
      </c>
      <c r="G883" t="inlineStr">
        <is>
          <t>SUNNE</t>
        </is>
      </c>
      <c r="I883" t="n">
        <v>0.8</v>
      </c>
      <c r="J883" t="n">
        <v>0</v>
      </c>
      <c r="K883" t="n">
        <v>0</v>
      </c>
      <c r="L883" t="n">
        <v>0</v>
      </c>
      <c r="M883" t="n">
        <v>0</v>
      </c>
      <c r="N883" t="n">
        <v>0</v>
      </c>
      <c r="O883" t="n">
        <v>0</v>
      </c>
      <c r="P883" t="n">
        <v>0</v>
      </c>
      <c r="Q883" t="n">
        <v>0</v>
      </c>
      <c r="R883" t="n">
        <v>0</v>
      </c>
      <c r="S883" t="n">
        <v>0</v>
      </c>
      <c r="T883" t="n">
        <v>0</v>
      </c>
      <c r="U883" t="n">
        <v>0</v>
      </c>
      <c r="V883" s="2" t="inlineStr"/>
    </row>
    <row r="884" ht="15" customHeight="1">
      <c r="A884" t="inlineStr">
        <is>
          <t>A 20236-2022</t>
        </is>
      </c>
      <c r="B884" t="inlineStr">
        <is>
          <t>avverkningsanmälan</t>
        </is>
      </c>
      <c r="C884" t="inlineStr">
        <is>
          <t>Föryngringsavverkning</t>
        </is>
      </c>
      <c r="D884" s="1" t="n">
        <v>44698</v>
      </c>
      <c r="E884" s="1" t="n">
        <v>46313</v>
      </c>
      <c r="F884" t="inlineStr">
        <is>
          <t>VÄRMLANDS LÄN</t>
        </is>
      </c>
      <c r="G884" t="inlineStr">
        <is>
          <t>SUNNE</t>
        </is>
      </c>
      <c r="H884" t="inlineStr">
        <is>
          <t>Övriga Aktiebolag</t>
        </is>
      </c>
      <c r="I884" t="n">
        <v>4.1</v>
      </c>
      <c r="J884" t="n">
        <v>0</v>
      </c>
      <c r="K884" t="n">
        <v>0</v>
      </c>
      <c r="L884" t="n">
        <v>0</v>
      </c>
      <c r="M884" t="n">
        <v>0</v>
      </c>
      <c r="N884" t="n">
        <v>0</v>
      </c>
      <c r="O884" t="n">
        <v>0</v>
      </c>
      <c r="P884" t="n">
        <v>0</v>
      </c>
      <c r="Q884" t="n">
        <v>0</v>
      </c>
      <c r="R884" t="n">
        <v>0</v>
      </c>
      <c r="S884" t="n">
        <v>0</v>
      </c>
      <c r="T884" t="n">
        <v>0</v>
      </c>
      <c r="U884" t="n">
        <v>0</v>
      </c>
      <c r="V884" s="2" t="inlineStr"/>
    </row>
    <row r="885" ht="15" customHeight="1">
      <c r="A885" t="inlineStr">
        <is>
          <t>A 23406-2022</t>
        </is>
      </c>
      <c r="B885" t="inlineStr">
        <is>
          <t>avverkningsanmälan</t>
        </is>
      </c>
      <c r="C885" t="inlineStr">
        <is>
          <t>Föryngringsavverkning</t>
        </is>
      </c>
      <c r="D885" s="1" t="n">
        <v>44720</v>
      </c>
      <c r="E885" s="1" t="n">
        <v>46313</v>
      </c>
      <c r="F885" t="inlineStr">
        <is>
          <t>VÄRMLANDS LÄN</t>
        </is>
      </c>
      <c r="G885" t="inlineStr">
        <is>
          <t>SUNNE</t>
        </is>
      </c>
      <c r="I885" t="n">
        <v>1.9</v>
      </c>
      <c r="J885" t="n">
        <v>0</v>
      </c>
      <c r="K885" t="n">
        <v>0</v>
      </c>
      <c r="L885" t="n">
        <v>0</v>
      </c>
      <c r="M885" t="n">
        <v>0</v>
      </c>
      <c r="N885" t="n">
        <v>0</v>
      </c>
      <c r="O885" t="n">
        <v>0</v>
      </c>
      <c r="P885" t="n">
        <v>0</v>
      </c>
      <c r="Q885" t="n">
        <v>0</v>
      </c>
      <c r="R885" t="n">
        <v>0</v>
      </c>
      <c r="S885" t="n">
        <v>0</v>
      </c>
      <c r="T885" t="n">
        <v>0</v>
      </c>
      <c r="U885" t="n">
        <v>0</v>
      </c>
      <c r="V885" s="2" t="inlineStr"/>
    </row>
    <row r="886" ht="15" customHeight="1">
      <c r="A886" t="inlineStr">
        <is>
          <t>A 60701-2024</t>
        </is>
      </c>
      <c r="B886" t="inlineStr">
        <is>
          <t>avverkningsanmälan</t>
        </is>
      </c>
      <c r="C886" t="inlineStr">
        <is>
          <t>Föryngringsavverkning</t>
        </is>
      </c>
      <c r="D886" s="1" t="n">
        <v>45644</v>
      </c>
      <c r="E886" s="1" t="n">
        <v>46313</v>
      </c>
      <c r="F886" t="inlineStr">
        <is>
          <t>VÄRMLANDS LÄN</t>
        </is>
      </c>
      <c r="G886" t="inlineStr">
        <is>
          <t>SUNNE</t>
        </is>
      </c>
      <c r="I886" t="n">
        <v>0.5</v>
      </c>
      <c r="J886" t="n">
        <v>0</v>
      </c>
      <c r="K886" t="n">
        <v>0</v>
      </c>
      <c r="L886" t="n">
        <v>0</v>
      </c>
      <c r="M886" t="n">
        <v>0</v>
      </c>
      <c r="N886" t="n">
        <v>0</v>
      </c>
      <c r="O886" t="n">
        <v>0</v>
      </c>
      <c r="P886" t="n">
        <v>0</v>
      </c>
      <c r="Q886" t="n">
        <v>0</v>
      </c>
      <c r="R886" t="n">
        <v>0</v>
      </c>
      <c r="S886" t="n">
        <v>0</v>
      </c>
      <c r="T886" t="n">
        <v>0</v>
      </c>
      <c r="U886" t="n">
        <v>0</v>
      </c>
      <c r="V886" s="2" t="inlineStr"/>
    </row>
    <row r="887" ht="15" customHeight="1">
      <c r="A887" t="inlineStr">
        <is>
          <t>A 50346-2023</t>
        </is>
      </c>
      <c r="B887" t="inlineStr">
        <is>
          <t>avverkningsanmälan</t>
        </is>
      </c>
      <c r="C887" t="inlineStr">
        <is>
          <t>Föryngringsavverkning</t>
        </is>
      </c>
      <c r="D887" s="1" t="n">
        <v>45216</v>
      </c>
      <c r="E887" s="1" t="n">
        <v>46313</v>
      </c>
      <c r="F887" t="inlineStr">
        <is>
          <t>VÄRMLANDS LÄN</t>
        </is>
      </c>
      <c r="G887" t="inlineStr">
        <is>
          <t>SUNNE</t>
        </is>
      </c>
      <c r="I887" t="n">
        <v>0.9</v>
      </c>
      <c r="J887" t="n">
        <v>0</v>
      </c>
      <c r="K887" t="n">
        <v>0</v>
      </c>
      <c r="L887" t="n">
        <v>0</v>
      </c>
      <c r="M887" t="n">
        <v>0</v>
      </c>
      <c r="N887" t="n">
        <v>0</v>
      </c>
      <c r="O887" t="n">
        <v>0</v>
      </c>
      <c r="P887" t="n">
        <v>0</v>
      </c>
      <c r="Q887" t="n">
        <v>0</v>
      </c>
      <c r="R887" t="n">
        <v>0</v>
      </c>
      <c r="S887" t="n">
        <v>0</v>
      </c>
      <c r="T887" t="n">
        <v>0</v>
      </c>
      <c r="U887" t="n">
        <v>0</v>
      </c>
      <c r="V887" s="2" t="inlineStr"/>
    </row>
    <row r="888" ht="15" customHeight="1">
      <c r="A888" t="inlineStr">
        <is>
          <t>A 31305-2026</t>
        </is>
      </c>
      <c r="B888" t="inlineStr">
        <is>
          <t>avverkningsanmälan</t>
        </is>
      </c>
      <c r="C888" t="inlineStr">
        <is>
          <t>Föryngringsavverkning</t>
        </is>
      </c>
      <c r="D888" s="1" t="n">
        <v>46218</v>
      </c>
      <c r="E888" s="1" t="n">
        <v>46313</v>
      </c>
      <c r="F888" t="inlineStr">
        <is>
          <t>VÄRMLANDS LÄN</t>
        </is>
      </c>
      <c r="G888" t="inlineStr">
        <is>
          <t>SUNNE</t>
        </is>
      </c>
      <c r="I888" t="n">
        <v>2.4</v>
      </c>
      <c r="J888" t="n">
        <v>0</v>
      </c>
      <c r="K888" t="n">
        <v>0</v>
      </c>
      <c r="L888" t="n">
        <v>0</v>
      </c>
      <c r="M888" t="n">
        <v>0</v>
      </c>
      <c r="N888" t="n">
        <v>0</v>
      </c>
      <c r="O888" t="n">
        <v>0</v>
      </c>
      <c r="P888" t="n">
        <v>0</v>
      </c>
      <c r="Q888" t="n">
        <v>0</v>
      </c>
      <c r="R888" t="n">
        <v>0</v>
      </c>
      <c r="S888" t="n">
        <v>0</v>
      </c>
      <c r="T888" t="n">
        <v>0</v>
      </c>
      <c r="U888" t="n">
        <v>0</v>
      </c>
      <c r="V888" s="2" t="inlineStr"/>
    </row>
    <row r="889" ht="15" customHeight="1">
      <c r="A889" t="inlineStr">
        <is>
          <t>A 47456-2023</t>
        </is>
      </c>
      <c r="B889" t="inlineStr">
        <is>
          <t>avverkningsanmälan</t>
        </is>
      </c>
      <c r="C889" t="inlineStr">
        <is>
          <t>Föryngringsavverkning</t>
        </is>
      </c>
      <c r="D889" s="1" t="n">
        <v>45202</v>
      </c>
      <c r="E889" s="1" t="n">
        <v>46313</v>
      </c>
      <c r="F889" t="inlineStr">
        <is>
          <t>VÄRMLANDS LÄN</t>
        </is>
      </c>
      <c r="G889" t="inlineStr">
        <is>
          <t>SUNNE</t>
        </is>
      </c>
      <c r="I889" t="n">
        <v>2.3</v>
      </c>
      <c r="J889" t="n">
        <v>0</v>
      </c>
      <c r="K889" t="n">
        <v>0</v>
      </c>
      <c r="L889" t="n">
        <v>0</v>
      </c>
      <c r="M889" t="n">
        <v>0</v>
      </c>
      <c r="N889" t="n">
        <v>0</v>
      </c>
      <c r="O889" t="n">
        <v>0</v>
      </c>
      <c r="P889" t="n">
        <v>0</v>
      </c>
      <c r="Q889" t="n">
        <v>0</v>
      </c>
      <c r="R889" t="n">
        <v>0</v>
      </c>
      <c r="S889" t="n">
        <v>0</v>
      </c>
      <c r="T889" t="n">
        <v>0</v>
      </c>
      <c r="U889" t="n">
        <v>0</v>
      </c>
      <c r="V889" s="2" t="inlineStr"/>
    </row>
    <row r="890" ht="15" customHeight="1">
      <c r="A890" t="inlineStr">
        <is>
          <t>A 6697-2022</t>
        </is>
      </c>
      <c r="B890" t="inlineStr">
        <is>
          <t>avverkningsanmälan</t>
        </is>
      </c>
      <c r="C890" t="inlineStr">
        <is>
          <t>Föryngringsavverkning</t>
        </is>
      </c>
      <c r="D890" s="1" t="n">
        <v>44602</v>
      </c>
      <c r="E890" s="1" t="n">
        <v>46313</v>
      </c>
      <c r="F890" t="inlineStr">
        <is>
          <t>VÄRMLANDS LÄN</t>
        </is>
      </c>
      <c r="G890" t="inlineStr">
        <is>
          <t>SUNNE</t>
        </is>
      </c>
      <c r="I890" t="n">
        <v>1</v>
      </c>
      <c r="J890" t="n">
        <v>0</v>
      </c>
      <c r="K890" t="n">
        <v>0</v>
      </c>
      <c r="L890" t="n">
        <v>0</v>
      </c>
      <c r="M890" t="n">
        <v>0</v>
      </c>
      <c r="N890" t="n">
        <v>0</v>
      </c>
      <c r="O890" t="n">
        <v>0</v>
      </c>
      <c r="P890" t="n">
        <v>0</v>
      </c>
      <c r="Q890" t="n">
        <v>0</v>
      </c>
      <c r="R890" t="n">
        <v>0</v>
      </c>
      <c r="S890" t="n">
        <v>0</v>
      </c>
      <c r="T890" t="n">
        <v>0</v>
      </c>
      <c r="U890" t="n">
        <v>0</v>
      </c>
      <c r="V890" s="2" t="inlineStr"/>
    </row>
    <row r="891" ht="15" customHeight="1">
      <c r="A891" t="inlineStr">
        <is>
          <t>A 31451-2026</t>
        </is>
      </c>
      <c r="B891" t="inlineStr">
        <is>
          <t>avverkningsanmälan</t>
        </is>
      </c>
      <c r="C891" t="inlineStr">
        <is>
          <t>Föryngringsavverkning</t>
        </is>
      </c>
      <c r="D891" s="1" t="n">
        <v>46220</v>
      </c>
      <c r="E891" s="1" t="n">
        <v>46313</v>
      </c>
      <c r="F891" t="inlineStr">
        <is>
          <t>VÄRMLANDS LÄN</t>
        </is>
      </c>
      <c r="G891" t="inlineStr">
        <is>
          <t>SUNNE</t>
        </is>
      </c>
      <c r="H891" t="inlineStr">
        <is>
          <t>Bergvik skog väst AB</t>
        </is>
      </c>
      <c r="I891" t="n">
        <v>1.6</v>
      </c>
      <c r="J891" t="n">
        <v>0</v>
      </c>
      <c r="K891" t="n">
        <v>0</v>
      </c>
      <c r="L891" t="n">
        <v>0</v>
      </c>
      <c r="M891" t="n">
        <v>0</v>
      </c>
      <c r="N891" t="n">
        <v>0</v>
      </c>
      <c r="O891" t="n">
        <v>0</v>
      </c>
      <c r="P891" t="n">
        <v>0</v>
      </c>
      <c r="Q891" t="n">
        <v>0</v>
      </c>
      <c r="R891" t="n">
        <v>0</v>
      </c>
      <c r="S891" t="n">
        <v>0</v>
      </c>
      <c r="T891" t="n">
        <v>0</v>
      </c>
      <c r="U891" t="n">
        <v>0</v>
      </c>
      <c r="V891" s="2" t="inlineStr"/>
    </row>
    <row r="892" ht="15" customHeight="1">
      <c r="A892" t="inlineStr">
        <is>
          <t>A 15752-2025</t>
        </is>
      </c>
      <c r="B892" t="inlineStr">
        <is>
          <t>avverkningsanmälan</t>
        </is>
      </c>
      <c r="C892" t="inlineStr">
        <is>
          <t>Föryngringsavverkning</t>
        </is>
      </c>
      <c r="D892" s="1" t="n">
        <v>45748</v>
      </c>
      <c r="E892" s="1" t="n">
        <v>46313</v>
      </c>
      <c r="F892" t="inlineStr">
        <is>
          <t>VÄRMLANDS LÄN</t>
        </is>
      </c>
      <c r="G892" t="inlineStr">
        <is>
          <t>SUNNE</t>
        </is>
      </c>
      <c r="I892" t="n">
        <v>1.1</v>
      </c>
      <c r="J892" t="n">
        <v>0</v>
      </c>
      <c r="K892" t="n">
        <v>0</v>
      </c>
      <c r="L892" t="n">
        <v>0</v>
      </c>
      <c r="M892" t="n">
        <v>0</v>
      </c>
      <c r="N892" t="n">
        <v>0</v>
      </c>
      <c r="O892" t="n">
        <v>0</v>
      </c>
      <c r="P892" t="n">
        <v>0</v>
      </c>
      <c r="Q892" t="n">
        <v>0</v>
      </c>
      <c r="R892" t="n">
        <v>0</v>
      </c>
      <c r="S892" t="n">
        <v>0</v>
      </c>
      <c r="T892" t="n">
        <v>0</v>
      </c>
      <c r="U892" t="n">
        <v>0</v>
      </c>
      <c r="V892" s="2" t="inlineStr"/>
    </row>
    <row r="893" ht="15" customHeight="1">
      <c r="A893" t="inlineStr">
        <is>
          <t>A 6566-2023</t>
        </is>
      </c>
      <c r="B893" t="inlineStr">
        <is>
          <t>avverkningsanmälan</t>
        </is>
      </c>
      <c r="C893" t="inlineStr">
        <is>
          <t>Föryngringsavverkning</t>
        </is>
      </c>
      <c r="D893" s="1" t="n">
        <v>44966</v>
      </c>
      <c r="E893" s="1" t="n">
        <v>46313</v>
      </c>
      <c r="F893" t="inlineStr">
        <is>
          <t>VÄRMLANDS LÄN</t>
        </is>
      </c>
      <c r="G893" t="inlineStr">
        <is>
          <t>SUNNE</t>
        </is>
      </c>
      <c r="I893" t="n">
        <v>1.5</v>
      </c>
      <c r="J893" t="n">
        <v>0</v>
      </c>
      <c r="K893" t="n">
        <v>0</v>
      </c>
      <c r="L893" t="n">
        <v>0</v>
      </c>
      <c r="M893" t="n">
        <v>0</v>
      </c>
      <c r="N893" t="n">
        <v>0</v>
      </c>
      <c r="O893" t="n">
        <v>0</v>
      </c>
      <c r="P893" t="n">
        <v>0</v>
      </c>
      <c r="Q893" t="n">
        <v>0</v>
      </c>
      <c r="R893" t="n">
        <v>0</v>
      </c>
      <c r="S893" t="n">
        <v>0</v>
      </c>
      <c r="T893" t="n">
        <v>0</v>
      </c>
      <c r="U893" t="n">
        <v>0</v>
      </c>
      <c r="V893" s="2" t="inlineStr"/>
    </row>
    <row r="894" ht="15" customHeight="1">
      <c r="A894" t="inlineStr">
        <is>
          <t>A 31355-2026</t>
        </is>
      </c>
      <c r="B894" t="inlineStr">
        <is>
          <t>avverkningsanmälan</t>
        </is>
      </c>
      <c r="C894" t="inlineStr">
        <is>
          <t>Föryngringsavverkning</t>
        </is>
      </c>
      <c r="D894" s="1" t="n">
        <v>46219</v>
      </c>
      <c r="E894" s="1" t="n">
        <v>46313</v>
      </c>
      <c r="F894" t="inlineStr">
        <is>
          <t>VÄRMLANDS LÄN</t>
        </is>
      </c>
      <c r="G894" t="inlineStr">
        <is>
          <t>SUNNE</t>
        </is>
      </c>
      <c r="H894" t="inlineStr">
        <is>
          <t>Bergvik skog väst AB</t>
        </is>
      </c>
      <c r="I894" t="n">
        <v>1.8</v>
      </c>
      <c r="J894" t="n">
        <v>0</v>
      </c>
      <c r="K894" t="n">
        <v>0</v>
      </c>
      <c r="L894" t="n">
        <v>0</v>
      </c>
      <c r="M894" t="n">
        <v>0</v>
      </c>
      <c r="N894" t="n">
        <v>0</v>
      </c>
      <c r="O894" t="n">
        <v>0</v>
      </c>
      <c r="P894" t="n">
        <v>0</v>
      </c>
      <c r="Q894" t="n">
        <v>0</v>
      </c>
      <c r="R894" t="n">
        <v>0</v>
      </c>
      <c r="S894" t="n">
        <v>0</v>
      </c>
      <c r="T894" t="n">
        <v>0</v>
      </c>
      <c r="U894" t="n">
        <v>0</v>
      </c>
      <c r="V894" s="2" t="inlineStr"/>
    </row>
    <row r="895" ht="15" customHeight="1">
      <c r="A895" t="inlineStr">
        <is>
          <t>A 19494-2023</t>
        </is>
      </c>
      <c r="B895" t="inlineStr">
        <is>
          <t>avverkningsanmälan</t>
        </is>
      </c>
      <c r="C895" t="inlineStr">
        <is>
          <t>Föryngringsavverkning</t>
        </is>
      </c>
      <c r="D895" s="1" t="n">
        <v>45050</v>
      </c>
      <c r="E895" s="1" t="n">
        <v>46313</v>
      </c>
      <c r="F895" t="inlineStr">
        <is>
          <t>VÄRMLANDS LÄN</t>
        </is>
      </c>
      <c r="G895" t="inlineStr">
        <is>
          <t>SUNNE</t>
        </is>
      </c>
      <c r="I895" t="n">
        <v>1</v>
      </c>
      <c r="J895" t="n">
        <v>0</v>
      </c>
      <c r="K895" t="n">
        <v>0</v>
      </c>
      <c r="L895" t="n">
        <v>0</v>
      </c>
      <c r="M895" t="n">
        <v>0</v>
      </c>
      <c r="N895" t="n">
        <v>0</v>
      </c>
      <c r="O895" t="n">
        <v>0</v>
      </c>
      <c r="P895" t="n">
        <v>0</v>
      </c>
      <c r="Q895" t="n">
        <v>0</v>
      </c>
      <c r="R895" t="n">
        <v>0</v>
      </c>
      <c r="S895" t="n">
        <v>0</v>
      </c>
      <c r="T895" t="n">
        <v>0</v>
      </c>
      <c r="U895" t="n">
        <v>0</v>
      </c>
      <c r="V895" s="2" t="inlineStr"/>
    </row>
    <row r="896" ht="15" customHeight="1">
      <c r="A896" t="inlineStr">
        <is>
          <t>A 60014-2025</t>
        </is>
      </c>
      <c r="B896" t="inlineStr">
        <is>
          <t>avverkningsanmälan</t>
        </is>
      </c>
      <c r="C896" t="inlineStr">
        <is>
          <t>Föryngringsavverkning</t>
        </is>
      </c>
      <c r="D896" s="1" t="n">
        <v>45993</v>
      </c>
      <c r="E896" s="1" t="n">
        <v>46313</v>
      </c>
      <c r="F896" t="inlineStr">
        <is>
          <t>VÄRMLANDS LÄN</t>
        </is>
      </c>
      <c r="G896" t="inlineStr">
        <is>
          <t>SUNNE</t>
        </is>
      </c>
      <c r="I896" t="n">
        <v>2</v>
      </c>
      <c r="J896" t="n">
        <v>0</v>
      </c>
      <c r="K896" t="n">
        <v>0</v>
      </c>
      <c r="L896" t="n">
        <v>0</v>
      </c>
      <c r="M896" t="n">
        <v>0</v>
      </c>
      <c r="N896" t="n">
        <v>0</v>
      </c>
      <c r="O896" t="n">
        <v>0</v>
      </c>
      <c r="P896" t="n">
        <v>0</v>
      </c>
      <c r="Q896" t="n">
        <v>0</v>
      </c>
      <c r="R896" t="n">
        <v>0</v>
      </c>
      <c r="S896" t="n">
        <v>0</v>
      </c>
      <c r="T896" t="n">
        <v>0</v>
      </c>
      <c r="U896" t="n">
        <v>0</v>
      </c>
      <c r="V896" s="2" t="inlineStr"/>
    </row>
    <row r="897" ht="15" customHeight="1">
      <c r="A897" t="inlineStr">
        <is>
          <t>A 50753-2024</t>
        </is>
      </c>
      <c r="B897" t="inlineStr">
        <is>
          <t>avverkningsanmälan</t>
        </is>
      </c>
      <c r="C897" t="inlineStr">
        <is>
          <t>Föryngringsavverkning</t>
        </is>
      </c>
      <c r="D897" s="1" t="n">
        <v>45602</v>
      </c>
      <c r="E897" s="1" t="n">
        <v>46313</v>
      </c>
      <c r="F897" t="inlineStr">
        <is>
          <t>VÄRMLANDS LÄN</t>
        </is>
      </c>
      <c r="G897" t="inlineStr">
        <is>
          <t>SUNNE</t>
        </is>
      </c>
      <c r="I897" t="n">
        <v>0.6</v>
      </c>
      <c r="J897" t="n">
        <v>0</v>
      </c>
      <c r="K897" t="n">
        <v>0</v>
      </c>
      <c r="L897" t="n">
        <v>0</v>
      </c>
      <c r="M897" t="n">
        <v>0</v>
      </c>
      <c r="N897" t="n">
        <v>0</v>
      </c>
      <c r="O897" t="n">
        <v>0</v>
      </c>
      <c r="P897" t="n">
        <v>0</v>
      </c>
      <c r="Q897" t="n">
        <v>0</v>
      </c>
      <c r="R897" t="n">
        <v>0</v>
      </c>
      <c r="S897" t="n">
        <v>0</v>
      </c>
      <c r="T897" t="n">
        <v>0</v>
      </c>
      <c r="U897" t="n">
        <v>0</v>
      </c>
      <c r="V897" s="2" t="inlineStr"/>
    </row>
    <row r="898" ht="15" customHeight="1">
      <c r="A898" t="inlineStr">
        <is>
          <t>A 45665-2023</t>
        </is>
      </c>
      <c r="B898" t="inlineStr">
        <is>
          <t>avverkningsanmälan</t>
        </is>
      </c>
      <c r="C898" t="inlineStr">
        <is>
          <t>Avverkning för annat ändamål</t>
        </is>
      </c>
      <c r="D898" s="1" t="n">
        <v>45194</v>
      </c>
      <c r="E898" s="1" t="n">
        <v>46313</v>
      </c>
      <c r="F898" t="inlineStr">
        <is>
          <t>VÄRMLANDS LÄN</t>
        </is>
      </c>
      <c r="G898" t="inlineStr">
        <is>
          <t>SUNNE</t>
        </is>
      </c>
      <c r="I898" t="n">
        <v>0.9</v>
      </c>
      <c r="J898" t="n">
        <v>0</v>
      </c>
      <c r="K898" t="n">
        <v>0</v>
      </c>
      <c r="L898" t="n">
        <v>0</v>
      </c>
      <c r="M898" t="n">
        <v>0</v>
      </c>
      <c r="N898" t="n">
        <v>0</v>
      </c>
      <c r="O898" t="n">
        <v>0</v>
      </c>
      <c r="P898" t="n">
        <v>0</v>
      </c>
      <c r="Q898" t="n">
        <v>0</v>
      </c>
      <c r="R898" t="n">
        <v>0</v>
      </c>
      <c r="S898" t="n">
        <v>0</v>
      </c>
      <c r="T898" t="n">
        <v>0</v>
      </c>
      <c r="U898" t="n">
        <v>0</v>
      </c>
      <c r="V898" s="2" t="inlineStr"/>
    </row>
    <row r="899" ht="15" customHeight="1">
      <c r="A899" t="inlineStr">
        <is>
          <t>A 53-2023</t>
        </is>
      </c>
      <c r="B899" t="inlineStr">
        <is>
          <t>avverkningsanmälan</t>
        </is>
      </c>
      <c r="C899" t="inlineStr">
        <is>
          <t>Föryngringsavverkning</t>
        </is>
      </c>
      <c r="D899" s="1" t="n">
        <v>44928</v>
      </c>
      <c r="E899" s="1" t="n">
        <v>46313</v>
      </c>
      <c r="F899" t="inlineStr">
        <is>
          <t>VÄRMLANDS LÄN</t>
        </is>
      </c>
      <c r="G899" t="inlineStr">
        <is>
          <t>SUNNE</t>
        </is>
      </c>
      <c r="I899" t="n">
        <v>1.5</v>
      </c>
      <c r="J899" t="n">
        <v>0</v>
      </c>
      <c r="K899" t="n">
        <v>0</v>
      </c>
      <c r="L899" t="n">
        <v>0</v>
      </c>
      <c r="M899" t="n">
        <v>0</v>
      </c>
      <c r="N899" t="n">
        <v>0</v>
      </c>
      <c r="O899" t="n">
        <v>0</v>
      </c>
      <c r="P899" t="n">
        <v>0</v>
      </c>
      <c r="Q899" t="n">
        <v>0</v>
      </c>
      <c r="R899" t="n">
        <v>0</v>
      </c>
      <c r="S899" t="n">
        <v>0</v>
      </c>
      <c r="T899" t="n">
        <v>0</v>
      </c>
      <c r="U899" t="n">
        <v>0</v>
      </c>
      <c r="V899" s="2" t="inlineStr"/>
    </row>
    <row r="900" ht="15" customHeight="1">
      <c r="A900" t="inlineStr">
        <is>
          <t>A 31263-2026</t>
        </is>
      </c>
      <c r="B900" t="inlineStr">
        <is>
          <t>avverkningsanmälan</t>
        </is>
      </c>
      <c r="C900" t="inlineStr">
        <is>
          <t>Föryngringsavverkning</t>
        </is>
      </c>
      <c r="D900" s="1" t="n">
        <v>46218</v>
      </c>
      <c r="E900" s="1" t="n">
        <v>46313</v>
      </c>
      <c r="F900" t="inlineStr">
        <is>
          <t>VÄRMLANDS LÄN</t>
        </is>
      </c>
      <c r="G900" t="inlineStr">
        <is>
          <t>SUNNE</t>
        </is>
      </c>
      <c r="I900" t="n">
        <v>2.5</v>
      </c>
      <c r="J900" t="n">
        <v>0</v>
      </c>
      <c r="K900" t="n">
        <v>0</v>
      </c>
      <c r="L900" t="n">
        <v>0</v>
      </c>
      <c r="M900" t="n">
        <v>0</v>
      </c>
      <c r="N900" t="n">
        <v>0</v>
      </c>
      <c r="O900" t="n">
        <v>0</v>
      </c>
      <c r="P900" t="n">
        <v>0</v>
      </c>
      <c r="Q900" t="n">
        <v>0</v>
      </c>
      <c r="R900" t="n">
        <v>0</v>
      </c>
      <c r="S900" t="n">
        <v>0</v>
      </c>
      <c r="T900" t="n">
        <v>0</v>
      </c>
      <c r="U900" t="n">
        <v>0</v>
      </c>
      <c r="V900" s="2" t="inlineStr"/>
    </row>
    <row r="901" ht="15" customHeight="1">
      <c r="A901" t="inlineStr">
        <is>
          <t>A 21632-2024</t>
        </is>
      </c>
      <c r="B901" t="inlineStr">
        <is>
          <t>avverkningsanmälan</t>
        </is>
      </c>
      <c r="C901" t="inlineStr">
        <is>
          <t>Föryngringsavverkning</t>
        </is>
      </c>
      <c r="D901" s="1" t="n">
        <v>45442</v>
      </c>
      <c r="E901" s="1" t="n">
        <v>46313</v>
      </c>
      <c r="F901" t="inlineStr">
        <is>
          <t>VÄRMLANDS LÄN</t>
        </is>
      </c>
      <c r="G901" t="inlineStr">
        <is>
          <t>SUNNE</t>
        </is>
      </c>
      <c r="H901" t="inlineStr">
        <is>
          <t>Bergvik skog väst AB</t>
        </is>
      </c>
      <c r="I901" t="n">
        <v>0.7</v>
      </c>
      <c r="J901" t="n">
        <v>0</v>
      </c>
      <c r="K901" t="n">
        <v>0</v>
      </c>
      <c r="L901" t="n">
        <v>0</v>
      </c>
      <c r="M901" t="n">
        <v>0</v>
      </c>
      <c r="N901" t="n">
        <v>0</v>
      </c>
      <c r="O901" t="n">
        <v>0</v>
      </c>
      <c r="P901" t="n">
        <v>0</v>
      </c>
      <c r="Q901" t="n">
        <v>0</v>
      </c>
      <c r="R901" t="n">
        <v>0</v>
      </c>
      <c r="S901" t="n">
        <v>0</v>
      </c>
      <c r="T901" t="n">
        <v>0</v>
      </c>
      <c r="U901" t="n">
        <v>0</v>
      </c>
      <c r="V901" s="2" t="inlineStr"/>
    </row>
    <row r="902" ht="15" customHeight="1">
      <c r="A902" t="inlineStr">
        <is>
          <t>A 4566-2022</t>
        </is>
      </c>
      <c r="B902" t="inlineStr">
        <is>
          <t>avverkningsanmälan</t>
        </is>
      </c>
      <c r="C902" t="inlineStr">
        <is>
          <t>Föryngringsavverkning</t>
        </is>
      </c>
      <c r="D902" s="1" t="n">
        <v>44591</v>
      </c>
      <c r="E902" s="1" t="n">
        <v>46313</v>
      </c>
      <c r="F902" t="inlineStr">
        <is>
          <t>VÄRMLANDS LÄN</t>
        </is>
      </c>
      <c r="G902" t="inlineStr">
        <is>
          <t>SUNNE</t>
        </is>
      </c>
      <c r="I902" t="n">
        <v>2.1</v>
      </c>
      <c r="J902" t="n">
        <v>0</v>
      </c>
      <c r="K902" t="n">
        <v>0</v>
      </c>
      <c r="L902" t="n">
        <v>0</v>
      </c>
      <c r="M902" t="n">
        <v>0</v>
      </c>
      <c r="N902" t="n">
        <v>0</v>
      </c>
      <c r="O902" t="n">
        <v>0</v>
      </c>
      <c r="P902" t="n">
        <v>0</v>
      </c>
      <c r="Q902" t="n">
        <v>0</v>
      </c>
      <c r="R902" t="n">
        <v>0</v>
      </c>
      <c r="S902" t="n">
        <v>0</v>
      </c>
      <c r="T902" t="n">
        <v>0</v>
      </c>
      <c r="U902" t="n">
        <v>0</v>
      </c>
      <c r="V902" s="2" t="inlineStr"/>
    </row>
    <row r="903" ht="15" customHeight="1">
      <c r="A903" t="inlineStr">
        <is>
          <t>A 72781-2021</t>
        </is>
      </c>
      <c r="B903" t="inlineStr">
        <is>
          <t>avverkningsanmälan</t>
        </is>
      </c>
      <c r="C903" t="inlineStr">
        <is>
          <t>Föryngringsavverkning</t>
        </is>
      </c>
      <c r="D903" s="1" t="n">
        <v>44547</v>
      </c>
      <c r="E903" s="1" t="n">
        <v>46313</v>
      </c>
      <c r="F903" t="inlineStr">
        <is>
          <t>VÄRMLANDS LÄN</t>
        </is>
      </c>
      <c r="G903" t="inlineStr">
        <is>
          <t>SUNNE</t>
        </is>
      </c>
      <c r="I903" t="n">
        <v>1</v>
      </c>
      <c r="J903" t="n">
        <v>0</v>
      </c>
      <c r="K903" t="n">
        <v>0</v>
      </c>
      <c r="L903" t="n">
        <v>0</v>
      </c>
      <c r="M903" t="n">
        <v>0</v>
      </c>
      <c r="N903" t="n">
        <v>0</v>
      </c>
      <c r="O903" t="n">
        <v>0</v>
      </c>
      <c r="P903" t="n">
        <v>0</v>
      </c>
      <c r="Q903" t="n">
        <v>0</v>
      </c>
      <c r="R903" t="n">
        <v>0</v>
      </c>
      <c r="S903" t="n">
        <v>0</v>
      </c>
      <c r="T903" t="n">
        <v>0</v>
      </c>
      <c r="U903" t="n">
        <v>0</v>
      </c>
      <c r="V903" s="2" t="inlineStr"/>
    </row>
    <row r="904" ht="15" customHeight="1">
      <c r="A904" t="inlineStr">
        <is>
          <t>A 20156-2023</t>
        </is>
      </c>
      <c r="B904" t="inlineStr">
        <is>
          <t>avverkningsanmälan</t>
        </is>
      </c>
      <c r="C904" t="inlineStr">
        <is>
          <t>Föryngringsavverkning</t>
        </is>
      </c>
      <c r="D904" s="1" t="n">
        <v>45055</v>
      </c>
      <c r="E904" s="1" t="n">
        <v>46313</v>
      </c>
      <c r="F904" t="inlineStr">
        <is>
          <t>VÄRMLANDS LÄN</t>
        </is>
      </c>
      <c r="G904" t="inlineStr">
        <is>
          <t>SUNNE</t>
        </is>
      </c>
      <c r="I904" t="n">
        <v>3.3</v>
      </c>
      <c r="J904" t="n">
        <v>0</v>
      </c>
      <c r="K904" t="n">
        <v>0</v>
      </c>
      <c r="L904" t="n">
        <v>0</v>
      </c>
      <c r="M904" t="n">
        <v>0</v>
      </c>
      <c r="N904" t="n">
        <v>0</v>
      </c>
      <c r="O904" t="n">
        <v>0</v>
      </c>
      <c r="P904" t="n">
        <v>0</v>
      </c>
      <c r="Q904" t="n">
        <v>0</v>
      </c>
      <c r="R904" t="n">
        <v>0</v>
      </c>
      <c r="S904" t="n">
        <v>0</v>
      </c>
      <c r="T904" t="n">
        <v>0</v>
      </c>
      <c r="U904" t="n">
        <v>0</v>
      </c>
      <c r="V904" s="2" t="inlineStr"/>
    </row>
    <row r="905" ht="15" customHeight="1">
      <c r="A905" t="inlineStr">
        <is>
          <t>A 36717-2026</t>
        </is>
      </c>
      <c r="B905" t="inlineStr">
        <is>
          <t>avverkningsanmälan</t>
        </is>
      </c>
      <c r="C905" t="inlineStr">
        <is>
          <t>Föryngringsavverkning</t>
        </is>
      </c>
      <c r="D905" s="1" t="n">
        <v>46272</v>
      </c>
      <c r="E905" s="1" t="n">
        <v>46313</v>
      </c>
      <c r="F905" t="inlineStr">
        <is>
          <t>VÄRMLANDS LÄN</t>
        </is>
      </c>
      <c r="G905" t="inlineStr">
        <is>
          <t>SUNNE</t>
        </is>
      </c>
      <c r="I905" t="n">
        <v>1.5</v>
      </c>
      <c r="J905" t="n">
        <v>0</v>
      </c>
      <c r="K905" t="n">
        <v>0</v>
      </c>
      <c r="L905" t="n">
        <v>0</v>
      </c>
      <c r="M905" t="n">
        <v>0</v>
      </c>
      <c r="N905" t="n">
        <v>0</v>
      </c>
      <c r="O905" t="n">
        <v>0</v>
      </c>
      <c r="P905" t="n">
        <v>0</v>
      </c>
      <c r="Q905" t="n">
        <v>0</v>
      </c>
      <c r="R905" t="n">
        <v>0</v>
      </c>
      <c r="S905" t="n">
        <v>0</v>
      </c>
      <c r="T905" t="n">
        <v>0</v>
      </c>
      <c r="U905" t="n">
        <v>0</v>
      </c>
      <c r="V905" s="2" t="inlineStr"/>
    </row>
    <row r="906" ht="15" customHeight="1">
      <c r="A906" t="inlineStr">
        <is>
          <t>A 10394-2024</t>
        </is>
      </c>
      <c r="B906" t="inlineStr">
        <is>
          <t>avverkningsanmälan</t>
        </is>
      </c>
      <c r="C906" t="inlineStr">
        <is>
          <t>Föryngringsavverkning</t>
        </is>
      </c>
      <c r="D906" s="1" t="n">
        <v>45365</v>
      </c>
      <c r="E906" s="1" t="n">
        <v>46313</v>
      </c>
      <c r="F906" t="inlineStr">
        <is>
          <t>VÄRMLANDS LÄN</t>
        </is>
      </c>
      <c r="G906" t="inlineStr">
        <is>
          <t>SUNNE</t>
        </is>
      </c>
      <c r="I906" t="n">
        <v>1.9</v>
      </c>
      <c r="J906" t="n">
        <v>0</v>
      </c>
      <c r="K906" t="n">
        <v>0</v>
      </c>
      <c r="L906" t="n">
        <v>0</v>
      </c>
      <c r="M906" t="n">
        <v>0</v>
      </c>
      <c r="N906" t="n">
        <v>0</v>
      </c>
      <c r="O906" t="n">
        <v>0</v>
      </c>
      <c r="P906" t="n">
        <v>0</v>
      </c>
      <c r="Q906" t="n">
        <v>0</v>
      </c>
      <c r="R906" t="n">
        <v>0</v>
      </c>
      <c r="S906" t="n">
        <v>0</v>
      </c>
      <c r="T906" t="n">
        <v>0</v>
      </c>
      <c r="U906" t="n">
        <v>0</v>
      </c>
      <c r="V906" s="2" t="inlineStr"/>
    </row>
    <row r="907" ht="15" customHeight="1">
      <c r="A907" t="inlineStr">
        <is>
          <t>A 26608-2023</t>
        </is>
      </c>
      <c r="B907" t="inlineStr">
        <is>
          <t>avverkningsanmälan</t>
        </is>
      </c>
      <c r="C907" t="inlineStr">
        <is>
          <t>Föryngringsavverkning</t>
        </is>
      </c>
      <c r="D907" s="1" t="n">
        <v>45092</v>
      </c>
      <c r="E907" s="1" t="n">
        <v>46313</v>
      </c>
      <c r="F907" t="inlineStr">
        <is>
          <t>VÄRMLANDS LÄN</t>
        </is>
      </c>
      <c r="G907" t="inlineStr">
        <is>
          <t>SUNNE</t>
        </is>
      </c>
      <c r="I907" t="n">
        <v>0.9</v>
      </c>
      <c r="J907" t="n">
        <v>0</v>
      </c>
      <c r="K907" t="n">
        <v>0</v>
      </c>
      <c r="L907" t="n">
        <v>0</v>
      </c>
      <c r="M907" t="n">
        <v>0</v>
      </c>
      <c r="N907" t="n">
        <v>0</v>
      </c>
      <c r="O907" t="n">
        <v>0</v>
      </c>
      <c r="P907" t="n">
        <v>0</v>
      </c>
      <c r="Q907" t="n">
        <v>0</v>
      </c>
      <c r="R907" t="n">
        <v>0</v>
      </c>
      <c r="S907" t="n">
        <v>0</v>
      </c>
      <c r="T907" t="n">
        <v>0</v>
      </c>
      <c r="U907" t="n">
        <v>0</v>
      </c>
      <c r="V907" s="2" t="inlineStr"/>
    </row>
    <row r="908" ht="15" customHeight="1">
      <c r="A908" t="inlineStr">
        <is>
          <t>A 34553-2024</t>
        </is>
      </c>
      <c r="B908" t="inlineStr">
        <is>
          <t>avverkningsanmälan</t>
        </is>
      </c>
      <c r="C908" t="inlineStr">
        <is>
          <t>Föryngringsavverkning</t>
        </is>
      </c>
      <c r="D908" s="1" t="n">
        <v>45525</v>
      </c>
      <c r="E908" s="1" t="n">
        <v>46313</v>
      </c>
      <c r="F908" t="inlineStr">
        <is>
          <t>VÄRMLANDS LÄN</t>
        </is>
      </c>
      <c r="G908" t="inlineStr">
        <is>
          <t>SUNNE</t>
        </is>
      </c>
      <c r="I908" t="n">
        <v>1.8</v>
      </c>
      <c r="J908" t="n">
        <v>0</v>
      </c>
      <c r="K908" t="n">
        <v>0</v>
      </c>
      <c r="L908" t="n">
        <v>0</v>
      </c>
      <c r="M908" t="n">
        <v>0</v>
      </c>
      <c r="N908" t="n">
        <v>0</v>
      </c>
      <c r="O908" t="n">
        <v>0</v>
      </c>
      <c r="P908" t="n">
        <v>0</v>
      </c>
      <c r="Q908" t="n">
        <v>0</v>
      </c>
      <c r="R908" t="n">
        <v>0</v>
      </c>
      <c r="S908" t="n">
        <v>0</v>
      </c>
      <c r="T908" t="n">
        <v>0</v>
      </c>
      <c r="U908" t="n">
        <v>0</v>
      </c>
      <c r="V908" s="2" t="inlineStr"/>
    </row>
    <row r="909" ht="15" customHeight="1">
      <c r="A909" t="inlineStr">
        <is>
          <t>A 42447-2023</t>
        </is>
      </c>
      <c r="B909" t="inlineStr">
        <is>
          <t>avverkningsanmälan</t>
        </is>
      </c>
      <c r="C909" t="inlineStr">
        <is>
          <t>Föryngringsavverkning</t>
        </is>
      </c>
      <c r="D909" s="1" t="n">
        <v>45180</v>
      </c>
      <c r="E909" s="1" t="n">
        <v>46313</v>
      </c>
      <c r="F909" t="inlineStr">
        <is>
          <t>VÄRMLANDS LÄN</t>
        </is>
      </c>
      <c r="G909" t="inlineStr">
        <is>
          <t>SUNNE</t>
        </is>
      </c>
      <c r="I909" t="n">
        <v>1.4</v>
      </c>
      <c r="J909" t="n">
        <v>0</v>
      </c>
      <c r="K909" t="n">
        <v>0</v>
      </c>
      <c r="L909" t="n">
        <v>0</v>
      </c>
      <c r="M909" t="n">
        <v>0</v>
      </c>
      <c r="N909" t="n">
        <v>0</v>
      </c>
      <c r="O909" t="n">
        <v>0</v>
      </c>
      <c r="P909" t="n">
        <v>0</v>
      </c>
      <c r="Q909" t="n">
        <v>0</v>
      </c>
      <c r="R909" t="n">
        <v>0</v>
      </c>
      <c r="S909" t="n">
        <v>0</v>
      </c>
      <c r="T909" t="n">
        <v>0</v>
      </c>
      <c r="U909" t="n">
        <v>0</v>
      </c>
      <c r="V909" s="2" t="inlineStr"/>
    </row>
    <row r="910" ht="15" customHeight="1">
      <c r="A910" t="inlineStr">
        <is>
          <t>A 37026-2026</t>
        </is>
      </c>
      <c r="B910" t="inlineStr">
        <is>
          <t>avverkningsanmälan</t>
        </is>
      </c>
      <c r="C910" t="inlineStr">
        <is>
          <t>Föryngringsavverkning</t>
        </is>
      </c>
      <c r="D910" s="1" t="n">
        <v>46273</v>
      </c>
      <c r="E910" s="1" t="n">
        <v>46313</v>
      </c>
      <c r="F910" t="inlineStr">
        <is>
          <t>VÄRMLANDS LÄN</t>
        </is>
      </c>
      <c r="G910" t="inlineStr">
        <is>
          <t>SUNNE</t>
        </is>
      </c>
      <c r="I910" t="n">
        <v>2.3</v>
      </c>
      <c r="J910" t="n">
        <v>0</v>
      </c>
      <c r="K910" t="n">
        <v>0</v>
      </c>
      <c r="L910" t="n">
        <v>0</v>
      </c>
      <c r="M910" t="n">
        <v>0</v>
      </c>
      <c r="N910" t="n">
        <v>0</v>
      </c>
      <c r="O910" t="n">
        <v>0</v>
      </c>
      <c r="P910" t="n">
        <v>0</v>
      </c>
      <c r="Q910" t="n">
        <v>0</v>
      </c>
      <c r="R910" t="n">
        <v>0</v>
      </c>
      <c r="S910" t="n">
        <v>0</v>
      </c>
      <c r="T910" t="n">
        <v>0</v>
      </c>
      <c r="U910" t="n">
        <v>0</v>
      </c>
      <c r="V910" s="2" t="inlineStr"/>
    </row>
    <row r="911" ht="15" customHeight="1">
      <c r="A911" t="inlineStr">
        <is>
          <t>A 37031-2026</t>
        </is>
      </c>
      <c r="B911" t="inlineStr">
        <is>
          <t>avverkningsanmälan</t>
        </is>
      </c>
      <c r="C911" t="inlineStr">
        <is>
          <t>Föryngringsavverkning</t>
        </is>
      </c>
      <c r="D911" s="1" t="n">
        <v>46273</v>
      </c>
      <c r="E911" s="1" t="n">
        <v>46313</v>
      </c>
      <c r="F911" t="inlineStr">
        <is>
          <t>VÄRMLANDS LÄN</t>
        </is>
      </c>
      <c r="G911" t="inlineStr">
        <is>
          <t>SUNNE</t>
        </is>
      </c>
      <c r="I911" t="n">
        <v>0.8</v>
      </c>
      <c r="J911" t="n">
        <v>0</v>
      </c>
      <c r="K911" t="n">
        <v>0</v>
      </c>
      <c r="L911" t="n">
        <v>0</v>
      </c>
      <c r="M911" t="n">
        <v>0</v>
      </c>
      <c r="N911" t="n">
        <v>0</v>
      </c>
      <c r="O911" t="n">
        <v>0</v>
      </c>
      <c r="P911" t="n">
        <v>0</v>
      </c>
      <c r="Q911" t="n">
        <v>0</v>
      </c>
      <c r="R911" t="n">
        <v>0</v>
      </c>
      <c r="S911" t="n">
        <v>0</v>
      </c>
      <c r="T911" t="n">
        <v>0</v>
      </c>
      <c r="U911" t="n">
        <v>0</v>
      </c>
      <c r="V911" s="2" t="inlineStr"/>
    </row>
    <row r="912" ht="15" customHeight="1">
      <c r="A912" t="inlineStr">
        <is>
          <t>A 1958-2024</t>
        </is>
      </c>
      <c r="B912" t="inlineStr">
        <is>
          <t>avverkningsanmälan</t>
        </is>
      </c>
      <c r="C912" t="inlineStr">
        <is>
          <t>Föryngringsavverkning</t>
        </is>
      </c>
      <c r="D912" s="1" t="n">
        <v>45308</v>
      </c>
      <c r="E912" s="1" t="n">
        <v>46313</v>
      </c>
      <c r="F912" t="inlineStr">
        <is>
          <t>VÄRMLANDS LÄN</t>
        </is>
      </c>
      <c r="G912" t="inlineStr">
        <is>
          <t>SUNNE</t>
        </is>
      </c>
      <c r="I912" t="n">
        <v>1.4</v>
      </c>
      <c r="J912" t="n">
        <v>0</v>
      </c>
      <c r="K912" t="n">
        <v>0</v>
      </c>
      <c r="L912" t="n">
        <v>0</v>
      </c>
      <c r="M912" t="n">
        <v>0</v>
      </c>
      <c r="N912" t="n">
        <v>0</v>
      </c>
      <c r="O912" t="n">
        <v>0</v>
      </c>
      <c r="P912" t="n">
        <v>0</v>
      </c>
      <c r="Q912" t="n">
        <v>0</v>
      </c>
      <c r="R912" t="n">
        <v>0</v>
      </c>
      <c r="S912" t="n">
        <v>0</v>
      </c>
      <c r="T912" t="n">
        <v>0</v>
      </c>
      <c r="U912" t="n">
        <v>0</v>
      </c>
      <c r="V912" s="2" t="inlineStr"/>
    </row>
    <row r="913" ht="15" customHeight="1">
      <c r="A913" t="inlineStr">
        <is>
          <t>A 25797-2024</t>
        </is>
      </c>
      <c r="B913" t="inlineStr">
        <is>
          <t>avverkningsanmälan</t>
        </is>
      </c>
      <c r="C913" t="inlineStr">
        <is>
          <t>Föryngringsavverkning</t>
        </is>
      </c>
      <c r="D913" s="1" t="n">
        <v>45467</v>
      </c>
      <c r="E913" s="1" t="n">
        <v>46313</v>
      </c>
      <c r="F913" t="inlineStr">
        <is>
          <t>VÄRMLANDS LÄN</t>
        </is>
      </c>
      <c r="G913" t="inlineStr">
        <is>
          <t>SUNNE</t>
        </is>
      </c>
      <c r="I913" t="n">
        <v>2.6</v>
      </c>
      <c r="J913" t="n">
        <v>0</v>
      </c>
      <c r="K913" t="n">
        <v>0</v>
      </c>
      <c r="L913" t="n">
        <v>0</v>
      </c>
      <c r="M913" t="n">
        <v>0</v>
      </c>
      <c r="N913" t="n">
        <v>0</v>
      </c>
      <c r="O913" t="n">
        <v>0</v>
      </c>
      <c r="P913" t="n">
        <v>0</v>
      </c>
      <c r="Q913" t="n">
        <v>0</v>
      </c>
      <c r="R913" t="n">
        <v>0</v>
      </c>
      <c r="S913" t="n">
        <v>0</v>
      </c>
      <c r="T913" t="n">
        <v>0</v>
      </c>
      <c r="U913" t="n">
        <v>0</v>
      </c>
      <c r="V913" s="2" t="inlineStr"/>
    </row>
    <row r="914" ht="15" customHeight="1">
      <c r="A914" t="inlineStr">
        <is>
          <t>A 48028-2023</t>
        </is>
      </c>
      <c r="B914" t="inlineStr">
        <is>
          <t>avverkningsanmälan</t>
        </is>
      </c>
      <c r="C914" t="inlineStr">
        <is>
          <t>Föryngringsavverkning</t>
        </is>
      </c>
      <c r="D914" s="1" t="n">
        <v>45204</v>
      </c>
      <c r="E914" s="1" t="n">
        <v>46313</v>
      </c>
      <c r="F914" t="inlineStr">
        <is>
          <t>VÄRMLANDS LÄN</t>
        </is>
      </c>
      <c r="G914" t="inlineStr">
        <is>
          <t>SUNNE</t>
        </is>
      </c>
      <c r="I914" t="n">
        <v>9.199999999999999</v>
      </c>
      <c r="J914" t="n">
        <v>0</v>
      </c>
      <c r="K914" t="n">
        <v>0</v>
      </c>
      <c r="L914" t="n">
        <v>0</v>
      </c>
      <c r="M914" t="n">
        <v>0</v>
      </c>
      <c r="N914" t="n">
        <v>0</v>
      </c>
      <c r="O914" t="n">
        <v>0</v>
      </c>
      <c r="P914" t="n">
        <v>0</v>
      </c>
      <c r="Q914" t="n">
        <v>0</v>
      </c>
      <c r="R914" t="n">
        <v>0</v>
      </c>
      <c r="S914" t="n">
        <v>0</v>
      </c>
      <c r="T914" t="n">
        <v>0</v>
      </c>
      <c r="U914" t="n">
        <v>0</v>
      </c>
      <c r="V914" s="2" t="inlineStr"/>
    </row>
    <row r="915" ht="15" customHeight="1">
      <c r="A915" t="inlineStr">
        <is>
          <t>A 48053-2023</t>
        </is>
      </c>
      <c r="B915" t="inlineStr">
        <is>
          <t>avverkningsanmälan</t>
        </is>
      </c>
      <c r="C915" t="inlineStr">
        <is>
          <t>Föryngringsavverkning</t>
        </is>
      </c>
      <c r="D915" s="1" t="n">
        <v>45204</v>
      </c>
      <c r="E915" s="1" t="n">
        <v>46313</v>
      </c>
      <c r="F915" t="inlineStr">
        <is>
          <t>VÄRMLANDS LÄN</t>
        </is>
      </c>
      <c r="G915" t="inlineStr">
        <is>
          <t>SUNNE</t>
        </is>
      </c>
      <c r="I915" t="n">
        <v>8.9</v>
      </c>
      <c r="J915" t="n">
        <v>0</v>
      </c>
      <c r="K915" t="n">
        <v>0</v>
      </c>
      <c r="L915" t="n">
        <v>0</v>
      </c>
      <c r="M915" t="n">
        <v>0</v>
      </c>
      <c r="N915" t="n">
        <v>0</v>
      </c>
      <c r="O915" t="n">
        <v>0</v>
      </c>
      <c r="P915" t="n">
        <v>0</v>
      </c>
      <c r="Q915" t="n">
        <v>0</v>
      </c>
      <c r="R915" t="n">
        <v>0</v>
      </c>
      <c r="S915" t="n">
        <v>0</v>
      </c>
      <c r="T915" t="n">
        <v>0</v>
      </c>
      <c r="U915" t="n">
        <v>0</v>
      </c>
      <c r="V915" s="2" t="inlineStr"/>
    </row>
    <row r="916" ht="15" customHeight="1">
      <c r="A916" t="inlineStr">
        <is>
          <t>A 46071-2023</t>
        </is>
      </c>
      <c r="B916" t="inlineStr">
        <is>
          <t>avverkningsanmälan</t>
        </is>
      </c>
      <c r="C916" t="inlineStr">
        <is>
          <t>Föryngringsavverkning</t>
        </is>
      </c>
      <c r="D916" s="1" t="n">
        <v>45196</v>
      </c>
      <c r="E916" s="1" t="n">
        <v>46313</v>
      </c>
      <c r="F916" t="inlineStr">
        <is>
          <t>VÄRMLANDS LÄN</t>
        </is>
      </c>
      <c r="G916" t="inlineStr">
        <is>
          <t>SUNNE</t>
        </is>
      </c>
      <c r="I916" t="n">
        <v>0.4</v>
      </c>
      <c r="J916" t="n">
        <v>0</v>
      </c>
      <c r="K916" t="n">
        <v>0</v>
      </c>
      <c r="L916" t="n">
        <v>0</v>
      </c>
      <c r="M916" t="n">
        <v>0</v>
      </c>
      <c r="N916" t="n">
        <v>0</v>
      </c>
      <c r="O916" t="n">
        <v>0</v>
      </c>
      <c r="P916" t="n">
        <v>0</v>
      </c>
      <c r="Q916" t="n">
        <v>0</v>
      </c>
      <c r="R916" t="n">
        <v>0</v>
      </c>
      <c r="S916" t="n">
        <v>0</v>
      </c>
      <c r="T916" t="n">
        <v>0</v>
      </c>
      <c r="U916" t="n">
        <v>0</v>
      </c>
      <c r="V916" s="2" t="inlineStr"/>
    </row>
    <row r="917" ht="15" customHeight="1">
      <c r="A917" t="inlineStr">
        <is>
          <t>A 36712-2026</t>
        </is>
      </c>
      <c r="B917" t="inlineStr">
        <is>
          <t>avverkningsanmälan</t>
        </is>
      </c>
      <c r="C917" t="inlineStr">
        <is>
          <t>Föryngringsavverkning</t>
        </is>
      </c>
      <c r="D917" s="1" t="n">
        <v>46272</v>
      </c>
      <c r="E917" s="1" t="n">
        <v>46313</v>
      </c>
      <c r="F917" t="inlineStr">
        <is>
          <t>VÄRMLANDS LÄN</t>
        </is>
      </c>
      <c r="G917" t="inlineStr">
        <is>
          <t>SUNNE</t>
        </is>
      </c>
      <c r="I917" t="n">
        <v>4.9</v>
      </c>
      <c r="J917" t="n">
        <v>0</v>
      </c>
      <c r="K917" t="n">
        <v>0</v>
      </c>
      <c r="L917" t="n">
        <v>0</v>
      </c>
      <c r="M917" t="n">
        <v>0</v>
      </c>
      <c r="N917" t="n">
        <v>0</v>
      </c>
      <c r="O917" t="n">
        <v>0</v>
      </c>
      <c r="P917" t="n">
        <v>0</v>
      </c>
      <c r="Q917" t="n">
        <v>0</v>
      </c>
      <c r="R917" t="n">
        <v>0</v>
      </c>
      <c r="S917" t="n">
        <v>0</v>
      </c>
      <c r="T917" t="n">
        <v>0</v>
      </c>
      <c r="U917" t="n">
        <v>0</v>
      </c>
      <c r="V917" s="2" t="inlineStr"/>
    </row>
    <row r="918" ht="15" customHeight="1">
      <c r="A918" t="inlineStr">
        <is>
          <t>A 17030-2023</t>
        </is>
      </c>
      <c r="B918" t="inlineStr">
        <is>
          <t>avverkningsanmälan</t>
        </is>
      </c>
      <c r="C918" t="inlineStr">
        <is>
          <t>Föryngringsavverkning</t>
        </is>
      </c>
      <c r="D918" s="1" t="n">
        <v>45034</v>
      </c>
      <c r="E918" s="1" t="n">
        <v>46313</v>
      </c>
      <c r="F918" t="inlineStr">
        <is>
          <t>VÄRMLANDS LÄN</t>
        </is>
      </c>
      <c r="G918" t="inlineStr">
        <is>
          <t>SUNNE</t>
        </is>
      </c>
      <c r="I918" t="n">
        <v>1.7</v>
      </c>
      <c r="J918" t="n">
        <v>0</v>
      </c>
      <c r="K918" t="n">
        <v>0</v>
      </c>
      <c r="L918" t="n">
        <v>0</v>
      </c>
      <c r="M918" t="n">
        <v>0</v>
      </c>
      <c r="N918" t="n">
        <v>0</v>
      </c>
      <c r="O918" t="n">
        <v>0</v>
      </c>
      <c r="P918" t="n">
        <v>0</v>
      </c>
      <c r="Q918" t="n">
        <v>0</v>
      </c>
      <c r="R918" t="n">
        <v>0</v>
      </c>
      <c r="S918" t="n">
        <v>0</v>
      </c>
      <c r="T918" t="n">
        <v>0</v>
      </c>
      <c r="U918" t="n">
        <v>0</v>
      </c>
      <c r="V918" s="2" t="inlineStr"/>
    </row>
    <row r="919" ht="15" customHeight="1">
      <c r="A919" t="inlineStr">
        <is>
          <t>A 36675-2026</t>
        </is>
      </c>
      <c r="B919" t="inlineStr">
        <is>
          <t>avverkningsanmälan</t>
        </is>
      </c>
      <c r="C919" t="inlineStr">
        <is>
          <t>Föryngringsavverkning</t>
        </is>
      </c>
      <c r="D919" s="1" t="n">
        <v>46272</v>
      </c>
      <c r="E919" s="1" t="n">
        <v>46313</v>
      </c>
      <c r="F919" t="inlineStr">
        <is>
          <t>VÄRMLANDS LÄN</t>
        </is>
      </c>
      <c r="G919" t="inlineStr">
        <is>
          <t>SUNNE</t>
        </is>
      </c>
      <c r="I919" t="n">
        <v>2.8</v>
      </c>
      <c r="J919" t="n">
        <v>0</v>
      </c>
      <c r="K919" t="n">
        <v>0</v>
      </c>
      <c r="L919" t="n">
        <v>0</v>
      </c>
      <c r="M919" t="n">
        <v>0</v>
      </c>
      <c r="N919" t="n">
        <v>0</v>
      </c>
      <c r="O919" t="n">
        <v>0</v>
      </c>
      <c r="P919" t="n">
        <v>0</v>
      </c>
      <c r="Q919" t="n">
        <v>0</v>
      </c>
      <c r="R919" t="n">
        <v>0</v>
      </c>
      <c r="S919" t="n">
        <v>0</v>
      </c>
      <c r="T919" t="n">
        <v>0</v>
      </c>
      <c r="U919" t="n">
        <v>0</v>
      </c>
      <c r="V919" s="2" t="inlineStr"/>
    </row>
    <row r="920" ht="15" customHeight="1">
      <c r="A920" t="inlineStr">
        <is>
          <t>A 28925-2023</t>
        </is>
      </c>
      <c r="B920" t="inlineStr">
        <is>
          <t>avverkningsanmälan</t>
        </is>
      </c>
      <c r="C920" t="inlineStr">
        <is>
          <t>Föryngringsavverkning</t>
        </is>
      </c>
      <c r="D920" s="1" t="n">
        <v>45104</v>
      </c>
      <c r="E920" s="1" t="n">
        <v>46313</v>
      </c>
      <c r="F920" t="inlineStr">
        <is>
          <t>VÄRMLANDS LÄN</t>
        </is>
      </c>
      <c r="G920" t="inlineStr">
        <is>
          <t>SUNNE</t>
        </is>
      </c>
      <c r="I920" t="n">
        <v>3.7</v>
      </c>
      <c r="J920" t="n">
        <v>0</v>
      </c>
      <c r="K920" t="n">
        <v>0</v>
      </c>
      <c r="L920" t="n">
        <v>0</v>
      </c>
      <c r="M920" t="n">
        <v>0</v>
      </c>
      <c r="N920" t="n">
        <v>0</v>
      </c>
      <c r="O920" t="n">
        <v>0</v>
      </c>
      <c r="P920" t="n">
        <v>0</v>
      </c>
      <c r="Q920" t="n">
        <v>0</v>
      </c>
      <c r="R920" t="n">
        <v>0</v>
      </c>
      <c r="S920" t="n">
        <v>0</v>
      </c>
      <c r="T920" t="n">
        <v>0</v>
      </c>
      <c r="U920" t="n">
        <v>0</v>
      </c>
      <c r="V920" s="2" t="inlineStr"/>
    </row>
    <row r="921" ht="15" customHeight="1">
      <c r="A921" t="inlineStr">
        <is>
          <t>A 10252-2024</t>
        </is>
      </c>
      <c r="B921" t="inlineStr">
        <is>
          <t>avverkningsanmälan</t>
        </is>
      </c>
      <c r="C921" t="inlineStr">
        <is>
          <t>Föryngringsavverkning</t>
        </is>
      </c>
      <c r="D921" s="1" t="n">
        <v>45365</v>
      </c>
      <c r="E921" s="1" t="n">
        <v>46313</v>
      </c>
      <c r="F921" t="inlineStr">
        <is>
          <t>VÄRMLANDS LÄN</t>
        </is>
      </c>
      <c r="G921" t="inlineStr">
        <is>
          <t>SUNNE</t>
        </is>
      </c>
      <c r="I921" t="n">
        <v>1.1</v>
      </c>
      <c r="J921" t="n">
        <v>0</v>
      </c>
      <c r="K921" t="n">
        <v>0</v>
      </c>
      <c r="L921" t="n">
        <v>0</v>
      </c>
      <c r="M921" t="n">
        <v>0</v>
      </c>
      <c r="N921" t="n">
        <v>0</v>
      </c>
      <c r="O921" t="n">
        <v>0</v>
      </c>
      <c r="P921" t="n">
        <v>0</v>
      </c>
      <c r="Q921" t="n">
        <v>0</v>
      </c>
      <c r="R921" t="n">
        <v>0</v>
      </c>
      <c r="S921" t="n">
        <v>0</v>
      </c>
      <c r="T921" t="n">
        <v>0</v>
      </c>
      <c r="U921" t="n">
        <v>0</v>
      </c>
      <c r="V921" s="2" t="inlineStr"/>
    </row>
    <row r="922" ht="15" customHeight="1">
      <c r="A922" t="inlineStr">
        <is>
          <t>A 51851-2023</t>
        </is>
      </c>
      <c r="B922" t="inlineStr">
        <is>
          <t>avverkningsanmälan</t>
        </is>
      </c>
      <c r="C922" t="inlineStr">
        <is>
          <t>Föryngringsavverkning</t>
        </is>
      </c>
      <c r="D922" s="1" t="n">
        <v>45223</v>
      </c>
      <c r="E922" s="1" t="n">
        <v>46313</v>
      </c>
      <c r="F922" t="inlineStr">
        <is>
          <t>VÄRMLANDS LÄN</t>
        </is>
      </c>
      <c r="G922" t="inlineStr">
        <is>
          <t>SUNNE</t>
        </is>
      </c>
      <c r="I922" t="n">
        <v>0.6</v>
      </c>
      <c r="J922" t="n">
        <v>0</v>
      </c>
      <c r="K922" t="n">
        <v>0</v>
      </c>
      <c r="L922" t="n">
        <v>0</v>
      </c>
      <c r="M922" t="n">
        <v>0</v>
      </c>
      <c r="N922" t="n">
        <v>0</v>
      </c>
      <c r="O922" t="n">
        <v>0</v>
      </c>
      <c r="P922" t="n">
        <v>0</v>
      </c>
      <c r="Q922" t="n">
        <v>0</v>
      </c>
      <c r="R922" t="n">
        <v>0</v>
      </c>
      <c r="S922" t="n">
        <v>0</v>
      </c>
      <c r="T922" t="n">
        <v>0</v>
      </c>
      <c r="U922" t="n">
        <v>0</v>
      </c>
      <c r="V922" s="2" t="inlineStr"/>
    </row>
    <row r="923" ht="15" customHeight="1">
      <c r="A923" t="inlineStr">
        <is>
          <t>A 19340-2022</t>
        </is>
      </c>
      <c r="B923" t="inlineStr">
        <is>
          <t>avverkningsanmälan</t>
        </is>
      </c>
      <c r="C923" t="inlineStr">
        <is>
          <t>Föryngringsavverkning</t>
        </is>
      </c>
      <c r="D923" s="1" t="n">
        <v>44692</v>
      </c>
      <c r="E923" s="1" t="n">
        <v>46313</v>
      </c>
      <c r="F923" t="inlineStr">
        <is>
          <t>VÄRMLANDS LÄN</t>
        </is>
      </c>
      <c r="G923" t="inlineStr">
        <is>
          <t>SUNNE</t>
        </is>
      </c>
      <c r="I923" t="n">
        <v>2.3</v>
      </c>
      <c r="J923" t="n">
        <v>0</v>
      </c>
      <c r="K923" t="n">
        <v>0</v>
      </c>
      <c r="L923" t="n">
        <v>0</v>
      </c>
      <c r="M923" t="n">
        <v>0</v>
      </c>
      <c r="N923" t="n">
        <v>0</v>
      </c>
      <c r="O923" t="n">
        <v>0</v>
      </c>
      <c r="P923" t="n">
        <v>0</v>
      </c>
      <c r="Q923" t="n">
        <v>0</v>
      </c>
      <c r="R923" t="n">
        <v>0</v>
      </c>
      <c r="S923" t="n">
        <v>0</v>
      </c>
      <c r="T923" t="n">
        <v>0</v>
      </c>
      <c r="U923" t="n">
        <v>0</v>
      </c>
      <c r="V923" s="2" t="inlineStr"/>
    </row>
    <row r="924" ht="15" customHeight="1">
      <c r="A924" t="inlineStr">
        <is>
          <t>A 31982-2026</t>
        </is>
      </c>
      <c r="B924" t="inlineStr">
        <is>
          <t>avverkningsanmälan</t>
        </is>
      </c>
      <c r="C924" t="inlineStr">
        <is>
          <t>Föryngringsavverkning</t>
        </is>
      </c>
      <c r="D924" s="1" t="n">
        <v>46232</v>
      </c>
      <c r="E924" s="1" t="n">
        <v>46313</v>
      </c>
      <c r="F924" t="inlineStr">
        <is>
          <t>VÄRMLANDS LÄN</t>
        </is>
      </c>
      <c r="G924" t="inlineStr">
        <is>
          <t>SUNNE</t>
        </is>
      </c>
      <c r="H924" t="inlineStr">
        <is>
          <t>Bergvik skog väst AB</t>
        </is>
      </c>
      <c r="I924" t="n">
        <v>1.4</v>
      </c>
      <c r="J924" t="n">
        <v>0</v>
      </c>
      <c r="K924" t="n">
        <v>0</v>
      </c>
      <c r="L924" t="n">
        <v>0</v>
      </c>
      <c r="M924" t="n">
        <v>0</v>
      </c>
      <c r="N924" t="n">
        <v>0</v>
      </c>
      <c r="O924" t="n">
        <v>0</v>
      </c>
      <c r="P924" t="n">
        <v>0</v>
      </c>
      <c r="Q924" t="n">
        <v>0</v>
      </c>
      <c r="R924" t="n">
        <v>0</v>
      </c>
      <c r="S924" t="n">
        <v>0</v>
      </c>
      <c r="T924" t="n">
        <v>0</v>
      </c>
      <c r="U924" t="n">
        <v>0</v>
      </c>
      <c r="V924" s="2" t="inlineStr"/>
    </row>
    <row r="925" ht="15" customHeight="1">
      <c r="A925" t="inlineStr">
        <is>
          <t>A 31895-2026</t>
        </is>
      </c>
      <c r="B925" t="inlineStr">
        <is>
          <t>avverkningsanmälan</t>
        </is>
      </c>
      <c r="C925" t="inlineStr">
        <is>
          <t>Föryngringsavverkning</t>
        </is>
      </c>
      <c r="D925" s="1" t="n">
        <v>46231</v>
      </c>
      <c r="E925" s="1" t="n">
        <v>46313</v>
      </c>
      <c r="F925" t="inlineStr">
        <is>
          <t>VÄRMLANDS LÄN</t>
        </is>
      </c>
      <c r="G925" t="inlineStr">
        <is>
          <t>SUNNE</t>
        </is>
      </c>
      <c r="I925" t="n">
        <v>0.8</v>
      </c>
      <c r="J925" t="n">
        <v>0</v>
      </c>
      <c r="K925" t="n">
        <v>0</v>
      </c>
      <c r="L925" t="n">
        <v>0</v>
      </c>
      <c r="M925" t="n">
        <v>0</v>
      </c>
      <c r="N925" t="n">
        <v>0</v>
      </c>
      <c r="O925" t="n">
        <v>0</v>
      </c>
      <c r="P925" t="n">
        <v>0</v>
      </c>
      <c r="Q925" t="n">
        <v>0</v>
      </c>
      <c r="R925" t="n">
        <v>0</v>
      </c>
      <c r="S925" t="n">
        <v>0</v>
      </c>
      <c r="T925" t="n">
        <v>0</v>
      </c>
      <c r="U925" t="n">
        <v>0</v>
      </c>
      <c r="V925" s="2" t="inlineStr"/>
    </row>
    <row r="926" ht="15" customHeight="1">
      <c r="A926" t="inlineStr">
        <is>
          <t>A 37311-2026</t>
        </is>
      </c>
      <c r="B926" t="inlineStr">
        <is>
          <t>avverkningsanmälan</t>
        </is>
      </c>
      <c r="C926" t="inlineStr">
        <is>
          <t>Föryngringsavverkning</t>
        </is>
      </c>
      <c r="D926" s="1" t="n">
        <v>46274</v>
      </c>
      <c r="E926" s="1" t="n">
        <v>46313</v>
      </c>
      <c r="F926" t="inlineStr">
        <is>
          <t>VÄRMLANDS LÄN</t>
        </is>
      </c>
      <c r="G926" t="inlineStr">
        <is>
          <t>SUNNE</t>
        </is>
      </c>
      <c r="I926" t="n">
        <v>2.2</v>
      </c>
      <c r="J926" t="n">
        <v>0</v>
      </c>
      <c r="K926" t="n">
        <v>0</v>
      </c>
      <c r="L926" t="n">
        <v>0</v>
      </c>
      <c r="M926" t="n">
        <v>0</v>
      </c>
      <c r="N926" t="n">
        <v>0</v>
      </c>
      <c r="O926" t="n">
        <v>0</v>
      </c>
      <c r="P926" t="n">
        <v>0</v>
      </c>
      <c r="Q926" t="n">
        <v>0</v>
      </c>
      <c r="R926" t="n">
        <v>0</v>
      </c>
      <c r="S926" t="n">
        <v>0</v>
      </c>
      <c r="T926" t="n">
        <v>0</v>
      </c>
      <c r="U926" t="n">
        <v>0</v>
      </c>
      <c r="V926" s="2" t="inlineStr"/>
    </row>
    <row r="927" ht="15" customHeight="1">
      <c r="A927" t="inlineStr">
        <is>
          <t>A 37140-2026</t>
        </is>
      </c>
      <c r="B927" t="inlineStr">
        <is>
          <t>avverkningsanmälan</t>
        </is>
      </c>
      <c r="C927" t="inlineStr">
        <is>
          <t>Föryngringsavverkning</t>
        </is>
      </c>
      <c r="D927" s="1" t="n">
        <v>46274</v>
      </c>
      <c r="E927" s="1" t="n">
        <v>46313</v>
      </c>
      <c r="F927" t="inlineStr">
        <is>
          <t>VÄRMLANDS LÄN</t>
        </is>
      </c>
      <c r="G927" t="inlineStr">
        <is>
          <t>SUNNE</t>
        </is>
      </c>
      <c r="I927" t="n">
        <v>1.9</v>
      </c>
      <c r="J927" t="n">
        <v>0</v>
      </c>
      <c r="K927" t="n">
        <v>0</v>
      </c>
      <c r="L927" t="n">
        <v>0</v>
      </c>
      <c r="M927" t="n">
        <v>0</v>
      </c>
      <c r="N927" t="n">
        <v>0</v>
      </c>
      <c r="O927" t="n">
        <v>0</v>
      </c>
      <c r="P927" t="n">
        <v>0</v>
      </c>
      <c r="Q927" t="n">
        <v>0</v>
      </c>
      <c r="R927" t="n">
        <v>0</v>
      </c>
      <c r="S927" t="n">
        <v>0</v>
      </c>
      <c r="T927" t="n">
        <v>0</v>
      </c>
      <c r="U927" t="n">
        <v>0</v>
      </c>
      <c r="V927" s="2" t="inlineStr"/>
    </row>
    <row r="928" ht="15" customHeight="1">
      <c r="A928" t="inlineStr">
        <is>
          <t>A 37458-2026</t>
        </is>
      </c>
      <c r="B928" t="inlineStr">
        <is>
          <t>avverkningsanmälan</t>
        </is>
      </c>
      <c r="C928" t="inlineStr">
        <is>
          <t>Föryngringsavverkning</t>
        </is>
      </c>
      <c r="D928" s="1" t="n">
        <v>46275</v>
      </c>
      <c r="E928" s="1" t="n">
        <v>46313</v>
      </c>
      <c r="F928" t="inlineStr">
        <is>
          <t>VÄRMLANDS LÄN</t>
        </is>
      </c>
      <c r="G928" t="inlineStr">
        <is>
          <t>SUNNE</t>
        </is>
      </c>
      <c r="I928" t="n">
        <v>0.8</v>
      </c>
      <c r="J928" t="n">
        <v>0</v>
      </c>
      <c r="K928" t="n">
        <v>0</v>
      </c>
      <c r="L928" t="n">
        <v>0</v>
      </c>
      <c r="M928" t="n">
        <v>0</v>
      </c>
      <c r="N928" t="n">
        <v>0</v>
      </c>
      <c r="O928" t="n">
        <v>0</v>
      </c>
      <c r="P928" t="n">
        <v>0</v>
      </c>
      <c r="Q928" t="n">
        <v>0</v>
      </c>
      <c r="R928" t="n">
        <v>0</v>
      </c>
      <c r="S928" t="n">
        <v>0</v>
      </c>
      <c r="T928" t="n">
        <v>0</v>
      </c>
      <c r="U928" t="n">
        <v>0</v>
      </c>
      <c r="V928" s="2" t="inlineStr"/>
    </row>
    <row r="929" ht="15" customHeight="1">
      <c r="A929" t="inlineStr">
        <is>
          <t>A 14877-2025</t>
        </is>
      </c>
      <c r="B929" t="inlineStr">
        <is>
          <t>avverkningsanmälan</t>
        </is>
      </c>
      <c r="C929" t="inlineStr">
        <is>
          <t>Föryngringsavverkning</t>
        </is>
      </c>
      <c r="D929" s="1" t="n">
        <v>45743</v>
      </c>
      <c r="E929" s="1" t="n">
        <v>46313</v>
      </c>
      <c r="F929" t="inlineStr">
        <is>
          <t>VÄRMLANDS LÄN</t>
        </is>
      </c>
      <c r="G929" t="inlineStr">
        <is>
          <t>SUNNE</t>
        </is>
      </c>
      <c r="I929" t="n">
        <v>8.6</v>
      </c>
      <c r="J929" t="n">
        <v>0</v>
      </c>
      <c r="K929" t="n">
        <v>0</v>
      </c>
      <c r="L929" t="n">
        <v>0</v>
      </c>
      <c r="M929" t="n">
        <v>0</v>
      </c>
      <c r="N929" t="n">
        <v>0</v>
      </c>
      <c r="O929" t="n">
        <v>0</v>
      </c>
      <c r="P929" t="n">
        <v>0</v>
      </c>
      <c r="Q929" t="n">
        <v>0</v>
      </c>
      <c r="R929" t="n">
        <v>0</v>
      </c>
      <c r="S929" t="n">
        <v>0</v>
      </c>
      <c r="T929" t="n">
        <v>0</v>
      </c>
      <c r="U929" t="n">
        <v>0</v>
      </c>
      <c r="V929" s="2" t="inlineStr"/>
    </row>
    <row r="930" ht="15" customHeight="1">
      <c r="A930" t="inlineStr">
        <is>
          <t>A 37145-2026</t>
        </is>
      </c>
      <c r="B930" t="inlineStr">
        <is>
          <t>avverkningsanmälan</t>
        </is>
      </c>
      <c r="C930" t="inlineStr">
        <is>
          <t>Föryngringsavverkning</t>
        </is>
      </c>
      <c r="D930" s="1" t="n">
        <v>46274</v>
      </c>
      <c r="E930" s="1" t="n">
        <v>46313</v>
      </c>
      <c r="F930" t="inlineStr">
        <is>
          <t>VÄRMLANDS LÄN</t>
        </is>
      </c>
      <c r="G930" t="inlineStr">
        <is>
          <t>SUNNE</t>
        </is>
      </c>
      <c r="I930" t="n">
        <v>4.1</v>
      </c>
      <c r="J930" t="n">
        <v>0</v>
      </c>
      <c r="K930" t="n">
        <v>0</v>
      </c>
      <c r="L930" t="n">
        <v>0</v>
      </c>
      <c r="M930" t="n">
        <v>0</v>
      </c>
      <c r="N930" t="n">
        <v>0</v>
      </c>
      <c r="O930" t="n">
        <v>0</v>
      </c>
      <c r="P930" t="n">
        <v>0</v>
      </c>
      <c r="Q930" t="n">
        <v>0</v>
      </c>
      <c r="R930" t="n">
        <v>0</v>
      </c>
      <c r="S930" t="n">
        <v>0</v>
      </c>
      <c r="T930" t="n">
        <v>0</v>
      </c>
      <c r="U930" t="n">
        <v>0</v>
      </c>
      <c r="V930" s="2" t="inlineStr"/>
    </row>
    <row r="931" ht="15" customHeight="1">
      <c r="A931" t="inlineStr">
        <is>
          <t>A 37416-2026</t>
        </is>
      </c>
      <c r="B931" t="inlineStr">
        <is>
          <t>avverkningsanmälan</t>
        </is>
      </c>
      <c r="C931" t="inlineStr">
        <is>
          <t>Föryngringsavverkning</t>
        </is>
      </c>
      <c r="D931" s="1" t="n">
        <v>46275</v>
      </c>
      <c r="E931" s="1" t="n">
        <v>46313</v>
      </c>
      <c r="F931" t="inlineStr">
        <is>
          <t>VÄRMLANDS LÄN</t>
        </is>
      </c>
      <c r="G931" t="inlineStr">
        <is>
          <t>SUNNE</t>
        </is>
      </c>
      <c r="I931" t="n">
        <v>1.1</v>
      </c>
      <c r="J931" t="n">
        <v>0</v>
      </c>
      <c r="K931" t="n">
        <v>0</v>
      </c>
      <c r="L931" t="n">
        <v>0</v>
      </c>
      <c r="M931" t="n">
        <v>0</v>
      </c>
      <c r="N931" t="n">
        <v>0</v>
      </c>
      <c r="O931" t="n">
        <v>0</v>
      </c>
      <c r="P931" t="n">
        <v>0</v>
      </c>
      <c r="Q931" t="n">
        <v>0</v>
      </c>
      <c r="R931" t="n">
        <v>0</v>
      </c>
      <c r="S931" t="n">
        <v>0</v>
      </c>
      <c r="T931" t="n">
        <v>0</v>
      </c>
      <c r="U931" t="n">
        <v>0</v>
      </c>
      <c r="V931" s="2" t="inlineStr"/>
    </row>
    <row r="932" ht="15" customHeight="1">
      <c r="A932" t="inlineStr">
        <is>
          <t>A 42985-2023</t>
        </is>
      </c>
      <c r="B932" t="inlineStr">
        <is>
          <t>avverkningsanmälan</t>
        </is>
      </c>
      <c r="C932" t="inlineStr">
        <is>
          <t>Föryngringsavverkning</t>
        </is>
      </c>
      <c r="D932" s="1" t="n">
        <v>45182</v>
      </c>
      <c r="E932" s="1" t="n">
        <v>46313</v>
      </c>
      <c r="F932" t="inlineStr">
        <is>
          <t>VÄRMLANDS LÄN</t>
        </is>
      </c>
      <c r="G932" t="inlineStr">
        <is>
          <t>SUNNE</t>
        </is>
      </c>
      <c r="I932" t="n">
        <v>5.6</v>
      </c>
      <c r="J932" t="n">
        <v>0</v>
      </c>
      <c r="K932" t="n">
        <v>0</v>
      </c>
      <c r="L932" t="n">
        <v>0</v>
      </c>
      <c r="M932" t="n">
        <v>0</v>
      </c>
      <c r="N932" t="n">
        <v>0</v>
      </c>
      <c r="O932" t="n">
        <v>0</v>
      </c>
      <c r="P932" t="n">
        <v>0</v>
      </c>
      <c r="Q932" t="n">
        <v>0</v>
      </c>
      <c r="R932" t="n">
        <v>0</v>
      </c>
      <c r="S932" t="n">
        <v>0</v>
      </c>
      <c r="T932" t="n">
        <v>0</v>
      </c>
      <c r="U932" t="n">
        <v>0</v>
      </c>
      <c r="V932" s="2" t="inlineStr"/>
    </row>
    <row r="933" ht="15" customHeight="1">
      <c r="A933" t="inlineStr">
        <is>
          <t>A 33765-2022</t>
        </is>
      </c>
      <c r="B933" t="inlineStr">
        <is>
          <t>avverkningsanmälan</t>
        </is>
      </c>
      <c r="C933" t="inlineStr">
        <is>
          <t>Föryngringsavverkning</t>
        </is>
      </c>
      <c r="D933" s="1" t="n">
        <v>44790</v>
      </c>
      <c r="E933" s="1" t="n">
        <v>46313</v>
      </c>
      <c r="F933" t="inlineStr">
        <is>
          <t>VÄRMLANDS LÄN</t>
        </is>
      </c>
      <c r="G933" t="inlineStr">
        <is>
          <t>SUNNE</t>
        </is>
      </c>
      <c r="I933" t="n">
        <v>1</v>
      </c>
      <c r="J933" t="n">
        <v>0</v>
      </c>
      <c r="K933" t="n">
        <v>0</v>
      </c>
      <c r="L933" t="n">
        <v>0</v>
      </c>
      <c r="M933" t="n">
        <v>0</v>
      </c>
      <c r="N933" t="n">
        <v>0</v>
      </c>
      <c r="O933" t="n">
        <v>0</v>
      </c>
      <c r="P933" t="n">
        <v>0</v>
      </c>
      <c r="Q933" t="n">
        <v>0</v>
      </c>
      <c r="R933" t="n">
        <v>0</v>
      </c>
      <c r="S933" t="n">
        <v>0</v>
      </c>
      <c r="T933" t="n">
        <v>0</v>
      </c>
      <c r="U933" t="n">
        <v>0</v>
      </c>
      <c r="V933" s="2" t="inlineStr"/>
    </row>
    <row r="934" ht="15" customHeight="1">
      <c r="A934" t="inlineStr">
        <is>
          <t>A 9840-2023</t>
        </is>
      </c>
      <c r="B934" t="inlineStr">
        <is>
          <t>avverkningsanmälan</t>
        </is>
      </c>
      <c r="C934" t="inlineStr">
        <is>
          <t>Föryngringsavverkning</t>
        </is>
      </c>
      <c r="D934" s="1" t="n">
        <v>44984</v>
      </c>
      <c r="E934" s="1" t="n">
        <v>46313</v>
      </c>
      <c r="F934" t="inlineStr">
        <is>
          <t>VÄRMLANDS LÄN</t>
        </is>
      </c>
      <c r="G934" t="inlineStr">
        <is>
          <t>SUNNE</t>
        </is>
      </c>
      <c r="I934" t="n">
        <v>0.8</v>
      </c>
      <c r="J934" t="n">
        <v>0</v>
      </c>
      <c r="K934" t="n">
        <v>0</v>
      </c>
      <c r="L934" t="n">
        <v>0</v>
      </c>
      <c r="M934" t="n">
        <v>0</v>
      </c>
      <c r="N934" t="n">
        <v>0</v>
      </c>
      <c r="O934" t="n">
        <v>0</v>
      </c>
      <c r="P934" t="n">
        <v>0</v>
      </c>
      <c r="Q934" t="n">
        <v>0</v>
      </c>
      <c r="R934" t="n">
        <v>0</v>
      </c>
      <c r="S934" t="n">
        <v>0</v>
      </c>
      <c r="T934" t="n">
        <v>0</v>
      </c>
      <c r="U934" t="n">
        <v>0</v>
      </c>
      <c r="V934" s="2" t="inlineStr"/>
    </row>
    <row r="935" ht="15" customHeight="1">
      <c r="A935" t="inlineStr">
        <is>
          <t>A 60689-2023</t>
        </is>
      </c>
      <c r="B935" t="inlineStr">
        <is>
          <t>avverkningsanmälan</t>
        </is>
      </c>
      <c r="C935" t="inlineStr">
        <is>
          <t>Föryngringsavverkning</t>
        </is>
      </c>
      <c r="D935" s="1" t="n">
        <v>45260</v>
      </c>
      <c r="E935" s="1" t="n">
        <v>46313</v>
      </c>
      <c r="F935" t="inlineStr">
        <is>
          <t>VÄRMLANDS LÄN</t>
        </is>
      </c>
      <c r="G935" t="inlineStr">
        <is>
          <t>SUNNE</t>
        </is>
      </c>
      <c r="I935" t="n">
        <v>0.9</v>
      </c>
      <c r="J935" t="n">
        <v>0</v>
      </c>
      <c r="K935" t="n">
        <v>0</v>
      </c>
      <c r="L935" t="n">
        <v>0</v>
      </c>
      <c r="M935" t="n">
        <v>0</v>
      </c>
      <c r="N935" t="n">
        <v>0</v>
      </c>
      <c r="O935" t="n">
        <v>0</v>
      </c>
      <c r="P935" t="n">
        <v>0</v>
      </c>
      <c r="Q935" t="n">
        <v>0</v>
      </c>
      <c r="R935" t="n">
        <v>0</v>
      </c>
      <c r="S935" t="n">
        <v>0</v>
      </c>
      <c r="T935" t="n">
        <v>0</v>
      </c>
      <c r="U935" t="n">
        <v>0</v>
      </c>
      <c r="V935" s="2" t="inlineStr"/>
    </row>
    <row r="936" ht="15" customHeight="1">
      <c r="A936" t="inlineStr">
        <is>
          <t>A 37414-2026</t>
        </is>
      </c>
      <c r="B936" t="inlineStr">
        <is>
          <t>avverkningsanmälan</t>
        </is>
      </c>
      <c r="C936" t="inlineStr">
        <is>
          <t>Föryngringsavverkning</t>
        </is>
      </c>
      <c r="D936" s="1" t="n">
        <v>46275</v>
      </c>
      <c r="E936" s="1" t="n">
        <v>46313</v>
      </c>
      <c r="F936" t="inlineStr">
        <is>
          <t>VÄRMLANDS LÄN</t>
        </is>
      </c>
      <c r="G936" t="inlineStr">
        <is>
          <t>SUNNE</t>
        </is>
      </c>
      <c r="I936" t="n">
        <v>1.2</v>
      </c>
      <c r="J936" t="n">
        <v>0</v>
      </c>
      <c r="K936" t="n">
        <v>0</v>
      </c>
      <c r="L936" t="n">
        <v>0</v>
      </c>
      <c r="M936" t="n">
        <v>0</v>
      </c>
      <c r="N936" t="n">
        <v>0</v>
      </c>
      <c r="O936" t="n">
        <v>0</v>
      </c>
      <c r="P936" t="n">
        <v>0</v>
      </c>
      <c r="Q936" t="n">
        <v>0</v>
      </c>
      <c r="R936" t="n">
        <v>0</v>
      </c>
      <c r="S936" t="n">
        <v>0</v>
      </c>
      <c r="T936" t="n">
        <v>0</v>
      </c>
      <c r="U936" t="n">
        <v>0</v>
      </c>
      <c r="V936" s="2" t="inlineStr"/>
    </row>
    <row r="937" ht="15" customHeight="1">
      <c r="A937" t="inlineStr">
        <is>
          <t>A 58851-2023</t>
        </is>
      </c>
      <c r="B937" t="inlineStr">
        <is>
          <t>avverkningsanmälan</t>
        </is>
      </c>
      <c r="C937" t="inlineStr">
        <is>
          <t>Föryngringsavverkning</t>
        </is>
      </c>
      <c r="D937" s="1" t="n">
        <v>45252</v>
      </c>
      <c r="E937" s="1" t="n">
        <v>46313</v>
      </c>
      <c r="F937" t="inlineStr">
        <is>
          <t>VÄRMLANDS LÄN</t>
        </is>
      </c>
      <c r="G937" t="inlineStr">
        <is>
          <t>SUNNE</t>
        </is>
      </c>
      <c r="I937" t="n">
        <v>7.2</v>
      </c>
      <c r="J937" t="n">
        <v>0</v>
      </c>
      <c r="K937" t="n">
        <v>0</v>
      </c>
      <c r="L937" t="n">
        <v>0</v>
      </c>
      <c r="M937" t="n">
        <v>0</v>
      </c>
      <c r="N937" t="n">
        <v>0</v>
      </c>
      <c r="O937" t="n">
        <v>0</v>
      </c>
      <c r="P937" t="n">
        <v>0</v>
      </c>
      <c r="Q937" t="n">
        <v>0</v>
      </c>
      <c r="R937" t="n">
        <v>0</v>
      </c>
      <c r="S937" t="n">
        <v>0</v>
      </c>
      <c r="T937" t="n">
        <v>0</v>
      </c>
      <c r="U937" t="n">
        <v>0</v>
      </c>
      <c r="V937" s="2" t="inlineStr"/>
    </row>
    <row r="938" ht="15" customHeight="1">
      <c r="A938" t="inlineStr">
        <is>
          <t>A 31878-2026</t>
        </is>
      </c>
      <c r="B938" t="inlineStr">
        <is>
          <t>avverkningsanmälan</t>
        </is>
      </c>
      <c r="C938" t="inlineStr">
        <is>
          <t>Föryngringsavverkning</t>
        </is>
      </c>
      <c r="D938" s="1" t="n">
        <v>46231</v>
      </c>
      <c r="E938" s="1" t="n">
        <v>46313</v>
      </c>
      <c r="F938" t="inlineStr">
        <is>
          <t>VÄRMLANDS LÄN</t>
        </is>
      </c>
      <c r="G938" t="inlineStr">
        <is>
          <t>SUNNE</t>
        </is>
      </c>
      <c r="I938" t="n">
        <v>0.8</v>
      </c>
      <c r="J938" t="n">
        <v>0</v>
      </c>
      <c r="K938" t="n">
        <v>0</v>
      </c>
      <c r="L938" t="n">
        <v>0</v>
      </c>
      <c r="M938" t="n">
        <v>0</v>
      </c>
      <c r="N938" t="n">
        <v>0</v>
      </c>
      <c r="O938" t="n">
        <v>0</v>
      </c>
      <c r="P938" t="n">
        <v>0</v>
      </c>
      <c r="Q938" t="n">
        <v>0</v>
      </c>
      <c r="R938" t="n">
        <v>0</v>
      </c>
      <c r="S938" t="n">
        <v>0</v>
      </c>
      <c r="T938" t="n">
        <v>0</v>
      </c>
      <c r="U938" t="n">
        <v>0</v>
      </c>
      <c r="V938" s="2" t="inlineStr"/>
    </row>
    <row r="939" ht="15" customHeight="1">
      <c r="A939" t="inlineStr">
        <is>
          <t>A 37184-2026</t>
        </is>
      </c>
      <c r="B939" t="inlineStr">
        <is>
          <t>avverkningsanmälan</t>
        </is>
      </c>
      <c r="C939" t="inlineStr">
        <is>
          <t>Föryngringsavverkning</t>
        </is>
      </c>
      <c r="D939" s="1" t="n">
        <v>46274</v>
      </c>
      <c r="E939" s="1" t="n">
        <v>46313</v>
      </c>
      <c r="F939" t="inlineStr">
        <is>
          <t>VÄRMLANDS LÄN</t>
        </is>
      </c>
      <c r="G939" t="inlineStr">
        <is>
          <t>SUNNE</t>
        </is>
      </c>
      <c r="I939" t="n">
        <v>2.4</v>
      </c>
      <c r="J939" t="n">
        <v>0</v>
      </c>
      <c r="K939" t="n">
        <v>0</v>
      </c>
      <c r="L939" t="n">
        <v>0</v>
      </c>
      <c r="M939" t="n">
        <v>0</v>
      </c>
      <c r="N939" t="n">
        <v>0</v>
      </c>
      <c r="O939" t="n">
        <v>0</v>
      </c>
      <c r="P939" t="n">
        <v>0</v>
      </c>
      <c r="Q939" t="n">
        <v>0</v>
      </c>
      <c r="R939" t="n">
        <v>0</v>
      </c>
      <c r="S939" t="n">
        <v>0</v>
      </c>
      <c r="T939" t="n">
        <v>0</v>
      </c>
      <c r="U939" t="n">
        <v>0</v>
      </c>
      <c r="V939" s="2" t="inlineStr"/>
    </row>
    <row r="940" ht="15" customHeight="1">
      <c r="A940" t="inlineStr">
        <is>
          <t>A 31986-2026</t>
        </is>
      </c>
      <c r="B940" t="inlineStr">
        <is>
          <t>avverkningsanmälan</t>
        </is>
      </c>
      <c r="C940" t="inlineStr">
        <is>
          <t>Föryngringsavverkning</t>
        </is>
      </c>
      <c r="D940" s="1" t="n">
        <v>46232</v>
      </c>
      <c r="E940" s="1" t="n">
        <v>46313</v>
      </c>
      <c r="F940" t="inlineStr">
        <is>
          <t>VÄRMLANDS LÄN</t>
        </is>
      </c>
      <c r="G940" t="inlineStr">
        <is>
          <t>SUNNE</t>
        </is>
      </c>
      <c r="H940" t="inlineStr">
        <is>
          <t>Bergvik skog väst AB</t>
        </is>
      </c>
      <c r="I940" t="n">
        <v>10.9</v>
      </c>
      <c r="J940" t="n">
        <v>0</v>
      </c>
      <c r="K940" t="n">
        <v>0</v>
      </c>
      <c r="L940" t="n">
        <v>0</v>
      </c>
      <c r="M940" t="n">
        <v>0</v>
      </c>
      <c r="N940" t="n">
        <v>0</v>
      </c>
      <c r="O940" t="n">
        <v>0</v>
      </c>
      <c r="P940" t="n">
        <v>0</v>
      </c>
      <c r="Q940" t="n">
        <v>0</v>
      </c>
      <c r="R940" t="n">
        <v>0</v>
      </c>
      <c r="S940" t="n">
        <v>0</v>
      </c>
      <c r="T940" t="n">
        <v>0</v>
      </c>
      <c r="U940" t="n">
        <v>0</v>
      </c>
      <c r="V940" s="2" t="inlineStr"/>
    </row>
    <row r="941" ht="15" customHeight="1">
      <c r="A941" t="inlineStr">
        <is>
          <t>A 31898-2026</t>
        </is>
      </c>
      <c r="B941" t="inlineStr">
        <is>
          <t>avverkningsanmälan</t>
        </is>
      </c>
      <c r="C941" t="inlineStr">
        <is>
          <t>Föryngringsavverkning</t>
        </is>
      </c>
      <c r="D941" s="1" t="n">
        <v>46231</v>
      </c>
      <c r="E941" s="1" t="n">
        <v>46313</v>
      </c>
      <c r="F941" t="inlineStr">
        <is>
          <t>VÄRMLANDS LÄN</t>
        </is>
      </c>
      <c r="G941" t="inlineStr">
        <is>
          <t>SUNNE</t>
        </is>
      </c>
      <c r="I941" t="n">
        <v>1.8</v>
      </c>
      <c r="J941" t="n">
        <v>0</v>
      </c>
      <c r="K941" t="n">
        <v>0</v>
      </c>
      <c r="L941" t="n">
        <v>0</v>
      </c>
      <c r="M941" t="n">
        <v>0</v>
      </c>
      <c r="N941" t="n">
        <v>0</v>
      </c>
      <c r="O941" t="n">
        <v>0</v>
      </c>
      <c r="P941" t="n">
        <v>0</v>
      </c>
      <c r="Q941" t="n">
        <v>0</v>
      </c>
      <c r="R941" t="n">
        <v>0</v>
      </c>
      <c r="S941" t="n">
        <v>0</v>
      </c>
      <c r="T941" t="n">
        <v>0</v>
      </c>
      <c r="U941" t="n">
        <v>0</v>
      </c>
      <c r="V941" s="2" t="inlineStr"/>
    </row>
    <row r="942" ht="15" customHeight="1">
      <c r="A942" t="inlineStr">
        <is>
          <t>A 37310-2026</t>
        </is>
      </c>
      <c r="B942" t="inlineStr">
        <is>
          <t>avverkningsanmälan</t>
        </is>
      </c>
      <c r="C942" t="inlineStr">
        <is>
          <t>Föryngringsavverkning</t>
        </is>
      </c>
      <c r="D942" s="1" t="n">
        <v>46274</v>
      </c>
      <c r="E942" s="1" t="n">
        <v>46313</v>
      </c>
      <c r="F942" t="inlineStr">
        <is>
          <t>VÄRMLANDS LÄN</t>
        </is>
      </c>
      <c r="G942" t="inlineStr">
        <is>
          <t>SUNNE</t>
        </is>
      </c>
      <c r="I942" t="n">
        <v>0.9</v>
      </c>
      <c r="J942" t="n">
        <v>0</v>
      </c>
      <c r="K942" t="n">
        <v>0</v>
      </c>
      <c r="L942" t="n">
        <v>0</v>
      </c>
      <c r="M942" t="n">
        <v>0</v>
      </c>
      <c r="N942" t="n">
        <v>0</v>
      </c>
      <c r="O942" t="n">
        <v>0</v>
      </c>
      <c r="P942" t="n">
        <v>0</v>
      </c>
      <c r="Q942" t="n">
        <v>0</v>
      </c>
      <c r="R942" t="n">
        <v>0</v>
      </c>
      <c r="S942" t="n">
        <v>0</v>
      </c>
      <c r="T942" t="n">
        <v>0</v>
      </c>
      <c r="U942" t="n">
        <v>0</v>
      </c>
      <c r="V942" s="2" t="inlineStr"/>
    </row>
    <row r="943" ht="15" customHeight="1">
      <c r="A943" t="inlineStr">
        <is>
          <t>A 31891-2026</t>
        </is>
      </c>
      <c r="B943" t="inlineStr">
        <is>
          <t>avverkningsanmälan</t>
        </is>
      </c>
      <c r="C943" t="inlineStr">
        <is>
          <t>Föryngringsavverkning</t>
        </is>
      </c>
      <c r="D943" s="1" t="n">
        <v>46231</v>
      </c>
      <c r="E943" s="1" t="n">
        <v>46313</v>
      </c>
      <c r="F943" t="inlineStr">
        <is>
          <t>VÄRMLANDS LÄN</t>
        </is>
      </c>
      <c r="G943" t="inlineStr">
        <is>
          <t>SUNNE</t>
        </is>
      </c>
      <c r="I943" t="n">
        <v>1.5</v>
      </c>
      <c r="J943" t="n">
        <v>0</v>
      </c>
      <c r="K943" t="n">
        <v>0</v>
      </c>
      <c r="L943" t="n">
        <v>0</v>
      </c>
      <c r="M943" t="n">
        <v>0</v>
      </c>
      <c r="N943" t="n">
        <v>0</v>
      </c>
      <c r="O943" t="n">
        <v>0</v>
      </c>
      <c r="P943" t="n">
        <v>0</v>
      </c>
      <c r="Q943" t="n">
        <v>0</v>
      </c>
      <c r="R943" t="n">
        <v>0</v>
      </c>
      <c r="S943" t="n">
        <v>0</v>
      </c>
      <c r="T943" t="n">
        <v>0</v>
      </c>
      <c r="U943" t="n">
        <v>0</v>
      </c>
      <c r="V943" s="2" t="inlineStr"/>
    </row>
    <row r="944" ht="15" customHeight="1">
      <c r="A944" t="inlineStr">
        <is>
          <t>A 34055-2023</t>
        </is>
      </c>
      <c r="B944" t="inlineStr">
        <is>
          <t>avverkningsanmälan</t>
        </is>
      </c>
      <c r="C944" t="inlineStr">
        <is>
          <t>Föryngringsavverkning</t>
        </is>
      </c>
      <c r="D944" s="1" t="n">
        <v>45125</v>
      </c>
      <c r="E944" s="1" t="n">
        <v>46313</v>
      </c>
      <c r="F944" t="inlineStr">
        <is>
          <t>VÄRMLANDS LÄN</t>
        </is>
      </c>
      <c r="G944" t="inlineStr">
        <is>
          <t>SUNNE</t>
        </is>
      </c>
      <c r="I944" t="n">
        <v>5.5</v>
      </c>
      <c r="J944" t="n">
        <v>0</v>
      </c>
      <c r="K944" t="n">
        <v>0</v>
      </c>
      <c r="L944" t="n">
        <v>0</v>
      </c>
      <c r="M944" t="n">
        <v>0</v>
      </c>
      <c r="N944" t="n">
        <v>0</v>
      </c>
      <c r="O944" t="n">
        <v>0</v>
      </c>
      <c r="P944" t="n">
        <v>0</v>
      </c>
      <c r="Q944" t="n">
        <v>0</v>
      </c>
      <c r="R944" t="n">
        <v>0</v>
      </c>
      <c r="S944" t="n">
        <v>0</v>
      </c>
      <c r="T944" t="n">
        <v>0</v>
      </c>
      <c r="U944" t="n">
        <v>0</v>
      </c>
      <c r="V944" s="2" t="inlineStr"/>
    </row>
    <row r="945" ht="15" customHeight="1">
      <c r="A945" t="inlineStr">
        <is>
          <t>A 17036-2023</t>
        </is>
      </c>
      <c r="B945" t="inlineStr">
        <is>
          <t>avverkningsanmälan</t>
        </is>
      </c>
      <c r="C945" t="inlineStr">
        <is>
          <t>Föryngringsavverkning</t>
        </is>
      </c>
      <c r="D945" s="1" t="n">
        <v>45034</v>
      </c>
      <c r="E945" s="1" t="n">
        <v>46313</v>
      </c>
      <c r="F945" t="inlineStr">
        <is>
          <t>VÄRMLANDS LÄN</t>
        </is>
      </c>
      <c r="G945" t="inlineStr">
        <is>
          <t>SUNNE</t>
        </is>
      </c>
      <c r="H945" t="inlineStr">
        <is>
          <t>Övriga Aktiebolag</t>
        </is>
      </c>
      <c r="I945" t="n">
        <v>6.5</v>
      </c>
      <c r="J945" t="n">
        <v>0</v>
      </c>
      <c r="K945" t="n">
        <v>0</v>
      </c>
      <c r="L945" t="n">
        <v>0</v>
      </c>
      <c r="M945" t="n">
        <v>0</v>
      </c>
      <c r="N945" t="n">
        <v>0</v>
      </c>
      <c r="O945" t="n">
        <v>0</v>
      </c>
      <c r="P945" t="n">
        <v>0</v>
      </c>
      <c r="Q945" t="n">
        <v>0</v>
      </c>
      <c r="R945" t="n">
        <v>0</v>
      </c>
      <c r="S945" t="n">
        <v>0</v>
      </c>
      <c r="T945" t="n">
        <v>0</v>
      </c>
      <c r="U945" t="n">
        <v>0</v>
      </c>
      <c r="V945" s="2" t="inlineStr"/>
    </row>
    <row r="946" ht="15" customHeight="1">
      <c r="A946" t="inlineStr">
        <is>
          <t>A 27991-2023</t>
        </is>
      </c>
      <c r="B946" t="inlineStr">
        <is>
          <t>avverkningsanmälan</t>
        </is>
      </c>
      <c r="C946" t="inlineStr">
        <is>
          <t>Föryngringsavverkning</t>
        </is>
      </c>
      <c r="D946" s="1" t="n">
        <v>45098</v>
      </c>
      <c r="E946" s="1" t="n">
        <v>46313</v>
      </c>
      <c r="F946" t="inlineStr">
        <is>
          <t>VÄRMLANDS LÄN</t>
        </is>
      </c>
      <c r="G946" t="inlineStr">
        <is>
          <t>SUNNE</t>
        </is>
      </c>
      <c r="I946" t="n">
        <v>13.9</v>
      </c>
      <c r="J946" t="n">
        <v>0</v>
      </c>
      <c r="K946" t="n">
        <v>0</v>
      </c>
      <c r="L946" t="n">
        <v>0</v>
      </c>
      <c r="M946" t="n">
        <v>0</v>
      </c>
      <c r="N946" t="n">
        <v>0</v>
      </c>
      <c r="O946" t="n">
        <v>0</v>
      </c>
      <c r="P946" t="n">
        <v>0</v>
      </c>
      <c r="Q946" t="n">
        <v>0</v>
      </c>
      <c r="R946" t="n">
        <v>0</v>
      </c>
      <c r="S946" t="n">
        <v>0</v>
      </c>
      <c r="T946" t="n">
        <v>0</v>
      </c>
      <c r="U946" t="n">
        <v>0</v>
      </c>
      <c r="V946" s="2" t="inlineStr"/>
    </row>
    <row r="947" ht="15" customHeight="1">
      <c r="A947" t="inlineStr">
        <is>
          <t>A 37791-2026</t>
        </is>
      </c>
      <c r="B947" t="inlineStr">
        <is>
          <t>avverkningsanmälan</t>
        </is>
      </c>
      <c r="C947" t="inlineStr">
        <is>
          <t>Föryngringsavverkning</t>
        </is>
      </c>
      <c r="D947" s="1" t="n">
        <v>46279</v>
      </c>
      <c r="E947" s="1" t="n">
        <v>46313</v>
      </c>
      <c r="F947" t="inlineStr">
        <is>
          <t>VÄRMLANDS LÄN</t>
        </is>
      </c>
      <c r="G947" t="inlineStr">
        <is>
          <t>SUNNE</t>
        </is>
      </c>
      <c r="I947" t="n">
        <v>1.1</v>
      </c>
      <c r="J947" t="n">
        <v>0</v>
      </c>
      <c r="K947" t="n">
        <v>0</v>
      </c>
      <c r="L947" t="n">
        <v>0</v>
      </c>
      <c r="M947" t="n">
        <v>0</v>
      </c>
      <c r="N947" t="n">
        <v>0</v>
      </c>
      <c r="O947" t="n">
        <v>0</v>
      </c>
      <c r="P947" t="n">
        <v>0</v>
      </c>
      <c r="Q947" t="n">
        <v>0</v>
      </c>
      <c r="R947" t="n">
        <v>0</v>
      </c>
      <c r="S947" t="n">
        <v>0</v>
      </c>
      <c r="T947" t="n">
        <v>0</v>
      </c>
      <c r="U947" t="n">
        <v>0</v>
      </c>
      <c r="V947" s="2" t="inlineStr"/>
    </row>
    <row r="948" ht="15" customHeight="1">
      <c r="A948" t="inlineStr">
        <is>
          <t>A 37863-2026</t>
        </is>
      </c>
      <c r="B948" t="inlineStr">
        <is>
          <t>avverkningsanmälan</t>
        </is>
      </c>
      <c r="C948" t="inlineStr">
        <is>
          <t>Föryngringsavverkning</t>
        </is>
      </c>
      <c r="D948" s="1" t="n">
        <v>46279</v>
      </c>
      <c r="E948" s="1" t="n">
        <v>46313</v>
      </c>
      <c r="F948" t="inlineStr">
        <is>
          <t>VÄRMLANDS LÄN</t>
        </is>
      </c>
      <c r="G948" t="inlineStr">
        <is>
          <t>SUNNE</t>
        </is>
      </c>
      <c r="I948" t="n">
        <v>6</v>
      </c>
      <c r="J948" t="n">
        <v>0</v>
      </c>
      <c r="K948" t="n">
        <v>0</v>
      </c>
      <c r="L948" t="n">
        <v>0</v>
      </c>
      <c r="M948" t="n">
        <v>0</v>
      </c>
      <c r="N948" t="n">
        <v>0</v>
      </c>
      <c r="O948" t="n">
        <v>0</v>
      </c>
      <c r="P948" t="n">
        <v>0</v>
      </c>
      <c r="Q948" t="n">
        <v>0</v>
      </c>
      <c r="R948" t="n">
        <v>0</v>
      </c>
      <c r="S948" t="n">
        <v>0</v>
      </c>
      <c r="T948" t="n">
        <v>0</v>
      </c>
      <c r="U948" t="n">
        <v>0</v>
      </c>
      <c r="V948" s="2" t="inlineStr"/>
    </row>
    <row r="949" ht="15" customHeight="1">
      <c r="A949" t="inlineStr">
        <is>
          <t>A 37701-2026</t>
        </is>
      </c>
      <c r="B949" t="inlineStr">
        <is>
          <t>avverkningsanmälan</t>
        </is>
      </c>
      <c r="C949" t="inlineStr">
        <is>
          <t>Föryngringsavverkning</t>
        </is>
      </c>
      <c r="D949" s="1" t="n">
        <v>46276</v>
      </c>
      <c r="E949" s="1" t="n">
        <v>46313</v>
      </c>
      <c r="F949" t="inlineStr">
        <is>
          <t>VÄRMLANDS LÄN</t>
        </is>
      </c>
      <c r="G949" t="inlineStr">
        <is>
          <t>SUNNE</t>
        </is>
      </c>
      <c r="I949" t="n">
        <v>1.7</v>
      </c>
      <c r="J949" t="n">
        <v>0</v>
      </c>
      <c r="K949" t="n">
        <v>0</v>
      </c>
      <c r="L949" t="n">
        <v>0</v>
      </c>
      <c r="M949" t="n">
        <v>0</v>
      </c>
      <c r="N949" t="n">
        <v>0</v>
      </c>
      <c r="O949" t="n">
        <v>0</v>
      </c>
      <c r="P949" t="n">
        <v>0</v>
      </c>
      <c r="Q949" t="n">
        <v>0</v>
      </c>
      <c r="R949" t="n">
        <v>0</v>
      </c>
      <c r="S949" t="n">
        <v>0</v>
      </c>
      <c r="T949" t="n">
        <v>0</v>
      </c>
      <c r="U949" t="n">
        <v>0</v>
      </c>
      <c r="V949" s="2" t="inlineStr"/>
    </row>
    <row r="950" ht="15" customHeight="1">
      <c r="A950" t="inlineStr">
        <is>
          <t>A 32066-2026</t>
        </is>
      </c>
      <c r="B950" t="inlineStr">
        <is>
          <t>avverkningsanmälan</t>
        </is>
      </c>
      <c r="C950" t="inlineStr">
        <is>
          <t>Föryngringsavverkning</t>
        </is>
      </c>
      <c r="D950" s="1" t="n">
        <v>46233</v>
      </c>
      <c r="E950" s="1" t="n">
        <v>46313</v>
      </c>
      <c r="F950" t="inlineStr">
        <is>
          <t>VÄRMLANDS LÄN</t>
        </is>
      </c>
      <c r="G950" t="inlineStr">
        <is>
          <t>SUNNE</t>
        </is>
      </c>
      <c r="I950" t="n">
        <v>1.1</v>
      </c>
      <c r="J950" t="n">
        <v>0</v>
      </c>
      <c r="K950" t="n">
        <v>0</v>
      </c>
      <c r="L950" t="n">
        <v>0</v>
      </c>
      <c r="M950" t="n">
        <v>0</v>
      </c>
      <c r="N950" t="n">
        <v>0</v>
      </c>
      <c r="O950" t="n">
        <v>0</v>
      </c>
      <c r="P950" t="n">
        <v>0</v>
      </c>
      <c r="Q950" t="n">
        <v>0</v>
      </c>
      <c r="R950" t="n">
        <v>0</v>
      </c>
      <c r="S950" t="n">
        <v>0</v>
      </c>
      <c r="T950" t="n">
        <v>0</v>
      </c>
      <c r="U950" t="n">
        <v>0</v>
      </c>
      <c r="V950" s="2" t="inlineStr"/>
    </row>
    <row r="951" ht="15" customHeight="1">
      <c r="A951" t="inlineStr">
        <is>
          <t>A 252-2022</t>
        </is>
      </c>
      <c r="B951" t="inlineStr">
        <is>
          <t>avverkningsanmälan</t>
        </is>
      </c>
      <c r="C951" t="inlineStr">
        <is>
          <t>Föryngringsavverkning</t>
        </is>
      </c>
      <c r="D951" s="1" t="n">
        <v>44565</v>
      </c>
      <c r="E951" s="1" t="n">
        <v>46313</v>
      </c>
      <c r="F951" t="inlineStr">
        <is>
          <t>VÄRMLANDS LÄN</t>
        </is>
      </c>
      <c r="G951" t="inlineStr">
        <is>
          <t>SUNNE</t>
        </is>
      </c>
      <c r="I951" t="n">
        <v>2</v>
      </c>
      <c r="J951" t="n">
        <v>0</v>
      </c>
      <c r="K951" t="n">
        <v>0</v>
      </c>
      <c r="L951" t="n">
        <v>0</v>
      </c>
      <c r="M951" t="n">
        <v>0</v>
      </c>
      <c r="N951" t="n">
        <v>0</v>
      </c>
      <c r="O951" t="n">
        <v>0</v>
      </c>
      <c r="P951" t="n">
        <v>0</v>
      </c>
      <c r="Q951" t="n">
        <v>0</v>
      </c>
      <c r="R951" t="n">
        <v>0</v>
      </c>
      <c r="S951" t="n">
        <v>0</v>
      </c>
      <c r="T951" t="n">
        <v>0</v>
      </c>
      <c r="U951" t="n">
        <v>0</v>
      </c>
      <c r="V951" s="2" t="inlineStr"/>
    </row>
    <row r="952" ht="15" customHeight="1">
      <c r="A952" t="inlineStr">
        <is>
          <t>A 32089-2026</t>
        </is>
      </c>
      <c r="B952" t="inlineStr">
        <is>
          <t>avverkningsanmälan</t>
        </is>
      </c>
      <c r="C952" t="inlineStr">
        <is>
          <t>Föryngringsavverkning</t>
        </is>
      </c>
      <c r="D952" s="1" t="n">
        <v>46234</v>
      </c>
      <c r="E952" s="1" t="n">
        <v>46313</v>
      </c>
      <c r="F952" t="inlineStr">
        <is>
          <t>VÄRMLANDS LÄN</t>
        </is>
      </c>
      <c r="G952" t="inlineStr">
        <is>
          <t>SUNNE</t>
        </is>
      </c>
      <c r="I952" t="n">
        <v>1.3</v>
      </c>
      <c r="J952" t="n">
        <v>0</v>
      </c>
      <c r="K952" t="n">
        <v>0</v>
      </c>
      <c r="L952" t="n">
        <v>0</v>
      </c>
      <c r="M952" t="n">
        <v>0</v>
      </c>
      <c r="N952" t="n">
        <v>0</v>
      </c>
      <c r="O952" t="n">
        <v>0</v>
      </c>
      <c r="P952" t="n">
        <v>0</v>
      </c>
      <c r="Q952" t="n">
        <v>0</v>
      </c>
      <c r="R952" t="n">
        <v>0</v>
      </c>
      <c r="S952" t="n">
        <v>0</v>
      </c>
      <c r="T952" t="n">
        <v>0</v>
      </c>
      <c r="U952" t="n">
        <v>0</v>
      </c>
      <c r="V952" s="2" t="inlineStr"/>
    </row>
    <row r="953" ht="15" customHeight="1">
      <c r="A953" t="inlineStr">
        <is>
          <t>A 4564-2025</t>
        </is>
      </c>
      <c r="B953" t="inlineStr">
        <is>
          <t>avverkningsanmälan</t>
        </is>
      </c>
      <c r="C953" t="inlineStr">
        <is>
          <t>Föryngringsavverkning</t>
        </is>
      </c>
      <c r="D953" s="1" t="n">
        <v>45687</v>
      </c>
      <c r="E953" s="1" t="n">
        <v>46313</v>
      </c>
      <c r="F953" t="inlineStr">
        <is>
          <t>VÄRMLANDS LÄN</t>
        </is>
      </c>
      <c r="G953" t="inlineStr">
        <is>
          <t>SUNNE</t>
        </is>
      </c>
      <c r="I953" t="n">
        <v>2.3</v>
      </c>
      <c r="J953" t="n">
        <v>0</v>
      </c>
      <c r="K953" t="n">
        <v>0</v>
      </c>
      <c r="L953" t="n">
        <v>0</v>
      </c>
      <c r="M953" t="n">
        <v>0</v>
      </c>
      <c r="N953" t="n">
        <v>0</v>
      </c>
      <c r="O953" t="n">
        <v>0</v>
      </c>
      <c r="P953" t="n">
        <v>0</v>
      </c>
      <c r="Q953" t="n">
        <v>0</v>
      </c>
      <c r="R953" t="n">
        <v>0</v>
      </c>
      <c r="S953" t="n">
        <v>0</v>
      </c>
      <c r="T953" t="n">
        <v>0</v>
      </c>
      <c r="U953" t="n">
        <v>0</v>
      </c>
      <c r="V953" s="2" t="inlineStr"/>
    </row>
    <row r="954" ht="15" customHeight="1">
      <c r="A954" t="inlineStr">
        <is>
          <t>A 32142-2026</t>
        </is>
      </c>
      <c r="B954" t="inlineStr">
        <is>
          <t>avverkningsanmälan</t>
        </is>
      </c>
      <c r="C954" t="inlineStr">
        <is>
          <t>Föryngringsavverkning</t>
        </is>
      </c>
      <c r="D954" s="1" t="n">
        <v>46234</v>
      </c>
      <c r="E954" s="1" t="n">
        <v>46313</v>
      </c>
      <c r="F954" t="inlineStr">
        <is>
          <t>VÄRMLANDS LÄN</t>
        </is>
      </c>
      <c r="G954" t="inlineStr">
        <is>
          <t>SUNNE</t>
        </is>
      </c>
      <c r="H954" t="inlineStr">
        <is>
          <t>Bergvik skog väst AB</t>
        </is>
      </c>
      <c r="I954" t="n">
        <v>2.5</v>
      </c>
      <c r="J954" t="n">
        <v>0</v>
      </c>
      <c r="K954" t="n">
        <v>0</v>
      </c>
      <c r="L954" t="n">
        <v>0</v>
      </c>
      <c r="M954" t="n">
        <v>0</v>
      </c>
      <c r="N954" t="n">
        <v>0</v>
      </c>
      <c r="O954" t="n">
        <v>0</v>
      </c>
      <c r="P954" t="n">
        <v>0</v>
      </c>
      <c r="Q954" t="n">
        <v>0</v>
      </c>
      <c r="R954" t="n">
        <v>0</v>
      </c>
      <c r="S954" t="n">
        <v>0</v>
      </c>
      <c r="T954" t="n">
        <v>0</v>
      </c>
      <c r="U954" t="n">
        <v>0</v>
      </c>
      <c r="V954" s="2" t="inlineStr"/>
    </row>
    <row r="955" ht="15" customHeight="1">
      <c r="A955" t="inlineStr">
        <is>
          <t>A 32090-2026</t>
        </is>
      </c>
      <c r="B955" t="inlineStr">
        <is>
          <t>avverkningsanmälan</t>
        </is>
      </c>
      <c r="C955" t="inlineStr">
        <is>
          <t>Föryngringsavverkning</t>
        </is>
      </c>
      <c r="D955" s="1" t="n">
        <v>46234</v>
      </c>
      <c r="E955" s="1" t="n">
        <v>46313</v>
      </c>
      <c r="F955" t="inlineStr">
        <is>
          <t>VÄRMLANDS LÄN</t>
        </is>
      </c>
      <c r="G955" t="inlineStr">
        <is>
          <t>SUNNE</t>
        </is>
      </c>
      <c r="I955" t="n">
        <v>1</v>
      </c>
      <c r="J955" t="n">
        <v>0</v>
      </c>
      <c r="K955" t="n">
        <v>0</v>
      </c>
      <c r="L955" t="n">
        <v>0</v>
      </c>
      <c r="M955" t="n">
        <v>0</v>
      </c>
      <c r="N955" t="n">
        <v>0</v>
      </c>
      <c r="O955" t="n">
        <v>0</v>
      </c>
      <c r="P955" t="n">
        <v>0</v>
      </c>
      <c r="Q955" t="n">
        <v>0</v>
      </c>
      <c r="R955" t="n">
        <v>0</v>
      </c>
      <c r="S955" t="n">
        <v>0</v>
      </c>
      <c r="T955" t="n">
        <v>0</v>
      </c>
      <c r="U955" t="n">
        <v>0</v>
      </c>
      <c r="V955" s="2" t="inlineStr"/>
    </row>
    <row r="956" ht="15" customHeight="1">
      <c r="A956" t="inlineStr">
        <is>
          <t>A 37870-2026</t>
        </is>
      </c>
      <c r="B956" t="inlineStr">
        <is>
          <t>avverkningsanmälan</t>
        </is>
      </c>
      <c r="C956" t="inlineStr">
        <is>
          <t>Föryngringsavverkning</t>
        </is>
      </c>
      <c r="D956" s="1" t="n">
        <v>46279</v>
      </c>
      <c r="E956" s="1" t="n">
        <v>46313</v>
      </c>
      <c r="F956" t="inlineStr">
        <is>
          <t>VÄRMLANDS LÄN</t>
        </is>
      </c>
      <c r="G956" t="inlineStr">
        <is>
          <t>SUNNE</t>
        </is>
      </c>
      <c r="I956" t="n">
        <v>1.8</v>
      </c>
      <c r="J956" t="n">
        <v>0</v>
      </c>
      <c r="K956" t="n">
        <v>0</v>
      </c>
      <c r="L956" t="n">
        <v>0</v>
      </c>
      <c r="M956" t="n">
        <v>0</v>
      </c>
      <c r="N956" t="n">
        <v>0</v>
      </c>
      <c r="O956" t="n">
        <v>0</v>
      </c>
      <c r="P956" t="n">
        <v>0</v>
      </c>
      <c r="Q956" t="n">
        <v>0</v>
      </c>
      <c r="R956" t="n">
        <v>0</v>
      </c>
      <c r="S956" t="n">
        <v>0</v>
      </c>
      <c r="T956" t="n">
        <v>0</v>
      </c>
      <c r="U956" t="n">
        <v>0</v>
      </c>
      <c r="V956" s="2" t="inlineStr"/>
    </row>
    <row r="957" ht="15" customHeight="1">
      <c r="A957" t="inlineStr">
        <is>
          <t>A 55079-2022</t>
        </is>
      </c>
      <c r="B957" t="inlineStr">
        <is>
          <t>avverkningsanmälan</t>
        </is>
      </c>
      <c r="C957" t="inlineStr">
        <is>
          <t>Föryngringsavverkning</t>
        </is>
      </c>
      <c r="D957" s="1" t="n">
        <v>44886</v>
      </c>
      <c r="E957" s="1" t="n">
        <v>46313</v>
      </c>
      <c r="F957" t="inlineStr">
        <is>
          <t>VÄRMLANDS LÄN</t>
        </is>
      </c>
      <c r="G957" t="inlineStr">
        <is>
          <t>SUNNE</t>
        </is>
      </c>
      <c r="I957" t="n">
        <v>1.4</v>
      </c>
      <c r="J957" t="n">
        <v>0</v>
      </c>
      <c r="K957" t="n">
        <v>0</v>
      </c>
      <c r="L957" t="n">
        <v>0</v>
      </c>
      <c r="M957" t="n">
        <v>0</v>
      </c>
      <c r="N957" t="n">
        <v>0</v>
      </c>
      <c r="O957" t="n">
        <v>0</v>
      </c>
      <c r="P957" t="n">
        <v>0</v>
      </c>
      <c r="Q957" t="n">
        <v>0</v>
      </c>
      <c r="R957" t="n">
        <v>0</v>
      </c>
      <c r="S957" t="n">
        <v>0</v>
      </c>
      <c r="T957" t="n">
        <v>0</v>
      </c>
      <c r="U957" t="n">
        <v>0</v>
      </c>
      <c r="V957" s="2" t="inlineStr"/>
    </row>
    <row r="958" ht="15" customHeight="1">
      <c r="A958" t="inlineStr">
        <is>
          <t>A 44096-2024</t>
        </is>
      </c>
      <c r="B958" t="inlineStr">
        <is>
          <t>avverkningsanmälan</t>
        </is>
      </c>
      <c r="C958" t="inlineStr">
        <is>
          <t>Föryngringsavverkning</t>
        </is>
      </c>
      <c r="D958" s="1" t="n">
        <v>45572</v>
      </c>
      <c r="E958" s="1" t="n">
        <v>46313</v>
      </c>
      <c r="F958" t="inlineStr">
        <is>
          <t>VÄRMLANDS LÄN</t>
        </is>
      </c>
      <c r="G958" t="inlineStr">
        <is>
          <t>SUNNE</t>
        </is>
      </c>
      <c r="I958" t="n">
        <v>0.6</v>
      </c>
      <c r="J958" t="n">
        <v>0</v>
      </c>
      <c r="K958" t="n">
        <v>0</v>
      </c>
      <c r="L958" t="n">
        <v>0</v>
      </c>
      <c r="M958" t="n">
        <v>0</v>
      </c>
      <c r="N958" t="n">
        <v>0</v>
      </c>
      <c r="O958" t="n">
        <v>0</v>
      </c>
      <c r="P958" t="n">
        <v>0</v>
      </c>
      <c r="Q958" t="n">
        <v>0</v>
      </c>
      <c r="R958" t="n">
        <v>0</v>
      </c>
      <c r="S958" t="n">
        <v>0</v>
      </c>
      <c r="T958" t="n">
        <v>0</v>
      </c>
      <c r="U958" t="n">
        <v>0</v>
      </c>
      <c r="V958" s="2" t="inlineStr"/>
    </row>
    <row r="959" ht="15" customHeight="1">
      <c r="A959" t="inlineStr">
        <is>
          <t>A 7287-2025</t>
        </is>
      </c>
      <c r="B959" t="inlineStr">
        <is>
          <t>avverkningsanmälan</t>
        </is>
      </c>
      <c r="C959" t="inlineStr">
        <is>
          <t>Föryngringsavverkning</t>
        </is>
      </c>
      <c r="D959" s="1" t="n">
        <v>45702</v>
      </c>
      <c r="E959" s="1" t="n">
        <v>46313</v>
      </c>
      <c r="F959" t="inlineStr">
        <is>
          <t>VÄRMLANDS LÄN</t>
        </is>
      </c>
      <c r="G959" t="inlineStr">
        <is>
          <t>SUNNE</t>
        </is>
      </c>
      <c r="H959" t="inlineStr">
        <is>
          <t>Bergvik skog väst AB</t>
        </is>
      </c>
      <c r="I959" t="n">
        <v>0.7</v>
      </c>
      <c r="J959" t="n">
        <v>0</v>
      </c>
      <c r="K959" t="n">
        <v>0</v>
      </c>
      <c r="L959" t="n">
        <v>0</v>
      </c>
      <c r="M959" t="n">
        <v>0</v>
      </c>
      <c r="N959" t="n">
        <v>0</v>
      </c>
      <c r="O959" t="n">
        <v>0</v>
      </c>
      <c r="P959" t="n">
        <v>0</v>
      </c>
      <c r="Q959" t="n">
        <v>0</v>
      </c>
      <c r="R959" t="n">
        <v>0</v>
      </c>
      <c r="S959" t="n">
        <v>0</v>
      </c>
      <c r="T959" t="n">
        <v>0</v>
      </c>
      <c r="U959" t="n">
        <v>0</v>
      </c>
      <c r="V959" s="2" t="inlineStr"/>
    </row>
    <row r="960" ht="15" customHeight="1">
      <c r="A960" t="inlineStr">
        <is>
          <t>A 30304-2024</t>
        </is>
      </c>
      <c r="B960" t="inlineStr">
        <is>
          <t>avverkningsanmälan</t>
        </is>
      </c>
      <c r="C960" t="inlineStr">
        <is>
          <t>Föryngringsavverkning</t>
        </is>
      </c>
      <c r="D960" s="1" t="n">
        <v>45490</v>
      </c>
      <c r="E960" s="1" t="n">
        <v>46313</v>
      </c>
      <c r="F960" t="inlineStr">
        <is>
          <t>VÄRMLANDS LÄN</t>
        </is>
      </c>
      <c r="G960" t="inlineStr">
        <is>
          <t>SUNNE</t>
        </is>
      </c>
      <c r="I960" t="n">
        <v>0.6</v>
      </c>
      <c r="J960" t="n">
        <v>0</v>
      </c>
      <c r="K960" t="n">
        <v>0</v>
      </c>
      <c r="L960" t="n">
        <v>0</v>
      </c>
      <c r="M960" t="n">
        <v>0</v>
      </c>
      <c r="N960" t="n">
        <v>0</v>
      </c>
      <c r="O960" t="n">
        <v>0</v>
      </c>
      <c r="P960" t="n">
        <v>0</v>
      </c>
      <c r="Q960" t="n">
        <v>0</v>
      </c>
      <c r="R960" t="n">
        <v>0</v>
      </c>
      <c r="S960" t="n">
        <v>0</v>
      </c>
      <c r="T960" t="n">
        <v>0</v>
      </c>
      <c r="U960" t="n">
        <v>0</v>
      </c>
      <c r="V960" s="2" t="inlineStr"/>
    </row>
    <row r="961" ht="15" customHeight="1">
      <c r="A961" t="inlineStr">
        <is>
          <t>A 46120-2023</t>
        </is>
      </c>
      <c r="B961" t="inlineStr">
        <is>
          <t>avverkningsanmälan</t>
        </is>
      </c>
      <c r="C961" t="inlineStr">
        <is>
          <t>Föryngringsavverkning</t>
        </is>
      </c>
      <c r="D961" s="1" t="n">
        <v>45196</v>
      </c>
      <c r="E961" s="1" t="n">
        <v>46313</v>
      </c>
      <c r="F961" t="inlineStr">
        <is>
          <t>VÄRMLANDS LÄN</t>
        </is>
      </c>
      <c r="G961" t="inlineStr">
        <is>
          <t>SUNNE</t>
        </is>
      </c>
      <c r="I961" t="n">
        <v>2.1</v>
      </c>
      <c r="J961" t="n">
        <v>0</v>
      </c>
      <c r="K961" t="n">
        <v>0</v>
      </c>
      <c r="L961" t="n">
        <v>0</v>
      </c>
      <c r="M961" t="n">
        <v>0</v>
      </c>
      <c r="N961" t="n">
        <v>0</v>
      </c>
      <c r="O961" t="n">
        <v>0</v>
      </c>
      <c r="P961" t="n">
        <v>0</v>
      </c>
      <c r="Q961" t="n">
        <v>0</v>
      </c>
      <c r="R961" t="n">
        <v>0</v>
      </c>
      <c r="S961" t="n">
        <v>0</v>
      </c>
      <c r="T961" t="n">
        <v>0</v>
      </c>
      <c r="U961" t="n">
        <v>0</v>
      </c>
      <c r="V961" s="2" t="inlineStr"/>
    </row>
    <row r="962" ht="15" customHeight="1">
      <c r="A962" t="inlineStr">
        <is>
          <t>A 62149-2024</t>
        </is>
      </c>
      <c r="B962" t="inlineStr">
        <is>
          <t>avverkningsanmälan</t>
        </is>
      </c>
      <c r="C962" t="inlineStr">
        <is>
          <t>Föryngringsavverkning</t>
        </is>
      </c>
      <c r="D962" s="1" t="n">
        <v>45646</v>
      </c>
      <c r="E962" s="1" t="n">
        <v>46313</v>
      </c>
      <c r="F962" t="inlineStr">
        <is>
          <t>VÄRMLANDS LÄN</t>
        </is>
      </c>
      <c r="G962" t="inlineStr">
        <is>
          <t>SUNNE</t>
        </is>
      </c>
      <c r="I962" t="n">
        <v>2.3</v>
      </c>
      <c r="J962" t="n">
        <v>0</v>
      </c>
      <c r="K962" t="n">
        <v>0</v>
      </c>
      <c r="L962" t="n">
        <v>0</v>
      </c>
      <c r="M962" t="n">
        <v>0</v>
      </c>
      <c r="N962" t="n">
        <v>0</v>
      </c>
      <c r="O962" t="n">
        <v>0</v>
      </c>
      <c r="P962" t="n">
        <v>0</v>
      </c>
      <c r="Q962" t="n">
        <v>0</v>
      </c>
      <c r="R962" t="n">
        <v>0</v>
      </c>
      <c r="S962" t="n">
        <v>0</v>
      </c>
      <c r="T962" t="n">
        <v>0</v>
      </c>
      <c r="U962" t="n">
        <v>0</v>
      </c>
      <c r="V962" s="2" t="inlineStr"/>
    </row>
    <row r="963" ht="15" customHeight="1">
      <c r="A963" t="inlineStr">
        <is>
          <t>A 32211-2026</t>
        </is>
      </c>
      <c r="B963" t="inlineStr">
        <is>
          <t>avverkningsanmälan</t>
        </is>
      </c>
      <c r="C963" t="inlineStr">
        <is>
          <t>Föryngringsavverkning</t>
        </is>
      </c>
      <c r="D963" s="1" t="n">
        <v>46236</v>
      </c>
      <c r="E963" s="1" t="n">
        <v>46313</v>
      </c>
      <c r="F963" t="inlineStr">
        <is>
          <t>VÄRMLANDS LÄN</t>
        </is>
      </c>
      <c r="G963" t="inlineStr">
        <is>
          <t>SUNNE</t>
        </is>
      </c>
      <c r="I963" t="n">
        <v>3</v>
      </c>
      <c r="J963" t="n">
        <v>0</v>
      </c>
      <c r="K963" t="n">
        <v>0</v>
      </c>
      <c r="L963" t="n">
        <v>0</v>
      </c>
      <c r="M963" t="n">
        <v>0</v>
      </c>
      <c r="N963" t="n">
        <v>0</v>
      </c>
      <c r="O963" t="n">
        <v>0</v>
      </c>
      <c r="P963" t="n">
        <v>0</v>
      </c>
      <c r="Q963" t="n">
        <v>0</v>
      </c>
      <c r="R963" t="n">
        <v>0</v>
      </c>
      <c r="S963" t="n">
        <v>0</v>
      </c>
      <c r="T963" t="n">
        <v>0</v>
      </c>
      <c r="U963" t="n">
        <v>0</v>
      </c>
      <c r="V963" s="2" t="inlineStr"/>
    </row>
    <row r="964" ht="15" customHeight="1">
      <c r="A964" t="inlineStr">
        <is>
          <t>A 37848-2026</t>
        </is>
      </c>
      <c r="B964" t="inlineStr">
        <is>
          <t>avverkningsanmälan</t>
        </is>
      </c>
      <c r="C964" t="inlineStr">
        <is>
          <t>Föryngringsavverkning</t>
        </is>
      </c>
      <c r="D964" s="1" t="n">
        <v>46279</v>
      </c>
      <c r="E964" s="1" t="n">
        <v>46313</v>
      </c>
      <c r="F964" t="inlineStr">
        <is>
          <t>VÄRMLANDS LÄN</t>
        </is>
      </c>
      <c r="G964" t="inlineStr">
        <is>
          <t>SUNNE</t>
        </is>
      </c>
      <c r="I964" t="n">
        <v>4.3</v>
      </c>
      <c r="J964" t="n">
        <v>0</v>
      </c>
      <c r="K964" t="n">
        <v>0</v>
      </c>
      <c r="L964" t="n">
        <v>0</v>
      </c>
      <c r="M964" t="n">
        <v>0</v>
      </c>
      <c r="N964" t="n">
        <v>0</v>
      </c>
      <c r="O964" t="n">
        <v>0</v>
      </c>
      <c r="P964" t="n">
        <v>0</v>
      </c>
      <c r="Q964" t="n">
        <v>0</v>
      </c>
      <c r="R964" t="n">
        <v>0</v>
      </c>
      <c r="S964" t="n">
        <v>0</v>
      </c>
      <c r="T964" t="n">
        <v>0</v>
      </c>
      <c r="U964" t="n">
        <v>0</v>
      </c>
      <c r="V964" s="2" t="inlineStr"/>
    </row>
    <row r="965" ht="15" customHeight="1">
      <c r="A965" t="inlineStr">
        <is>
          <t>A 29489-2022</t>
        </is>
      </c>
      <c r="B965" t="inlineStr">
        <is>
          <t>avverkningsanmälan</t>
        </is>
      </c>
      <c r="C965" t="inlineStr">
        <is>
          <t>Föryngringsavverkning</t>
        </is>
      </c>
      <c r="D965" s="1" t="n">
        <v>44753</v>
      </c>
      <c r="E965" s="1" t="n">
        <v>46313</v>
      </c>
      <c r="F965" t="inlineStr">
        <is>
          <t>VÄRMLANDS LÄN</t>
        </is>
      </c>
      <c r="G965" t="inlineStr">
        <is>
          <t>SUNNE</t>
        </is>
      </c>
      <c r="H965" t="inlineStr">
        <is>
          <t>Övriga Aktiebolag</t>
        </is>
      </c>
      <c r="I965" t="n">
        <v>1</v>
      </c>
      <c r="J965" t="n">
        <v>0</v>
      </c>
      <c r="K965" t="n">
        <v>0</v>
      </c>
      <c r="L965" t="n">
        <v>0</v>
      </c>
      <c r="M965" t="n">
        <v>0</v>
      </c>
      <c r="N965" t="n">
        <v>0</v>
      </c>
      <c r="O965" t="n">
        <v>0</v>
      </c>
      <c r="P965" t="n">
        <v>0</v>
      </c>
      <c r="Q965" t="n">
        <v>0</v>
      </c>
      <c r="R965" t="n">
        <v>0</v>
      </c>
      <c r="S965" t="n">
        <v>0</v>
      </c>
      <c r="T965" t="n">
        <v>0</v>
      </c>
      <c r="U965" t="n">
        <v>0</v>
      </c>
      <c r="V965" s="2" t="inlineStr"/>
    </row>
    <row r="966" ht="15" customHeight="1">
      <c r="A966" t="inlineStr">
        <is>
          <t>A 37833-2026</t>
        </is>
      </c>
      <c r="B966" t="inlineStr">
        <is>
          <t>avverkningsanmälan</t>
        </is>
      </c>
      <c r="C966" t="inlineStr">
        <is>
          <t>Föryngringsavverkning</t>
        </is>
      </c>
      <c r="D966" s="1" t="n">
        <v>46279</v>
      </c>
      <c r="E966" s="1" t="n">
        <v>46313</v>
      </c>
      <c r="F966" t="inlineStr">
        <is>
          <t>VÄRMLANDS LÄN</t>
        </is>
      </c>
      <c r="G966" t="inlineStr">
        <is>
          <t>SUNNE</t>
        </is>
      </c>
      <c r="I966" t="n">
        <v>0.9</v>
      </c>
      <c r="J966" t="n">
        <v>0</v>
      </c>
      <c r="K966" t="n">
        <v>0</v>
      </c>
      <c r="L966" t="n">
        <v>0</v>
      </c>
      <c r="M966" t="n">
        <v>0</v>
      </c>
      <c r="N966" t="n">
        <v>0</v>
      </c>
      <c r="O966" t="n">
        <v>0</v>
      </c>
      <c r="P966" t="n">
        <v>0</v>
      </c>
      <c r="Q966" t="n">
        <v>0</v>
      </c>
      <c r="R966" t="n">
        <v>0</v>
      </c>
      <c r="S966" t="n">
        <v>0</v>
      </c>
      <c r="T966" t="n">
        <v>0</v>
      </c>
      <c r="U966" t="n">
        <v>0</v>
      </c>
      <c r="V966" s="2" t="inlineStr"/>
    </row>
    <row r="967" ht="15" customHeight="1">
      <c r="A967" t="inlineStr">
        <is>
          <t>A 42523-2023</t>
        </is>
      </c>
      <c r="B967" t="inlineStr">
        <is>
          <t>avverkningsanmälan</t>
        </is>
      </c>
      <c r="C967" t="inlineStr">
        <is>
          <t>Föryngringsavverkning</t>
        </is>
      </c>
      <c r="D967" s="1" t="n">
        <v>45181</v>
      </c>
      <c r="E967" s="1" t="n">
        <v>46313</v>
      </c>
      <c r="F967" t="inlineStr">
        <is>
          <t>VÄRMLANDS LÄN</t>
        </is>
      </c>
      <c r="G967" t="inlineStr">
        <is>
          <t>SUNNE</t>
        </is>
      </c>
      <c r="I967" t="n">
        <v>0.5</v>
      </c>
      <c r="J967" t="n">
        <v>0</v>
      </c>
      <c r="K967" t="n">
        <v>0</v>
      </c>
      <c r="L967" t="n">
        <v>0</v>
      </c>
      <c r="M967" t="n">
        <v>0</v>
      </c>
      <c r="N967" t="n">
        <v>0</v>
      </c>
      <c r="O967" t="n">
        <v>0</v>
      </c>
      <c r="P967" t="n">
        <v>0</v>
      </c>
      <c r="Q967" t="n">
        <v>0</v>
      </c>
      <c r="R967" t="n">
        <v>0</v>
      </c>
      <c r="S967" t="n">
        <v>0</v>
      </c>
      <c r="T967" t="n">
        <v>0</v>
      </c>
      <c r="U967" t="n">
        <v>0</v>
      </c>
      <c r="V967" s="2" t="inlineStr"/>
    </row>
    <row r="968" ht="15" customHeight="1">
      <c r="A968" t="inlineStr">
        <is>
          <t>A 10509-2024</t>
        </is>
      </c>
      <c r="B968" t="inlineStr">
        <is>
          <t>avverkningsanmälan</t>
        </is>
      </c>
      <c r="C968" t="inlineStr">
        <is>
          <t>Föryngringsavverkning</t>
        </is>
      </c>
      <c r="D968" s="1" t="n">
        <v>45366</v>
      </c>
      <c r="E968" s="1" t="n">
        <v>46313</v>
      </c>
      <c r="F968" t="inlineStr">
        <is>
          <t>VÄRMLANDS LÄN</t>
        </is>
      </c>
      <c r="G968" t="inlineStr">
        <is>
          <t>SUNNE</t>
        </is>
      </c>
      <c r="I968" t="n">
        <v>1.2</v>
      </c>
      <c r="J968" t="n">
        <v>0</v>
      </c>
      <c r="K968" t="n">
        <v>0</v>
      </c>
      <c r="L968" t="n">
        <v>0</v>
      </c>
      <c r="M968" t="n">
        <v>0</v>
      </c>
      <c r="N968" t="n">
        <v>0</v>
      </c>
      <c r="O968" t="n">
        <v>0</v>
      </c>
      <c r="P968" t="n">
        <v>0</v>
      </c>
      <c r="Q968" t="n">
        <v>0</v>
      </c>
      <c r="R968" t="n">
        <v>0</v>
      </c>
      <c r="S968" t="n">
        <v>0</v>
      </c>
      <c r="T968" t="n">
        <v>0</v>
      </c>
      <c r="U968" t="n">
        <v>0</v>
      </c>
      <c r="V968" s="2" t="inlineStr"/>
    </row>
    <row r="969" ht="15" customHeight="1">
      <c r="A969" t="inlineStr">
        <is>
          <t>A 56433-2022</t>
        </is>
      </c>
      <c r="B969" t="inlineStr">
        <is>
          <t>avverkningsanmälan</t>
        </is>
      </c>
      <c r="C969" t="inlineStr">
        <is>
          <t>Föryngringsavverkning</t>
        </is>
      </c>
      <c r="D969" s="1" t="n">
        <v>44891</v>
      </c>
      <c r="E969" s="1" t="n">
        <v>46313</v>
      </c>
      <c r="F969" t="inlineStr">
        <is>
          <t>VÄRMLANDS LÄN</t>
        </is>
      </c>
      <c r="G969" t="inlineStr">
        <is>
          <t>SUNNE</t>
        </is>
      </c>
      <c r="I969" t="n">
        <v>1.6</v>
      </c>
      <c r="J969" t="n">
        <v>0</v>
      </c>
      <c r="K969" t="n">
        <v>0</v>
      </c>
      <c r="L969" t="n">
        <v>0</v>
      </c>
      <c r="M969" t="n">
        <v>0</v>
      </c>
      <c r="N969" t="n">
        <v>0</v>
      </c>
      <c r="O969" t="n">
        <v>0</v>
      </c>
      <c r="P969" t="n">
        <v>0</v>
      </c>
      <c r="Q969" t="n">
        <v>0</v>
      </c>
      <c r="R969" t="n">
        <v>0</v>
      </c>
      <c r="S969" t="n">
        <v>0</v>
      </c>
      <c r="T969" t="n">
        <v>0</v>
      </c>
      <c r="U969" t="n">
        <v>0</v>
      </c>
      <c r="V969" s="2" t="inlineStr"/>
    </row>
    <row r="970" ht="15" customHeight="1">
      <c r="A970" t="inlineStr">
        <is>
          <t>A 54036-2022</t>
        </is>
      </c>
      <c r="B970" t="inlineStr">
        <is>
          <t>avverkningsanmälan</t>
        </is>
      </c>
      <c r="C970" t="inlineStr">
        <is>
          <t>Föryngringsavverkning</t>
        </is>
      </c>
      <c r="D970" s="1" t="n">
        <v>44881</v>
      </c>
      <c r="E970" s="1" t="n">
        <v>46313</v>
      </c>
      <c r="F970" t="inlineStr">
        <is>
          <t>VÄRMLANDS LÄN</t>
        </is>
      </c>
      <c r="G970" t="inlineStr">
        <is>
          <t>SUNNE</t>
        </is>
      </c>
      <c r="I970" t="n">
        <v>2.3</v>
      </c>
      <c r="J970" t="n">
        <v>0</v>
      </c>
      <c r="K970" t="n">
        <v>0</v>
      </c>
      <c r="L970" t="n">
        <v>0</v>
      </c>
      <c r="M970" t="n">
        <v>0</v>
      </c>
      <c r="N970" t="n">
        <v>0</v>
      </c>
      <c r="O970" t="n">
        <v>0</v>
      </c>
      <c r="P970" t="n">
        <v>0</v>
      </c>
      <c r="Q970" t="n">
        <v>0</v>
      </c>
      <c r="R970" t="n">
        <v>0</v>
      </c>
      <c r="S970" t="n">
        <v>0</v>
      </c>
      <c r="T970" t="n">
        <v>0</v>
      </c>
      <c r="U970" t="n">
        <v>0</v>
      </c>
      <c r="V970" s="2" t="inlineStr"/>
    </row>
    <row r="971" ht="15" customHeight="1">
      <c r="A971" t="inlineStr">
        <is>
          <t>A 44623-2023</t>
        </is>
      </c>
      <c r="B971" t="inlineStr">
        <is>
          <t>avverkningsanmälan</t>
        </is>
      </c>
      <c r="C971" t="inlineStr">
        <is>
          <t>Föryngringsavverkning</t>
        </is>
      </c>
      <c r="D971" s="1" t="n">
        <v>45189</v>
      </c>
      <c r="E971" s="1" t="n">
        <v>46313</v>
      </c>
      <c r="F971" t="inlineStr">
        <is>
          <t>VÄRMLANDS LÄN</t>
        </is>
      </c>
      <c r="G971" t="inlineStr">
        <is>
          <t>SUNNE</t>
        </is>
      </c>
      <c r="I971" t="n">
        <v>1.4</v>
      </c>
      <c r="J971" t="n">
        <v>0</v>
      </c>
      <c r="K971" t="n">
        <v>0</v>
      </c>
      <c r="L971" t="n">
        <v>0</v>
      </c>
      <c r="M971" t="n">
        <v>0</v>
      </c>
      <c r="N971" t="n">
        <v>0</v>
      </c>
      <c r="O971" t="n">
        <v>0</v>
      </c>
      <c r="P971" t="n">
        <v>0</v>
      </c>
      <c r="Q971" t="n">
        <v>0</v>
      </c>
      <c r="R971" t="n">
        <v>0</v>
      </c>
      <c r="S971" t="n">
        <v>0</v>
      </c>
      <c r="T971" t="n">
        <v>0</v>
      </c>
      <c r="U971" t="n">
        <v>0</v>
      </c>
      <c r="V971" s="2" t="inlineStr"/>
    </row>
    <row r="972" ht="15" customHeight="1">
      <c r="A972" t="inlineStr">
        <is>
          <t>A 32453-2026</t>
        </is>
      </c>
      <c r="B972" t="inlineStr">
        <is>
          <t>avverkningsanmälan</t>
        </is>
      </c>
      <c r="C972" t="inlineStr">
        <is>
          <t>Föryngringsavverkning</t>
        </is>
      </c>
      <c r="D972" s="1" t="n">
        <v>46239</v>
      </c>
      <c r="E972" s="1" t="n">
        <v>46313</v>
      </c>
      <c r="F972" t="inlineStr">
        <is>
          <t>VÄRMLANDS LÄN</t>
        </is>
      </c>
      <c r="G972" t="inlineStr">
        <is>
          <t>SUNNE</t>
        </is>
      </c>
      <c r="I972" t="n">
        <v>2.2</v>
      </c>
      <c r="J972" t="n">
        <v>0</v>
      </c>
      <c r="K972" t="n">
        <v>0</v>
      </c>
      <c r="L972" t="n">
        <v>0</v>
      </c>
      <c r="M972" t="n">
        <v>0</v>
      </c>
      <c r="N972" t="n">
        <v>0</v>
      </c>
      <c r="O972" t="n">
        <v>0</v>
      </c>
      <c r="P972" t="n">
        <v>0</v>
      </c>
      <c r="Q972" t="n">
        <v>0</v>
      </c>
      <c r="R972" t="n">
        <v>0</v>
      </c>
      <c r="S972" t="n">
        <v>0</v>
      </c>
      <c r="T972" t="n">
        <v>0</v>
      </c>
      <c r="U972" t="n">
        <v>0</v>
      </c>
      <c r="V972" s="2" t="inlineStr"/>
    </row>
    <row r="973" ht="15" customHeight="1">
      <c r="A973" t="inlineStr">
        <is>
          <t>A 32450-2026</t>
        </is>
      </c>
      <c r="B973" t="inlineStr">
        <is>
          <t>avverkningsanmälan</t>
        </is>
      </c>
      <c r="C973" t="inlineStr">
        <is>
          <t>Föryngringsavverkning</t>
        </is>
      </c>
      <c r="D973" s="1" t="n">
        <v>46239</v>
      </c>
      <c r="E973" s="1" t="n">
        <v>46313</v>
      </c>
      <c r="F973" t="inlineStr">
        <is>
          <t>VÄRMLANDS LÄN</t>
        </is>
      </c>
      <c r="G973" t="inlineStr">
        <is>
          <t>SUNNE</t>
        </is>
      </c>
      <c r="I973" t="n">
        <v>1.4</v>
      </c>
      <c r="J973" t="n">
        <v>0</v>
      </c>
      <c r="K973" t="n">
        <v>0</v>
      </c>
      <c r="L973" t="n">
        <v>0</v>
      </c>
      <c r="M973" t="n">
        <v>0</v>
      </c>
      <c r="N973" t="n">
        <v>0</v>
      </c>
      <c r="O973" t="n">
        <v>0</v>
      </c>
      <c r="P973" t="n">
        <v>0</v>
      </c>
      <c r="Q973" t="n">
        <v>0</v>
      </c>
      <c r="R973" t="n">
        <v>0</v>
      </c>
      <c r="S973" t="n">
        <v>0</v>
      </c>
      <c r="T973" t="n">
        <v>0</v>
      </c>
      <c r="U973" t="n">
        <v>0</v>
      </c>
      <c r="V973" s="2" t="inlineStr"/>
    </row>
    <row r="974" ht="15" customHeight="1">
      <c r="A974" t="inlineStr">
        <is>
          <t>A 52512-2023</t>
        </is>
      </c>
      <c r="B974" t="inlineStr">
        <is>
          <t>avverkningsanmälan</t>
        </is>
      </c>
      <c r="C974" t="inlineStr">
        <is>
          <t>Föryngringsavverkning</t>
        </is>
      </c>
      <c r="D974" s="1" t="n">
        <v>45225</v>
      </c>
      <c r="E974" s="1" t="n">
        <v>46313</v>
      </c>
      <c r="F974" t="inlineStr">
        <is>
          <t>VÄRMLANDS LÄN</t>
        </is>
      </c>
      <c r="G974" t="inlineStr">
        <is>
          <t>SUNNE</t>
        </is>
      </c>
      <c r="I974" t="n">
        <v>2</v>
      </c>
      <c r="J974" t="n">
        <v>0</v>
      </c>
      <c r="K974" t="n">
        <v>0</v>
      </c>
      <c r="L974" t="n">
        <v>0</v>
      </c>
      <c r="M974" t="n">
        <v>0</v>
      </c>
      <c r="N974" t="n">
        <v>0</v>
      </c>
      <c r="O974" t="n">
        <v>0</v>
      </c>
      <c r="P974" t="n">
        <v>0</v>
      </c>
      <c r="Q974" t="n">
        <v>0</v>
      </c>
      <c r="R974" t="n">
        <v>0</v>
      </c>
      <c r="S974" t="n">
        <v>0</v>
      </c>
      <c r="T974" t="n">
        <v>0</v>
      </c>
      <c r="U974" t="n">
        <v>0</v>
      </c>
      <c r="V974" s="2" t="inlineStr"/>
    </row>
    <row r="975" ht="15" customHeight="1">
      <c r="A975" t="inlineStr">
        <is>
          <t>A 47225-2023</t>
        </is>
      </c>
      <c r="B975" t="inlineStr">
        <is>
          <t>avverkningsanmälan</t>
        </is>
      </c>
      <c r="C975" t="inlineStr">
        <is>
          <t>Föryngringsavverkning</t>
        </is>
      </c>
      <c r="D975" s="1" t="n">
        <v>45196</v>
      </c>
      <c r="E975" s="1" t="n">
        <v>46313</v>
      </c>
      <c r="F975" t="inlineStr">
        <is>
          <t>VÄRMLANDS LÄN</t>
        </is>
      </c>
      <c r="G975" t="inlineStr">
        <is>
          <t>SUNNE</t>
        </is>
      </c>
      <c r="I975" t="n">
        <v>0.6</v>
      </c>
      <c r="J975" t="n">
        <v>0</v>
      </c>
      <c r="K975" t="n">
        <v>0</v>
      </c>
      <c r="L975" t="n">
        <v>0</v>
      </c>
      <c r="M975" t="n">
        <v>0</v>
      </c>
      <c r="N975" t="n">
        <v>0</v>
      </c>
      <c r="O975" t="n">
        <v>0</v>
      </c>
      <c r="P975" t="n">
        <v>0</v>
      </c>
      <c r="Q975" t="n">
        <v>0</v>
      </c>
      <c r="R975" t="n">
        <v>0</v>
      </c>
      <c r="S975" t="n">
        <v>0</v>
      </c>
      <c r="T975" t="n">
        <v>0</v>
      </c>
      <c r="U975" t="n">
        <v>0</v>
      </c>
      <c r="V975" s="2" t="inlineStr"/>
    </row>
    <row r="976" ht="15" customHeight="1">
      <c r="A976" t="inlineStr">
        <is>
          <t>A 32316-2026</t>
        </is>
      </c>
      <c r="B976" t="inlineStr">
        <is>
          <t>avverkningsanmälan</t>
        </is>
      </c>
      <c r="C976" t="inlineStr">
        <is>
          <t>Föryngringsavverkning</t>
        </is>
      </c>
      <c r="D976" s="1" t="n">
        <v>46237</v>
      </c>
      <c r="E976" s="1" t="n">
        <v>46313</v>
      </c>
      <c r="F976" t="inlineStr">
        <is>
          <t>VÄRMLANDS LÄN</t>
        </is>
      </c>
      <c r="G976" t="inlineStr">
        <is>
          <t>SUNNE</t>
        </is>
      </c>
      <c r="I976" t="n">
        <v>6.7</v>
      </c>
      <c r="J976" t="n">
        <v>0</v>
      </c>
      <c r="K976" t="n">
        <v>0</v>
      </c>
      <c r="L976" t="n">
        <v>0</v>
      </c>
      <c r="M976" t="n">
        <v>0</v>
      </c>
      <c r="N976" t="n">
        <v>0</v>
      </c>
      <c r="O976" t="n">
        <v>0</v>
      </c>
      <c r="P976" t="n">
        <v>0</v>
      </c>
      <c r="Q976" t="n">
        <v>0</v>
      </c>
      <c r="R976" t="n">
        <v>0</v>
      </c>
      <c r="S976" t="n">
        <v>0</v>
      </c>
      <c r="T976" t="n">
        <v>0</v>
      </c>
      <c r="U976" t="n">
        <v>0</v>
      </c>
      <c r="V976" s="2" t="inlineStr"/>
    </row>
    <row r="977" ht="15" customHeight="1">
      <c r="A977" t="inlineStr">
        <is>
          <t>A 37790-2024</t>
        </is>
      </c>
      <c r="B977" t="inlineStr">
        <is>
          <t>avverkningsanmälan</t>
        </is>
      </c>
      <c r="C977" t="inlineStr">
        <is>
          <t>Föryngringsavverkning</t>
        </is>
      </c>
      <c r="D977" s="1" t="n">
        <v>45543</v>
      </c>
      <c r="E977" s="1" t="n">
        <v>46313</v>
      </c>
      <c r="F977" t="inlineStr">
        <is>
          <t>VÄRMLANDS LÄN</t>
        </is>
      </c>
      <c r="G977" t="inlineStr">
        <is>
          <t>SUNNE</t>
        </is>
      </c>
      <c r="I977" t="n">
        <v>1.9</v>
      </c>
      <c r="J977" t="n">
        <v>0</v>
      </c>
      <c r="K977" t="n">
        <v>0</v>
      </c>
      <c r="L977" t="n">
        <v>0</v>
      </c>
      <c r="M977" t="n">
        <v>0</v>
      </c>
      <c r="N977" t="n">
        <v>0</v>
      </c>
      <c r="O977" t="n">
        <v>0</v>
      </c>
      <c r="P977" t="n">
        <v>0</v>
      </c>
      <c r="Q977" t="n">
        <v>0</v>
      </c>
      <c r="R977" t="n">
        <v>0</v>
      </c>
      <c r="S977" t="n">
        <v>0</v>
      </c>
      <c r="T977" t="n">
        <v>0</v>
      </c>
      <c r="U977" t="n">
        <v>0</v>
      </c>
      <c r="V977" s="2" t="inlineStr"/>
    </row>
    <row r="978" ht="15" customHeight="1">
      <c r="A978" t="inlineStr">
        <is>
          <t>A 8941-2023</t>
        </is>
      </c>
      <c r="B978" t="inlineStr">
        <is>
          <t>avverkningsanmälan</t>
        </is>
      </c>
      <c r="C978" t="inlineStr">
        <is>
          <t>Föryngringsavverkning</t>
        </is>
      </c>
      <c r="D978" s="1" t="n">
        <v>44979</v>
      </c>
      <c r="E978" s="1" t="n">
        <v>46313</v>
      </c>
      <c r="F978" t="inlineStr">
        <is>
          <t>VÄRMLANDS LÄN</t>
        </is>
      </c>
      <c r="G978" t="inlineStr">
        <is>
          <t>SUNNE</t>
        </is>
      </c>
      <c r="I978" t="n">
        <v>2.8</v>
      </c>
      <c r="J978" t="n">
        <v>0</v>
      </c>
      <c r="K978" t="n">
        <v>0</v>
      </c>
      <c r="L978" t="n">
        <v>0</v>
      </c>
      <c r="M978" t="n">
        <v>0</v>
      </c>
      <c r="N978" t="n">
        <v>0</v>
      </c>
      <c r="O978" t="n">
        <v>0</v>
      </c>
      <c r="P978" t="n">
        <v>0</v>
      </c>
      <c r="Q978" t="n">
        <v>0</v>
      </c>
      <c r="R978" t="n">
        <v>0</v>
      </c>
      <c r="S978" t="n">
        <v>0</v>
      </c>
      <c r="T978" t="n">
        <v>0</v>
      </c>
      <c r="U978" t="n">
        <v>0</v>
      </c>
      <c r="V978" s="2" t="inlineStr"/>
    </row>
    <row r="979" ht="15" customHeight="1">
      <c r="A979" t="inlineStr">
        <is>
          <t>A 58531-2023</t>
        </is>
      </c>
      <c r="B979" t="inlineStr">
        <is>
          <t>avverkningsanmälan</t>
        </is>
      </c>
      <c r="C979" t="inlineStr">
        <is>
          <t>Föryngringsavverkning</t>
        </is>
      </c>
      <c r="D979" s="1" t="n">
        <v>45250</v>
      </c>
      <c r="E979" s="1" t="n">
        <v>46313</v>
      </c>
      <c r="F979" t="inlineStr">
        <is>
          <t>VÄRMLANDS LÄN</t>
        </is>
      </c>
      <c r="G979" t="inlineStr">
        <is>
          <t>SUNNE</t>
        </is>
      </c>
      <c r="I979" t="n">
        <v>0.6</v>
      </c>
      <c r="J979" t="n">
        <v>0</v>
      </c>
      <c r="K979" t="n">
        <v>0</v>
      </c>
      <c r="L979" t="n">
        <v>0</v>
      </c>
      <c r="M979" t="n">
        <v>0</v>
      </c>
      <c r="N979" t="n">
        <v>0</v>
      </c>
      <c r="O979" t="n">
        <v>0</v>
      </c>
      <c r="P979" t="n">
        <v>0</v>
      </c>
      <c r="Q979" t="n">
        <v>0</v>
      </c>
      <c r="R979" t="n">
        <v>0</v>
      </c>
      <c r="S979" t="n">
        <v>0</v>
      </c>
      <c r="T979" t="n">
        <v>0</v>
      </c>
      <c r="U979" t="n">
        <v>0</v>
      </c>
      <c r="V979" s="2" t="inlineStr"/>
    </row>
    <row r="980" ht="15" customHeight="1">
      <c r="A980" t="inlineStr">
        <is>
          <t>A 11065-2024</t>
        </is>
      </c>
      <c r="B980" t="inlineStr">
        <is>
          <t>avverkningsanmälan</t>
        </is>
      </c>
      <c r="C980" t="inlineStr">
        <is>
          <t>Föryngringsavverkning</t>
        </is>
      </c>
      <c r="D980" s="1" t="n">
        <v>45370</v>
      </c>
      <c r="E980" s="1" t="n">
        <v>46313</v>
      </c>
      <c r="F980" t="inlineStr">
        <is>
          <t>VÄRMLANDS LÄN</t>
        </is>
      </c>
      <c r="G980" t="inlineStr">
        <is>
          <t>SUNNE</t>
        </is>
      </c>
      <c r="I980" t="n">
        <v>5.3</v>
      </c>
      <c r="J980" t="n">
        <v>0</v>
      </c>
      <c r="K980" t="n">
        <v>0</v>
      </c>
      <c r="L980" t="n">
        <v>0</v>
      </c>
      <c r="M980" t="n">
        <v>0</v>
      </c>
      <c r="N980" t="n">
        <v>0</v>
      </c>
      <c r="O980" t="n">
        <v>0</v>
      </c>
      <c r="P980" t="n">
        <v>0</v>
      </c>
      <c r="Q980" t="n">
        <v>0</v>
      </c>
      <c r="R980" t="n">
        <v>0</v>
      </c>
      <c r="S980" t="n">
        <v>0</v>
      </c>
      <c r="T980" t="n">
        <v>0</v>
      </c>
      <c r="U980" t="n">
        <v>0</v>
      </c>
      <c r="V980" s="2" t="inlineStr"/>
    </row>
    <row r="981" ht="15" customHeight="1">
      <c r="A981" t="inlineStr">
        <is>
          <t>A 11640-2023</t>
        </is>
      </c>
      <c r="B981" t="inlineStr">
        <is>
          <t>avverkningsanmälan</t>
        </is>
      </c>
      <c r="C981" t="inlineStr">
        <is>
          <t>Föryngringsavverkning</t>
        </is>
      </c>
      <c r="D981" s="1" t="n">
        <v>44994</v>
      </c>
      <c r="E981" s="1" t="n">
        <v>46313</v>
      </c>
      <c r="F981" t="inlineStr">
        <is>
          <t>VÄRMLANDS LÄN</t>
        </is>
      </c>
      <c r="G981" t="inlineStr">
        <is>
          <t>SUNNE</t>
        </is>
      </c>
      <c r="I981" t="n">
        <v>3.1</v>
      </c>
      <c r="J981" t="n">
        <v>0</v>
      </c>
      <c r="K981" t="n">
        <v>0</v>
      </c>
      <c r="L981" t="n">
        <v>0</v>
      </c>
      <c r="M981" t="n">
        <v>0</v>
      </c>
      <c r="N981" t="n">
        <v>0</v>
      </c>
      <c r="O981" t="n">
        <v>0</v>
      </c>
      <c r="P981" t="n">
        <v>0</v>
      </c>
      <c r="Q981" t="n">
        <v>0</v>
      </c>
      <c r="R981" t="n">
        <v>0</v>
      </c>
      <c r="S981" t="n">
        <v>0</v>
      </c>
      <c r="T981" t="n">
        <v>0</v>
      </c>
      <c r="U981" t="n">
        <v>0</v>
      </c>
      <c r="V981" s="2" t="inlineStr"/>
    </row>
    <row r="982" ht="15" customHeight="1">
      <c r="A982" t="inlineStr">
        <is>
          <t>A 38580-2026</t>
        </is>
      </c>
      <c r="B982" t="inlineStr">
        <is>
          <t>avverkningsanmälan</t>
        </is>
      </c>
      <c r="C982" t="inlineStr">
        <is>
          <t>Föryngringsavverkning</t>
        </is>
      </c>
      <c r="D982" s="1" t="n">
        <v>46283</v>
      </c>
      <c r="E982" s="1" t="n">
        <v>46313</v>
      </c>
      <c r="F982" t="inlineStr">
        <is>
          <t>VÄRMLANDS LÄN</t>
        </is>
      </c>
      <c r="G982" t="inlineStr">
        <is>
          <t>SUNNE</t>
        </is>
      </c>
      <c r="H982" t="inlineStr">
        <is>
          <t>Bergvik skog väst AB</t>
        </is>
      </c>
      <c r="I982" t="n">
        <v>0.7</v>
      </c>
      <c r="J982" t="n">
        <v>0</v>
      </c>
      <c r="K982" t="n">
        <v>0</v>
      </c>
      <c r="L982" t="n">
        <v>0</v>
      </c>
      <c r="M982" t="n">
        <v>0</v>
      </c>
      <c r="N982" t="n">
        <v>0</v>
      </c>
      <c r="O982" t="n">
        <v>0</v>
      </c>
      <c r="P982" t="n">
        <v>0</v>
      </c>
      <c r="Q982" t="n">
        <v>0</v>
      </c>
      <c r="R982" t="n">
        <v>0</v>
      </c>
      <c r="S982" t="n">
        <v>0</v>
      </c>
      <c r="T982" t="n">
        <v>0</v>
      </c>
      <c r="U982" t="n">
        <v>0</v>
      </c>
      <c r="V982" s="2" t="inlineStr"/>
    </row>
    <row r="983" ht="15" customHeight="1">
      <c r="A983" t="inlineStr">
        <is>
          <t>A 37474-2024</t>
        </is>
      </c>
      <c r="B983" t="inlineStr">
        <is>
          <t>avverkningsanmälan</t>
        </is>
      </c>
      <c r="C983" t="inlineStr">
        <is>
          <t>Föryngringsavverkning</t>
        </is>
      </c>
      <c r="D983" s="1" t="n">
        <v>45541</v>
      </c>
      <c r="E983" s="1" t="n">
        <v>46313</v>
      </c>
      <c r="F983" t="inlineStr">
        <is>
          <t>VÄRMLANDS LÄN</t>
        </is>
      </c>
      <c r="G983" t="inlineStr">
        <is>
          <t>SUNNE</t>
        </is>
      </c>
      <c r="I983" t="n">
        <v>1.2</v>
      </c>
      <c r="J983" t="n">
        <v>0</v>
      </c>
      <c r="K983" t="n">
        <v>0</v>
      </c>
      <c r="L983" t="n">
        <v>0</v>
      </c>
      <c r="M983" t="n">
        <v>0</v>
      </c>
      <c r="N983" t="n">
        <v>0</v>
      </c>
      <c r="O983" t="n">
        <v>0</v>
      </c>
      <c r="P983" t="n">
        <v>0</v>
      </c>
      <c r="Q983" t="n">
        <v>0</v>
      </c>
      <c r="R983" t="n">
        <v>0</v>
      </c>
      <c r="S983" t="n">
        <v>0</v>
      </c>
      <c r="T983" t="n">
        <v>0</v>
      </c>
      <c r="U983" t="n">
        <v>0</v>
      </c>
      <c r="V983" s="2" t="inlineStr"/>
    </row>
    <row r="984" ht="15" customHeight="1">
      <c r="A984" t="inlineStr">
        <is>
          <t>A 55900-2024</t>
        </is>
      </c>
      <c r="B984" t="inlineStr">
        <is>
          <t>avverkningsanmälan</t>
        </is>
      </c>
      <c r="C984" t="inlineStr">
        <is>
          <t>Föryngringsavverkning</t>
        </is>
      </c>
      <c r="D984" s="1" t="n">
        <v>45623</v>
      </c>
      <c r="E984" s="1" t="n">
        <v>46313</v>
      </c>
      <c r="F984" t="inlineStr">
        <is>
          <t>VÄRMLANDS LÄN</t>
        </is>
      </c>
      <c r="G984" t="inlineStr">
        <is>
          <t>SUNNE</t>
        </is>
      </c>
      <c r="H984" t="inlineStr">
        <is>
          <t>Övriga Aktiebolag</t>
        </is>
      </c>
      <c r="I984" t="n">
        <v>0.8</v>
      </c>
      <c r="J984" t="n">
        <v>0</v>
      </c>
      <c r="K984" t="n">
        <v>0</v>
      </c>
      <c r="L984" t="n">
        <v>0</v>
      </c>
      <c r="M984" t="n">
        <v>0</v>
      </c>
      <c r="N984" t="n">
        <v>0</v>
      </c>
      <c r="O984" t="n">
        <v>0</v>
      </c>
      <c r="P984" t="n">
        <v>0</v>
      </c>
      <c r="Q984" t="n">
        <v>0</v>
      </c>
      <c r="R984" t="n">
        <v>0</v>
      </c>
      <c r="S984" t="n">
        <v>0</v>
      </c>
      <c r="T984" t="n">
        <v>0</v>
      </c>
      <c r="U984" t="n">
        <v>0</v>
      </c>
      <c r="V984" s="2" t="inlineStr"/>
    </row>
    <row r="985" ht="15" customHeight="1">
      <c r="A985" t="inlineStr">
        <is>
          <t>A 32571-2026</t>
        </is>
      </c>
      <c r="B985" t="inlineStr">
        <is>
          <t>avverkningsanmälan</t>
        </is>
      </c>
      <c r="C985" t="inlineStr">
        <is>
          <t>Föryngringsavverkning</t>
        </is>
      </c>
      <c r="D985" s="1" t="n">
        <v>46239</v>
      </c>
      <c r="E985" s="1" t="n">
        <v>46313</v>
      </c>
      <c r="F985" t="inlineStr">
        <is>
          <t>VÄRMLANDS LÄN</t>
        </is>
      </c>
      <c r="G985" t="inlineStr">
        <is>
          <t>SUNNE</t>
        </is>
      </c>
      <c r="H985" t="inlineStr">
        <is>
          <t>Bergvik skog väst AB</t>
        </is>
      </c>
      <c r="I985" t="n">
        <v>3.3</v>
      </c>
      <c r="J985" t="n">
        <v>0</v>
      </c>
      <c r="K985" t="n">
        <v>0</v>
      </c>
      <c r="L985" t="n">
        <v>0</v>
      </c>
      <c r="M985" t="n">
        <v>0</v>
      </c>
      <c r="N985" t="n">
        <v>0</v>
      </c>
      <c r="O985" t="n">
        <v>0</v>
      </c>
      <c r="P985" t="n">
        <v>0</v>
      </c>
      <c r="Q985" t="n">
        <v>0</v>
      </c>
      <c r="R985" t="n">
        <v>0</v>
      </c>
      <c r="S985" t="n">
        <v>0</v>
      </c>
      <c r="T985" t="n">
        <v>0</v>
      </c>
      <c r="U985" t="n">
        <v>0</v>
      </c>
      <c r="V985" s="2" t="inlineStr"/>
    </row>
    <row r="986" ht="15" customHeight="1">
      <c r="A986" t="inlineStr">
        <is>
          <t>A 19543-2025</t>
        </is>
      </c>
      <c r="B986" t="inlineStr">
        <is>
          <t>avverkningsanmälan</t>
        </is>
      </c>
      <c r="C986" t="inlineStr">
        <is>
          <t>Föryngringsavverkning</t>
        </is>
      </c>
      <c r="D986" s="1" t="n">
        <v>45770</v>
      </c>
      <c r="E986" s="1" t="n">
        <v>46313</v>
      </c>
      <c r="F986" t="inlineStr">
        <is>
          <t>VÄRMLANDS LÄN</t>
        </is>
      </c>
      <c r="G986" t="inlineStr">
        <is>
          <t>SUNNE</t>
        </is>
      </c>
      <c r="I986" t="n">
        <v>2.4</v>
      </c>
      <c r="J986" t="n">
        <v>0</v>
      </c>
      <c r="K986" t="n">
        <v>0</v>
      </c>
      <c r="L986" t="n">
        <v>0</v>
      </c>
      <c r="M986" t="n">
        <v>0</v>
      </c>
      <c r="N986" t="n">
        <v>0</v>
      </c>
      <c r="O986" t="n">
        <v>0</v>
      </c>
      <c r="P986" t="n">
        <v>0</v>
      </c>
      <c r="Q986" t="n">
        <v>0</v>
      </c>
      <c r="R986" t="n">
        <v>0</v>
      </c>
      <c r="S986" t="n">
        <v>0</v>
      </c>
      <c r="T986" t="n">
        <v>0</v>
      </c>
      <c r="U986" t="n">
        <v>0</v>
      </c>
      <c r="V986" s="2" t="inlineStr"/>
    </row>
    <row r="987" ht="15" customHeight="1">
      <c r="A987" t="inlineStr">
        <is>
          <t>A 2171-2023</t>
        </is>
      </c>
      <c r="B987" t="inlineStr">
        <is>
          <t>avverkningsanmälan</t>
        </is>
      </c>
      <c r="C987" t="inlineStr">
        <is>
          <t>Föryngringsavverkning</t>
        </is>
      </c>
      <c r="D987" s="1" t="n">
        <v>44941</v>
      </c>
      <c r="E987" s="1" t="n">
        <v>46313</v>
      </c>
      <c r="F987" t="inlineStr">
        <is>
          <t>VÄRMLANDS LÄN</t>
        </is>
      </c>
      <c r="G987" t="inlineStr">
        <is>
          <t>SUNNE</t>
        </is>
      </c>
      <c r="I987" t="n">
        <v>0.8</v>
      </c>
      <c r="J987" t="n">
        <v>0</v>
      </c>
      <c r="K987" t="n">
        <v>0</v>
      </c>
      <c r="L987" t="n">
        <v>0</v>
      </c>
      <c r="M987" t="n">
        <v>0</v>
      </c>
      <c r="N987" t="n">
        <v>0</v>
      </c>
      <c r="O987" t="n">
        <v>0</v>
      </c>
      <c r="P987" t="n">
        <v>0</v>
      </c>
      <c r="Q987" t="n">
        <v>0</v>
      </c>
      <c r="R987" t="n">
        <v>0</v>
      </c>
      <c r="S987" t="n">
        <v>0</v>
      </c>
      <c r="T987" t="n">
        <v>0</v>
      </c>
      <c r="U987" t="n">
        <v>0</v>
      </c>
      <c r="V987" s="2" t="inlineStr"/>
    </row>
    <row r="988" ht="15" customHeight="1">
      <c r="A988" t="inlineStr">
        <is>
          <t>A 2173-2023</t>
        </is>
      </c>
      <c r="B988" t="inlineStr">
        <is>
          <t>avverkningsanmälan</t>
        </is>
      </c>
      <c r="C988" t="inlineStr">
        <is>
          <t>Föryngringsavverkning</t>
        </is>
      </c>
      <c r="D988" s="1" t="n">
        <v>44941</v>
      </c>
      <c r="E988" s="1" t="n">
        <v>46313</v>
      </c>
      <c r="F988" t="inlineStr">
        <is>
          <t>VÄRMLANDS LÄN</t>
        </is>
      </c>
      <c r="G988" t="inlineStr">
        <is>
          <t>SUNNE</t>
        </is>
      </c>
      <c r="I988" t="n">
        <v>0.4</v>
      </c>
      <c r="J988" t="n">
        <v>0</v>
      </c>
      <c r="K988" t="n">
        <v>0</v>
      </c>
      <c r="L988" t="n">
        <v>0</v>
      </c>
      <c r="M988" t="n">
        <v>0</v>
      </c>
      <c r="N988" t="n">
        <v>0</v>
      </c>
      <c r="O988" t="n">
        <v>0</v>
      </c>
      <c r="P988" t="n">
        <v>0</v>
      </c>
      <c r="Q988" t="n">
        <v>0</v>
      </c>
      <c r="R988" t="n">
        <v>0</v>
      </c>
      <c r="S988" t="n">
        <v>0</v>
      </c>
      <c r="T988" t="n">
        <v>0</v>
      </c>
      <c r="U988" t="n">
        <v>0</v>
      </c>
      <c r="V988" s="2" t="inlineStr"/>
    </row>
    <row r="989" ht="15" customHeight="1">
      <c r="A989" t="inlineStr">
        <is>
          <t>A 55121-2024</t>
        </is>
      </c>
      <c r="B989" t="inlineStr">
        <is>
          <t>avverkningsanmälan</t>
        </is>
      </c>
      <c r="C989" t="inlineStr">
        <is>
          <t>Föryngringsavverkning</t>
        </is>
      </c>
      <c r="D989" s="1" t="n">
        <v>45621</v>
      </c>
      <c r="E989" s="1" t="n">
        <v>46313</v>
      </c>
      <c r="F989" t="inlineStr">
        <is>
          <t>VÄRMLANDS LÄN</t>
        </is>
      </c>
      <c r="G989" t="inlineStr">
        <is>
          <t>SUNNE</t>
        </is>
      </c>
      <c r="I989" t="n">
        <v>0.7</v>
      </c>
      <c r="J989" t="n">
        <v>0</v>
      </c>
      <c r="K989" t="n">
        <v>0</v>
      </c>
      <c r="L989" t="n">
        <v>0</v>
      </c>
      <c r="M989" t="n">
        <v>0</v>
      </c>
      <c r="N989" t="n">
        <v>0</v>
      </c>
      <c r="O989" t="n">
        <v>0</v>
      </c>
      <c r="P989" t="n">
        <v>0</v>
      </c>
      <c r="Q989" t="n">
        <v>0</v>
      </c>
      <c r="R989" t="n">
        <v>0</v>
      </c>
      <c r="S989" t="n">
        <v>0</v>
      </c>
      <c r="T989" t="n">
        <v>0</v>
      </c>
      <c r="U989" t="n">
        <v>0</v>
      </c>
      <c r="V989" s="2" t="inlineStr"/>
    </row>
    <row r="990" ht="15" customHeight="1">
      <c r="A990" t="inlineStr">
        <is>
          <t>A 32526-2026</t>
        </is>
      </c>
      <c r="B990" t="inlineStr">
        <is>
          <t>avverkningsanmälan</t>
        </is>
      </c>
      <c r="C990" t="inlineStr">
        <is>
          <t>Föryngringsavverkning</t>
        </is>
      </c>
      <c r="D990" s="1" t="n">
        <v>46239</v>
      </c>
      <c r="E990" s="1" t="n">
        <v>46313</v>
      </c>
      <c r="F990" t="inlineStr">
        <is>
          <t>VÄRMLANDS LÄN</t>
        </is>
      </c>
      <c r="G990" t="inlineStr">
        <is>
          <t>SUNNE</t>
        </is>
      </c>
      <c r="H990" t="inlineStr">
        <is>
          <t>Bergvik skog väst AB</t>
        </is>
      </c>
      <c r="I990" t="n">
        <v>3.9</v>
      </c>
      <c r="J990" t="n">
        <v>0</v>
      </c>
      <c r="K990" t="n">
        <v>0</v>
      </c>
      <c r="L990" t="n">
        <v>0</v>
      </c>
      <c r="M990" t="n">
        <v>0</v>
      </c>
      <c r="N990" t="n">
        <v>0</v>
      </c>
      <c r="O990" t="n">
        <v>0</v>
      </c>
      <c r="P990" t="n">
        <v>0</v>
      </c>
      <c r="Q990" t="n">
        <v>0</v>
      </c>
      <c r="R990" t="n">
        <v>0</v>
      </c>
      <c r="S990" t="n">
        <v>0</v>
      </c>
      <c r="T990" t="n">
        <v>0</v>
      </c>
      <c r="U990" t="n">
        <v>0</v>
      </c>
      <c r="V990" s="2" t="inlineStr"/>
    </row>
    <row r="991" ht="15" customHeight="1">
      <c r="A991" t="inlineStr">
        <is>
          <t>A 32528-2026</t>
        </is>
      </c>
      <c r="B991" t="inlineStr">
        <is>
          <t>avverkningsanmälan</t>
        </is>
      </c>
      <c r="C991" t="inlineStr">
        <is>
          <t>Föryngringsavverkning</t>
        </is>
      </c>
      <c r="D991" s="1" t="n">
        <v>46239</v>
      </c>
      <c r="E991" s="1" t="n">
        <v>46313</v>
      </c>
      <c r="F991" t="inlineStr">
        <is>
          <t>VÄRMLANDS LÄN</t>
        </is>
      </c>
      <c r="G991" t="inlineStr">
        <is>
          <t>SUNNE</t>
        </is>
      </c>
      <c r="H991" t="inlineStr">
        <is>
          <t>Bergvik skog väst AB</t>
        </is>
      </c>
      <c r="I991" t="n">
        <v>3.8</v>
      </c>
      <c r="J991" t="n">
        <v>0</v>
      </c>
      <c r="K991" t="n">
        <v>0</v>
      </c>
      <c r="L991" t="n">
        <v>0</v>
      </c>
      <c r="M991" t="n">
        <v>0</v>
      </c>
      <c r="N991" t="n">
        <v>0</v>
      </c>
      <c r="O991" t="n">
        <v>0</v>
      </c>
      <c r="P991" t="n">
        <v>0</v>
      </c>
      <c r="Q991" t="n">
        <v>0</v>
      </c>
      <c r="R991" t="n">
        <v>0</v>
      </c>
      <c r="S991" t="n">
        <v>0</v>
      </c>
      <c r="T991" t="n">
        <v>0</v>
      </c>
      <c r="U991" t="n">
        <v>0</v>
      </c>
      <c r="V991" s="2" t="inlineStr"/>
    </row>
    <row r="992" ht="15" customHeight="1">
      <c r="A992" t="inlineStr">
        <is>
          <t>A 3148-2025</t>
        </is>
      </c>
      <c r="B992" t="inlineStr">
        <is>
          <t>avverkningsanmälan</t>
        </is>
      </c>
      <c r="C992" t="inlineStr">
        <is>
          <t>Föryngringsavverkning</t>
        </is>
      </c>
      <c r="D992" s="1" t="n">
        <v>45678</v>
      </c>
      <c r="E992" s="1" t="n">
        <v>46313</v>
      </c>
      <c r="F992" t="inlineStr">
        <is>
          <t>VÄRMLANDS LÄN</t>
        </is>
      </c>
      <c r="G992" t="inlineStr">
        <is>
          <t>SUNNE</t>
        </is>
      </c>
      <c r="I992" t="n">
        <v>1.5</v>
      </c>
      <c r="J992" t="n">
        <v>0</v>
      </c>
      <c r="K992" t="n">
        <v>0</v>
      </c>
      <c r="L992" t="n">
        <v>0</v>
      </c>
      <c r="M992" t="n">
        <v>0</v>
      </c>
      <c r="N992" t="n">
        <v>0</v>
      </c>
      <c r="O992" t="n">
        <v>0</v>
      </c>
      <c r="P992" t="n">
        <v>0</v>
      </c>
      <c r="Q992" t="n">
        <v>0</v>
      </c>
      <c r="R992" t="n">
        <v>0</v>
      </c>
      <c r="S992" t="n">
        <v>0</v>
      </c>
      <c r="T992" t="n">
        <v>0</v>
      </c>
      <c r="U992" t="n">
        <v>0</v>
      </c>
      <c r="V992" s="2" t="inlineStr"/>
    </row>
    <row r="993" ht="15" customHeight="1">
      <c r="A993" t="inlineStr">
        <is>
          <t>A 55399-2024</t>
        </is>
      </c>
      <c r="B993" t="inlineStr">
        <is>
          <t>avverkningsanmälan</t>
        </is>
      </c>
      <c r="C993" t="inlineStr">
        <is>
          <t>Föryngringsavverkning</t>
        </is>
      </c>
      <c r="D993" s="1" t="n">
        <v>45622</v>
      </c>
      <c r="E993" s="1" t="n">
        <v>46313</v>
      </c>
      <c r="F993" t="inlineStr">
        <is>
          <t>VÄRMLANDS LÄN</t>
        </is>
      </c>
      <c r="G993" t="inlineStr">
        <is>
          <t>SUNNE</t>
        </is>
      </c>
      <c r="I993" t="n">
        <v>0.5</v>
      </c>
      <c r="J993" t="n">
        <v>0</v>
      </c>
      <c r="K993" t="n">
        <v>0</v>
      </c>
      <c r="L993" t="n">
        <v>0</v>
      </c>
      <c r="M993" t="n">
        <v>0</v>
      </c>
      <c r="N993" t="n">
        <v>0</v>
      </c>
      <c r="O993" t="n">
        <v>0</v>
      </c>
      <c r="P993" t="n">
        <v>0</v>
      </c>
      <c r="Q993" t="n">
        <v>0</v>
      </c>
      <c r="R993" t="n">
        <v>0</v>
      </c>
      <c r="S993" t="n">
        <v>0</v>
      </c>
      <c r="T993" t="n">
        <v>0</v>
      </c>
      <c r="U993" t="n">
        <v>0</v>
      </c>
      <c r="V993" s="2" t="inlineStr"/>
    </row>
    <row r="994" ht="15" customHeight="1">
      <c r="A994" t="inlineStr">
        <is>
          <t>A 58301-2025</t>
        </is>
      </c>
      <c r="B994" t="inlineStr">
        <is>
          <t>avverkningsanmälan</t>
        </is>
      </c>
      <c r="C994" t="inlineStr">
        <is>
          <t>Föryngringsavverkning</t>
        </is>
      </c>
      <c r="D994" s="1" t="n">
        <v>45985</v>
      </c>
      <c r="E994" s="1" t="n">
        <v>46313</v>
      </c>
      <c r="F994" t="inlineStr">
        <is>
          <t>VÄRMLANDS LÄN</t>
        </is>
      </c>
      <c r="G994" t="inlineStr">
        <is>
          <t>SUNNE</t>
        </is>
      </c>
      <c r="I994" t="n">
        <v>2.4</v>
      </c>
      <c r="J994" t="n">
        <v>0</v>
      </c>
      <c r="K994" t="n">
        <v>0</v>
      </c>
      <c r="L994" t="n">
        <v>0</v>
      </c>
      <c r="M994" t="n">
        <v>0</v>
      </c>
      <c r="N994" t="n">
        <v>0</v>
      </c>
      <c r="O994" t="n">
        <v>0</v>
      </c>
      <c r="P994" t="n">
        <v>0</v>
      </c>
      <c r="Q994" t="n">
        <v>0</v>
      </c>
      <c r="R994" t="n">
        <v>0</v>
      </c>
      <c r="S994" t="n">
        <v>0</v>
      </c>
      <c r="T994" t="n">
        <v>0</v>
      </c>
      <c r="U994" t="n">
        <v>0</v>
      </c>
      <c r="V994" s="2" t="inlineStr"/>
    </row>
    <row r="995" ht="15" customHeight="1">
      <c r="A995" t="inlineStr">
        <is>
          <t>A 32984-2026</t>
        </is>
      </c>
      <c r="B995" t="inlineStr">
        <is>
          <t>avverkningsanmälan</t>
        </is>
      </c>
      <c r="C995" t="inlineStr">
        <is>
          <t>Föryngringsavverkning</t>
        </is>
      </c>
      <c r="D995" s="1" t="n">
        <v>46244</v>
      </c>
      <c r="E995" s="1" t="n">
        <v>46313</v>
      </c>
      <c r="F995" t="inlineStr">
        <is>
          <t>VÄRMLANDS LÄN</t>
        </is>
      </c>
      <c r="G995" t="inlineStr">
        <is>
          <t>SUNNE</t>
        </is>
      </c>
      <c r="H995" t="inlineStr">
        <is>
          <t>Bergvik skog väst AB</t>
        </is>
      </c>
      <c r="I995" t="n">
        <v>10.4</v>
      </c>
      <c r="J995" t="n">
        <v>0</v>
      </c>
      <c r="K995" t="n">
        <v>0</v>
      </c>
      <c r="L995" t="n">
        <v>0</v>
      </c>
      <c r="M995" t="n">
        <v>0</v>
      </c>
      <c r="N995" t="n">
        <v>0</v>
      </c>
      <c r="O995" t="n">
        <v>0</v>
      </c>
      <c r="P995" t="n">
        <v>0</v>
      </c>
      <c r="Q995" t="n">
        <v>0</v>
      </c>
      <c r="R995" t="n">
        <v>0</v>
      </c>
      <c r="S995" t="n">
        <v>0</v>
      </c>
      <c r="T995" t="n">
        <v>0</v>
      </c>
      <c r="U995" t="n">
        <v>0</v>
      </c>
      <c r="V995" s="2" t="inlineStr"/>
    </row>
    <row r="996" ht="15" customHeight="1">
      <c r="A996" t="inlineStr">
        <is>
          <t>A 39208-2026</t>
        </is>
      </c>
      <c r="B996" t="inlineStr">
        <is>
          <t>avverkningsanmälan</t>
        </is>
      </c>
      <c r="C996" t="inlineStr">
        <is>
          <t>Föryngringsavverkning</t>
        </is>
      </c>
      <c r="D996" s="1" t="n">
        <v>46287</v>
      </c>
      <c r="E996" s="1" t="n">
        <v>46313</v>
      </c>
      <c r="F996" t="inlineStr">
        <is>
          <t>VÄRMLANDS LÄN</t>
        </is>
      </c>
      <c r="G996" t="inlineStr">
        <is>
          <t>SUNNE</t>
        </is>
      </c>
      <c r="I996" t="n">
        <v>0.9</v>
      </c>
      <c r="J996" t="n">
        <v>0</v>
      </c>
      <c r="K996" t="n">
        <v>0</v>
      </c>
      <c r="L996" t="n">
        <v>0</v>
      </c>
      <c r="M996" t="n">
        <v>0</v>
      </c>
      <c r="N996" t="n">
        <v>0</v>
      </c>
      <c r="O996" t="n">
        <v>0</v>
      </c>
      <c r="P996" t="n">
        <v>0</v>
      </c>
      <c r="Q996" t="n">
        <v>0</v>
      </c>
      <c r="R996" t="n">
        <v>0</v>
      </c>
      <c r="S996" t="n">
        <v>0</v>
      </c>
      <c r="T996" t="n">
        <v>0</v>
      </c>
      <c r="U996" t="n">
        <v>0</v>
      </c>
      <c r="V996" s="2" t="inlineStr"/>
    </row>
    <row r="997" ht="15" customHeight="1">
      <c r="A997" t="inlineStr">
        <is>
          <t>A 39086-2026</t>
        </is>
      </c>
      <c r="B997" t="inlineStr">
        <is>
          <t>avverkningsanmälan</t>
        </is>
      </c>
      <c r="C997" t="inlineStr">
        <is>
          <t>Föryngringsavverkning</t>
        </is>
      </c>
      <c r="D997" s="1" t="n">
        <v>46287</v>
      </c>
      <c r="E997" s="1" t="n">
        <v>46313</v>
      </c>
      <c r="F997" t="inlineStr">
        <is>
          <t>VÄRMLANDS LÄN</t>
        </is>
      </c>
      <c r="G997" t="inlineStr">
        <is>
          <t>SUNNE</t>
        </is>
      </c>
      <c r="H997" t="inlineStr">
        <is>
          <t>Bergvik skog väst AB</t>
        </is>
      </c>
      <c r="I997" t="n">
        <v>1.7</v>
      </c>
      <c r="J997" t="n">
        <v>0</v>
      </c>
      <c r="K997" t="n">
        <v>0</v>
      </c>
      <c r="L997" t="n">
        <v>0</v>
      </c>
      <c r="M997" t="n">
        <v>0</v>
      </c>
      <c r="N997" t="n">
        <v>0</v>
      </c>
      <c r="O997" t="n">
        <v>0</v>
      </c>
      <c r="P997" t="n">
        <v>0</v>
      </c>
      <c r="Q997" t="n">
        <v>0</v>
      </c>
      <c r="R997" t="n">
        <v>0</v>
      </c>
      <c r="S997" t="n">
        <v>0</v>
      </c>
      <c r="T997" t="n">
        <v>0</v>
      </c>
      <c r="U997" t="n">
        <v>0</v>
      </c>
      <c r="V997" s="2" t="inlineStr"/>
    </row>
    <row r="998" ht="15" customHeight="1">
      <c r="A998" t="inlineStr">
        <is>
          <t>A 39041-2026</t>
        </is>
      </c>
      <c r="B998" t="inlineStr">
        <is>
          <t>avverkningsanmälan</t>
        </is>
      </c>
      <c r="C998" t="inlineStr">
        <is>
          <t>Föryngringsavverkning</t>
        </is>
      </c>
      <c r="D998" s="1" t="n">
        <v>46287</v>
      </c>
      <c r="E998" s="1" t="n">
        <v>46313</v>
      </c>
      <c r="F998" t="inlineStr">
        <is>
          <t>VÄRMLANDS LÄN</t>
        </is>
      </c>
      <c r="G998" t="inlineStr">
        <is>
          <t>SUNNE</t>
        </is>
      </c>
      <c r="H998" t="inlineStr">
        <is>
          <t>Bergvik skog väst AB</t>
        </is>
      </c>
      <c r="I998" t="n">
        <v>4.5</v>
      </c>
      <c r="J998" t="n">
        <v>0</v>
      </c>
      <c r="K998" t="n">
        <v>0</v>
      </c>
      <c r="L998" t="n">
        <v>0</v>
      </c>
      <c r="M998" t="n">
        <v>0</v>
      </c>
      <c r="N998" t="n">
        <v>0</v>
      </c>
      <c r="O998" t="n">
        <v>0</v>
      </c>
      <c r="P998" t="n">
        <v>0</v>
      </c>
      <c r="Q998" t="n">
        <v>0</v>
      </c>
      <c r="R998" t="n">
        <v>0</v>
      </c>
      <c r="S998" t="n">
        <v>0</v>
      </c>
      <c r="T998" t="n">
        <v>0</v>
      </c>
      <c r="U998" t="n">
        <v>0</v>
      </c>
      <c r="V998" s="2" t="inlineStr"/>
    </row>
    <row r="999" ht="15" customHeight="1">
      <c r="A999" t="inlineStr">
        <is>
          <t>A 32370-2024</t>
        </is>
      </c>
      <c r="B999" t="inlineStr">
        <is>
          <t>avverkningsanmälan</t>
        </is>
      </c>
      <c r="C999" t="inlineStr">
        <is>
          <t>Föryngringsavverkning</t>
        </is>
      </c>
      <c r="D999" s="1" t="n">
        <v>45512</v>
      </c>
      <c r="E999" s="1" t="n">
        <v>46313</v>
      </c>
      <c r="F999" t="inlineStr">
        <is>
          <t>VÄRMLANDS LÄN</t>
        </is>
      </c>
      <c r="G999" t="inlineStr">
        <is>
          <t>SUNNE</t>
        </is>
      </c>
      <c r="I999" t="n">
        <v>2.5</v>
      </c>
      <c r="J999" t="n">
        <v>0</v>
      </c>
      <c r="K999" t="n">
        <v>0</v>
      </c>
      <c r="L999" t="n">
        <v>0</v>
      </c>
      <c r="M999" t="n">
        <v>0</v>
      </c>
      <c r="N999" t="n">
        <v>0</v>
      </c>
      <c r="O999" t="n">
        <v>0</v>
      </c>
      <c r="P999" t="n">
        <v>0</v>
      </c>
      <c r="Q999" t="n">
        <v>0</v>
      </c>
      <c r="R999" t="n">
        <v>0</v>
      </c>
      <c r="S999" t="n">
        <v>0</v>
      </c>
      <c r="T999" t="n">
        <v>0</v>
      </c>
      <c r="U999" t="n">
        <v>0</v>
      </c>
      <c r="V999" s="2" t="inlineStr"/>
    </row>
    <row r="1000" ht="15" customHeight="1">
      <c r="A1000" t="inlineStr">
        <is>
          <t>A 20650-2023</t>
        </is>
      </c>
      <c r="B1000" t="inlineStr">
        <is>
          <t>avverkningsanmälan</t>
        </is>
      </c>
      <c r="C1000" t="inlineStr">
        <is>
          <t>Föryngringsavverkning</t>
        </is>
      </c>
      <c r="D1000" s="1" t="n">
        <v>45058</v>
      </c>
      <c r="E1000" s="1" t="n">
        <v>46313</v>
      </c>
      <c r="F1000" t="inlineStr">
        <is>
          <t>VÄRMLANDS LÄN</t>
        </is>
      </c>
      <c r="G1000" t="inlineStr">
        <is>
          <t>SUNNE</t>
        </is>
      </c>
      <c r="I1000" t="n">
        <v>0.4</v>
      </c>
      <c r="J1000" t="n">
        <v>0</v>
      </c>
      <c r="K1000" t="n">
        <v>0</v>
      </c>
      <c r="L1000" t="n">
        <v>0</v>
      </c>
      <c r="M1000" t="n">
        <v>0</v>
      </c>
      <c r="N1000" t="n">
        <v>0</v>
      </c>
      <c r="O1000" t="n">
        <v>0</v>
      </c>
      <c r="P1000" t="n">
        <v>0</v>
      </c>
      <c r="Q1000" t="n">
        <v>0</v>
      </c>
      <c r="R1000" t="n">
        <v>0</v>
      </c>
      <c r="S1000" t="n">
        <v>0</v>
      </c>
      <c r="T1000" t="n">
        <v>0</v>
      </c>
      <c r="U1000" t="n">
        <v>0</v>
      </c>
      <c r="V1000" s="2" t="inlineStr"/>
    </row>
    <row r="1001" ht="15" customHeight="1">
      <c r="A1001" t="inlineStr">
        <is>
          <t>A 44383-2024</t>
        </is>
      </c>
      <c r="B1001" t="inlineStr">
        <is>
          <t>avverkningsanmälan</t>
        </is>
      </c>
      <c r="C1001" t="inlineStr">
        <is>
          <t>Avverkning för annat ändamål</t>
        </is>
      </c>
      <c r="D1001" s="1" t="n">
        <v>45573</v>
      </c>
      <c r="E1001" s="1" t="n">
        <v>46313</v>
      </c>
      <c r="F1001" t="inlineStr">
        <is>
          <t>VÄRMLANDS LÄN</t>
        </is>
      </c>
      <c r="G1001" t="inlineStr">
        <is>
          <t>SUNNE</t>
        </is>
      </c>
      <c r="I1001" t="n">
        <v>5.4</v>
      </c>
      <c r="J1001" t="n">
        <v>0</v>
      </c>
      <c r="K1001" t="n">
        <v>0</v>
      </c>
      <c r="L1001" t="n">
        <v>0</v>
      </c>
      <c r="M1001" t="n">
        <v>0</v>
      </c>
      <c r="N1001" t="n">
        <v>0</v>
      </c>
      <c r="O1001" t="n">
        <v>0</v>
      </c>
      <c r="P1001" t="n">
        <v>0</v>
      </c>
      <c r="Q1001" t="n">
        <v>0</v>
      </c>
      <c r="R1001" t="n">
        <v>0</v>
      </c>
      <c r="S1001" t="n">
        <v>0</v>
      </c>
      <c r="T1001" t="n">
        <v>0</v>
      </c>
      <c r="U1001" t="n">
        <v>0</v>
      </c>
      <c r="V1001" s="2" t="inlineStr"/>
    </row>
    <row r="1002" ht="15" customHeight="1">
      <c r="A1002" t="inlineStr">
        <is>
          <t>A 39185-2026</t>
        </is>
      </c>
      <c r="B1002" t="inlineStr">
        <is>
          <t>avverkningsanmälan</t>
        </is>
      </c>
      <c r="C1002" t="inlineStr">
        <is>
          <t>Föryngringsavverkning</t>
        </is>
      </c>
      <c r="D1002" s="1" t="n">
        <v>46287</v>
      </c>
      <c r="E1002" s="1" t="n">
        <v>46313</v>
      </c>
      <c r="F1002" t="inlineStr">
        <is>
          <t>VÄRMLANDS LÄN</t>
        </is>
      </c>
      <c r="G1002" t="inlineStr">
        <is>
          <t>SUNNE</t>
        </is>
      </c>
      <c r="I1002" t="n">
        <v>1.6</v>
      </c>
      <c r="J1002" t="n">
        <v>0</v>
      </c>
      <c r="K1002" t="n">
        <v>0</v>
      </c>
      <c r="L1002" t="n">
        <v>0</v>
      </c>
      <c r="M1002" t="n">
        <v>0</v>
      </c>
      <c r="N1002" t="n">
        <v>0</v>
      </c>
      <c r="O1002" t="n">
        <v>0</v>
      </c>
      <c r="P1002" t="n">
        <v>0</v>
      </c>
      <c r="Q1002" t="n">
        <v>0</v>
      </c>
      <c r="R1002" t="n">
        <v>0</v>
      </c>
      <c r="S1002" t="n">
        <v>0</v>
      </c>
      <c r="T1002" t="n">
        <v>0</v>
      </c>
      <c r="U1002" t="n">
        <v>0</v>
      </c>
      <c r="V1002" s="2" t="inlineStr"/>
    </row>
    <row r="1003" ht="15" customHeight="1">
      <c r="A1003" t="inlineStr">
        <is>
          <t>A 61419-2023</t>
        </is>
      </c>
      <c r="B1003" t="inlineStr">
        <is>
          <t>avverkningsanmälan</t>
        </is>
      </c>
      <c r="C1003" t="inlineStr">
        <is>
          <t>Föryngringsavverkning</t>
        </is>
      </c>
      <c r="D1003" s="1" t="n">
        <v>45264</v>
      </c>
      <c r="E1003" s="1" t="n">
        <v>46313</v>
      </c>
      <c r="F1003" t="inlineStr">
        <is>
          <t>VÄRMLANDS LÄN</t>
        </is>
      </c>
      <c r="G1003" t="inlineStr">
        <is>
          <t>SUNNE</t>
        </is>
      </c>
      <c r="I1003" t="n">
        <v>5.4</v>
      </c>
      <c r="J1003" t="n">
        <v>0</v>
      </c>
      <c r="K1003" t="n">
        <v>0</v>
      </c>
      <c r="L1003" t="n">
        <v>0</v>
      </c>
      <c r="M1003" t="n">
        <v>0</v>
      </c>
      <c r="N1003" t="n">
        <v>0</v>
      </c>
      <c r="O1003" t="n">
        <v>0</v>
      </c>
      <c r="P1003" t="n">
        <v>0</v>
      </c>
      <c r="Q1003" t="n">
        <v>0</v>
      </c>
      <c r="R1003" t="n">
        <v>0</v>
      </c>
      <c r="S1003" t="n">
        <v>0</v>
      </c>
      <c r="T1003" t="n">
        <v>0</v>
      </c>
      <c r="U1003" t="n">
        <v>0</v>
      </c>
      <c r="V1003" s="2" t="inlineStr"/>
    </row>
    <row r="1004" ht="15" customHeight="1">
      <c r="A1004" t="inlineStr">
        <is>
          <t>A 22964-2024</t>
        </is>
      </c>
      <c r="B1004" t="inlineStr">
        <is>
          <t>avverkningsanmälan</t>
        </is>
      </c>
      <c r="C1004" t="inlineStr">
        <is>
          <t>Föryngringsavverkning</t>
        </is>
      </c>
      <c r="D1004" s="1" t="n">
        <v>45449</v>
      </c>
      <c r="E1004" s="1" t="n">
        <v>46313</v>
      </c>
      <c r="F1004" t="inlineStr">
        <is>
          <t>VÄRMLANDS LÄN</t>
        </is>
      </c>
      <c r="G1004" t="inlineStr">
        <is>
          <t>SUNNE</t>
        </is>
      </c>
      <c r="I1004" t="n">
        <v>4.1</v>
      </c>
      <c r="J1004" t="n">
        <v>0</v>
      </c>
      <c r="K1004" t="n">
        <v>0</v>
      </c>
      <c r="L1004" t="n">
        <v>0</v>
      </c>
      <c r="M1004" t="n">
        <v>0</v>
      </c>
      <c r="N1004" t="n">
        <v>0</v>
      </c>
      <c r="O1004" t="n">
        <v>0</v>
      </c>
      <c r="P1004" t="n">
        <v>0</v>
      </c>
      <c r="Q1004" t="n">
        <v>0</v>
      </c>
      <c r="R1004" t="n">
        <v>0</v>
      </c>
      <c r="S1004" t="n">
        <v>0</v>
      </c>
      <c r="T1004" t="n">
        <v>0</v>
      </c>
      <c r="U1004" t="n">
        <v>0</v>
      </c>
      <c r="V1004" s="2" t="inlineStr"/>
    </row>
    <row r="1005" ht="15" customHeight="1">
      <c r="A1005" t="inlineStr">
        <is>
          <t>A 28564-2026</t>
        </is>
      </c>
      <c r="B1005" t="inlineStr">
        <is>
          <t>avverkningsanmälan</t>
        </is>
      </c>
      <c r="C1005" t="inlineStr">
        <is>
          <t>Föryngringsavverkning</t>
        </is>
      </c>
      <c r="D1005" s="1" t="n">
        <v>46197</v>
      </c>
      <c r="E1005" s="1" t="n">
        <v>46313</v>
      </c>
      <c r="F1005" t="inlineStr">
        <is>
          <t>VÄRMLANDS LÄN</t>
        </is>
      </c>
      <c r="G1005" t="inlineStr">
        <is>
          <t>SUNNE</t>
        </is>
      </c>
      <c r="I1005" t="n">
        <v>1.8</v>
      </c>
      <c r="J1005" t="n">
        <v>0</v>
      </c>
      <c r="K1005" t="n">
        <v>0</v>
      </c>
      <c r="L1005" t="n">
        <v>0</v>
      </c>
      <c r="M1005" t="n">
        <v>0</v>
      </c>
      <c r="N1005" t="n">
        <v>0</v>
      </c>
      <c r="O1005" t="n">
        <v>0</v>
      </c>
      <c r="P1005" t="n">
        <v>0</v>
      </c>
      <c r="Q1005" t="n">
        <v>0</v>
      </c>
      <c r="R1005" t="n">
        <v>0</v>
      </c>
      <c r="S1005" t="n">
        <v>0</v>
      </c>
      <c r="T1005" t="n">
        <v>0</v>
      </c>
      <c r="U1005" t="n">
        <v>0</v>
      </c>
      <c r="V1005" s="2" t="inlineStr"/>
    </row>
    <row r="1006" ht="15" customHeight="1">
      <c r="A1006" t="inlineStr">
        <is>
          <t>A 32874-2026</t>
        </is>
      </c>
      <c r="B1006" t="inlineStr">
        <is>
          <t>avverkningsanmälan</t>
        </is>
      </c>
      <c r="C1006" t="inlineStr">
        <is>
          <t>Föryngringsavverkning</t>
        </is>
      </c>
      <c r="D1006" s="1" t="n">
        <v>46244</v>
      </c>
      <c r="E1006" s="1" t="n">
        <v>46313</v>
      </c>
      <c r="F1006" t="inlineStr">
        <is>
          <t>VÄRMLANDS LÄN</t>
        </is>
      </c>
      <c r="G1006" t="inlineStr">
        <is>
          <t>SUNNE</t>
        </is>
      </c>
      <c r="H1006" t="inlineStr">
        <is>
          <t>Bergvik skog väst AB</t>
        </is>
      </c>
      <c r="I1006" t="n">
        <v>0.9</v>
      </c>
      <c r="J1006" t="n">
        <v>0</v>
      </c>
      <c r="K1006" t="n">
        <v>0</v>
      </c>
      <c r="L1006" t="n">
        <v>0</v>
      </c>
      <c r="M1006" t="n">
        <v>0</v>
      </c>
      <c r="N1006" t="n">
        <v>0</v>
      </c>
      <c r="O1006" t="n">
        <v>0</v>
      </c>
      <c r="P1006" t="n">
        <v>0</v>
      </c>
      <c r="Q1006" t="n">
        <v>0</v>
      </c>
      <c r="R1006" t="n">
        <v>0</v>
      </c>
      <c r="S1006" t="n">
        <v>0</v>
      </c>
      <c r="T1006" t="n">
        <v>0</v>
      </c>
      <c r="U1006" t="n">
        <v>0</v>
      </c>
      <c r="V1006" s="2" t="inlineStr"/>
    </row>
    <row r="1007" ht="15" customHeight="1">
      <c r="A1007" t="inlineStr">
        <is>
          <t>A 32907-2026</t>
        </is>
      </c>
      <c r="B1007" t="inlineStr">
        <is>
          <t>avverkningsanmälan</t>
        </is>
      </c>
      <c r="C1007" t="inlineStr">
        <is>
          <t>Föryngringsavverkning</t>
        </is>
      </c>
      <c r="D1007" s="1" t="n">
        <v>46244</v>
      </c>
      <c r="E1007" s="1" t="n">
        <v>46313</v>
      </c>
      <c r="F1007" t="inlineStr">
        <is>
          <t>VÄRMLANDS LÄN</t>
        </is>
      </c>
      <c r="G1007" t="inlineStr">
        <is>
          <t>SUNNE</t>
        </is>
      </c>
      <c r="I1007" t="n">
        <v>2.6</v>
      </c>
      <c r="J1007" t="n">
        <v>0</v>
      </c>
      <c r="K1007" t="n">
        <v>0</v>
      </c>
      <c r="L1007" t="n">
        <v>0</v>
      </c>
      <c r="M1007" t="n">
        <v>0</v>
      </c>
      <c r="N1007" t="n">
        <v>0</v>
      </c>
      <c r="O1007" t="n">
        <v>0</v>
      </c>
      <c r="P1007" t="n">
        <v>0</v>
      </c>
      <c r="Q1007" t="n">
        <v>0</v>
      </c>
      <c r="R1007" t="n">
        <v>0</v>
      </c>
      <c r="S1007" t="n">
        <v>0</v>
      </c>
      <c r="T1007" t="n">
        <v>0</v>
      </c>
      <c r="U1007" t="n">
        <v>0</v>
      </c>
      <c r="V1007" s="2" t="inlineStr"/>
    </row>
    <row r="1008" ht="15" customHeight="1">
      <c r="A1008" t="inlineStr">
        <is>
          <t>A 12271-2025</t>
        </is>
      </c>
      <c r="B1008" t="inlineStr">
        <is>
          <t>avverkningsanmälan</t>
        </is>
      </c>
      <c r="C1008" t="inlineStr">
        <is>
          <t>Föryngringsavverkning</t>
        </is>
      </c>
      <c r="D1008" s="1" t="n">
        <v>45729</v>
      </c>
      <c r="E1008" s="1" t="n">
        <v>46313</v>
      </c>
      <c r="F1008" t="inlineStr">
        <is>
          <t>VÄRMLANDS LÄN</t>
        </is>
      </c>
      <c r="G1008" t="inlineStr">
        <is>
          <t>SUNNE</t>
        </is>
      </c>
      <c r="I1008" t="n">
        <v>2</v>
      </c>
      <c r="J1008" t="n">
        <v>0</v>
      </c>
      <c r="K1008" t="n">
        <v>0</v>
      </c>
      <c r="L1008" t="n">
        <v>0</v>
      </c>
      <c r="M1008" t="n">
        <v>0</v>
      </c>
      <c r="N1008" t="n">
        <v>0</v>
      </c>
      <c r="O1008" t="n">
        <v>0</v>
      </c>
      <c r="P1008" t="n">
        <v>0</v>
      </c>
      <c r="Q1008" t="n">
        <v>0</v>
      </c>
      <c r="R1008" t="n">
        <v>0</v>
      </c>
      <c r="S1008" t="n">
        <v>0</v>
      </c>
      <c r="T1008" t="n">
        <v>0</v>
      </c>
      <c r="U1008" t="n">
        <v>0</v>
      </c>
      <c r="V1008" s="2" t="inlineStr"/>
    </row>
    <row r="1009" ht="15" customHeight="1">
      <c r="A1009" t="inlineStr">
        <is>
          <t>A 5088-2022</t>
        </is>
      </c>
      <c r="B1009" t="inlineStr">
        <is>
          <t>avverkningsanmälan</t>
        </is>
      </c>
      <c r="C1009" t="inlineStr">
        <is>
          <t>Föryngringsavverkning</t>
        </is>
      </c>
      <c r="D1009" s="1" t="n">
        <v>44593</v>
      </c>
      <c r="E1009" s="1" t="n">
        <v>46313</v>
      </c>
      <c r="F1009" t="inlineStr">
        <is>
          <t>VÄRMLANDS LÄN</t>
        </is>
      </c>
      <c r="G1009" t="inlineStr">
        <is>
          <t>SUNNE</t>
        </is>
      </c>
      <c r="I1009" t="n">
        <v>4.2</v>
      </c>
      <c r="J1009" t="n">
        <v>0</v>
      </c>
      <c r="K1009" t="n">
        <v>0</v>
      </c>
      <c r="L1009" t="n">
        <v>0</v>
      </c>
      <c r="M1009" t="n">
        <v>0</v>
      </c>
      <c r="N1009" t="n">
        <v>0</v>
      </c>
      <c r="O1009" t="n">
        <v>0</v>
      </c>
      <c r="P1009" t="n">
        <v>0</v>
      </c>
      <c r="Q1009" t="n">
        <v>0</v>
      </c>
      <c r="R1009" t="n">
        <v>0</v>
      </c>
      <c r="S1009" t="n">
        <v>0</v>
      </c>
      <c r="T1009" t="n">
        <v>0</v>
      </c>
      <c r="U1009" t="n">
        <v>0</v>
      </c>
      <c r="V1009" s="2" t="inlineStr"/>
    </row>
    <row r="1010" ht="15" customHeight="1">
      <c r="A1010" t="inlineStr">
        <is>
          <t>A 8585-2022</t>
        </is>
      </c>
      <c r="B1010" t="inlineStr">
        <is>
          <t>avverkningsanmälan</t>
        </is>
      </c>
      <c r="C1010" t="inlineStr">
        <is>
          <t>Föryngringsavverkning</t>
        </is>
      </c>
      <c r="D1010" s="1" t="n">
        <v>44613</v>
      </c>
      <c r="E1010" s="1" t="n">
        <v>46313</v>
      </c>
      <c r="F1010" t="inlineStr">
        <is>
          <t>VÄRMLANDS LÄN</t>
        </is>
      </c>
      <c r="G1010" t="inlineStr">
        <is>
          <t>SUNNE</t>
        </is>
      </c>
      <c r="I1010" t="n">
        <v>0.4</v>
      </c>
      <c r="J1010" t="n">
        <v>0</v>
      </c>
      <c r="K1010" t="n">
        <v>0</v>
      </c>
      <c r="L1010" t="n">
        <v>0</v>
      </c>
      <c r="M1010" t="n">
        <v>0</v>
      </c>
      <c r="N1010" t="n">
        <v>0</v>
      </c>
      <c r="O1010" t="n">
        <v>0</v>
      </c>
      <c r="P1010" t="n">
        <v>0</v>
      </c>
      <c r="Q1010" t="n">
        <v>0</v>
      </c>
      <c r="R1010" t="n">
        <v>0</v>
      </c>
      <c r="S1010" t="n">
        <v>0</v>
      </c>
      <c r="T1010" t="n">
        <v>0</v>
      </c>
      <c r="U1010" t="n">
        <v>0</v>
      </c>
      <c r="V1010" s="2" t="inlineStr"/>
    </row>
    <row r="1011" ht="15" customHeight="1">
      <c r="A1011" t="inlineStr">
        <is>
          <t>A 34707-2022</t>
        </is>
      </c>
      <c r="B1011" t="inlineStr">
        <is>
          <t>avverkningsanmälan</t>
        </is>
      </c>
      <c r="C1011" t="inlineStr">
        <is>
          <t>Föryngringsavverkning</t>
        </is>
      </c>
      <c r="D1011" s="1" t="n">
        <v>44795</v>
      </c>
      <c r="E1011" s="1" t="n">
        <v>46313</v>
      </c>
      <c r="F1011" t="inlineStr">
        <is>
          <t>VÄRMLANDS LÄN</t>
        </is>
      </c>
      <c r="G1011" t="inlineStr">
        <is>
          <t>SUNNE</t>
        </is>
      </c>
      <c r="H1011" t="inlineStr">
        <is>
          <t>Bergvik skog väst AB</t>
        </is>
      </c>
      <c r="I1011" t="n">
        <v>10.4</v>
      </c>
      <c r="J1011" t="n">
        <v>0</v>
      </c>
      <c r="K1011" t="n">
        <v>0</v>
      </c>
      <c r="L1011" t="n">
        <v>0</v>
      </c>
      <c r="M1011" t="n">
        <v>0</v>
      </c>
      <c r="N1011" t="n">
        <v>0</v>
      </c>
      <c r="O1011" t="n">
        <v>0</v>
      </c>
      <c r="P1011" t="n">
        <v>0</v>
      </c>
      <c r="Q1011" t="n">
        <v>0</v>
      </c>
      <c r="R1011" t="n">
        <v>0</v>
      </c>
      <c r="S1011" t="n">
        <v>0</v>
      </c>
      <c r="T1011" t="n">
        <v>0</v>
      </c>
      <c r="U1011" t="n">
        <v>0</v>
      </c>
      <c r="V1011" s="2" t="inlineStr"/>
    </row>
    <row r="1012" ht="15" customHeight="1">
      <c r="A1012" t="inlineStr">
        <is>
          <t>A 22192-2022</t>
        </is>
      </c>
      <c r="B1012" t="inlineStr">
        <is>
          <t>avverkningsanmälan</t>
        </is>
      </c>
      <c r="C1012" t="inlineStr">
        <is>
          <t>Föryngringsavverkning</t>
        </is>
      </c>
      <c r="D1012" s="1" t="n">
        <v>44712</v>
      </c>
      <c r="E1012" s="1" t="n">
        <v>46313</v>
      </c>
      <c r="F1012" t="inlineStr">
        <is>
          <t>VÄRMLANDS LÄN</t>
        </is>
      </c>
      <c r="G1012" t="inlineStr">
        <is>
          <t>SUNNE</t>
        </is>
      </c>
      <c r="I1012" t="n">
        <v>6.1</v>
      </c>
      <c r="J1012" t="n">
        <v>0</v>
      </c>
      <c r="K1012" t="n">
        <v>0</v>
      </c>
      <c r="L1012" t="n">
        <v>0</v>
      </c>
      <c r="M1012" t="n">
        <v>0</v>
      </c>
      <c r="N1012" t="n">
        <v>0</v>
      </c>
      <c r="O1012" t="n">
        <v>0</v>
      </c>
      <c r="P1012" t="n">
        <v>0</v>
      </c>
      <c r="Q1012" t="n">
        <v>0</v>
      </c>
      <c r="R1012" t="n">
        <v>0</v>
      </c>
      <c r="S1012" t="n">
        <v>0</v>
      </c>
      <c r="T1012" t="n">
        <v>0</v>
      </c>
      <c r="U1012" t="n">
        <v>0</v>
      </c>
      <c r="V1012" s="2" t="inlineStr"/>
    </row>
    <row r="1013" ht="15" customHeight="1">
      <c r="A1013" t="inlineStr">
        <is>
          <t>A 33131-2026</t>
        </is>
      </c>
      <c r="B1013" t="inlineStr">
        <is>
          <t>avverkningsanmälan</t>
        </is>
      </c>
      <c r="C1013" t="inlineStr">
        <is>
          <t>Föryngringsavverkning</t>
        </is>
      </c>
      <c r="D1013" s="1" t="n">
        <v>46245</v>
      </c>
      <c r="E1013" s="1" t="n">
        <v>46313</v>
      </c>
      <c r="F1013" t="inlineStr">
        <is>
          <t>VÄRMLANDS LÄN</t>
        </is>
      </c>
      <c r="G1013" t="inlineStr">
        <is>
          <t>SUNNE</t>
        </is>
      </c>
      <c r="I1013" t="n">
        <v>5.9</v>
      </c>
      <c r="J1013" t="n">
        <v>0</v>
      </c>
      <c r="K1013" t="n">
        <v>0</v>
      </c>
      <c r="L1013" t="n">
        <v>0</v>
      </c>
      <c r="M1013" t="n">
        <v>0</v>
      </c>
      <c r="N1013" t="n">
        <v>0</v>
      </c>
      <c r="O1013" t="n">
        <v>0</v>
      </c>
      <c r="P1013" t="n">
        <v>0</v>
      </c>
      <c r="Q1013" t="n">
        <v>0</v>
      </c>
      <c r="R1013" t="n">
        <v>0</v>
      </c>
      <c r="S1013" t="n">
        <v>0</v>
      </c>
      <c r="T1013" t="n">
        <v>0</v>
      </c>
      <c r="U1013" t="n">
        <v>0</v>
      </c>
      <c r="V1013" s="2" t="inlineStr"/>
    </row>
    <row r="1014" ht="15" customHeight="1">
      <c r="A1014" t="inlineStr">
        <is>
          <t>A 56738-2024</t>
        </is>
      </c>
      <c r="B1014" t="inlineStr">
        <is>
          <t>avverkningsanmälan</t>
        </is>
      </c>
      <c r="C1014" t="inlineStr">
        <is>
          <t>Föryngringsavverkning</t>
        </is>
      </c>
      <c r="D1014" s="1" t="n">
        <v>45628</v>
      </c>
      <c r="E1014" s="1" t="n">
        <v>46313</v>
      </c>
      <c r="F1014" t="inlineStr">
        <is>
          <t>VÄRMLANDS LÄN</t>
        </is>
      </c>
      <c r="G1014" t="inlineStr">
        <is>
          <t>SUNNE</t>
        </is>
      </c>
      <c r="I1014" t="n">
        <v>2.3</v>
      </c>
      <c r="J1014" t="n">
        <v>0</v>
      </c>
      <c r="K1014" t="n">
        <v>0</v>
      </c>
      <c r="L1014" t="n">
        <v>0</v>
      </c>
      <c r="M1014" t="n">
        <v>0</v>
      </c>
      <c r="N1014" t="n">
        <v>0</v>
      </c>
      <c r="O1014" t="n">
        <v>0</v>
      </c>
      <c r="P1014" t="n">
        <v>0</v>
      </c>
      <c r="Q1014" t="n">
        <v>0</v>
      </c>
      <c r="R1014" t="n">
        <v>0</v>
      </c>
      <c r="S1014" t="n">
        <v>0</v>
      </c>
      <c r="T1014" t="n">
        <v>0</v>
      </c>
      <c r="U1014" t="n">
        <v>0</v>
      </c>
      <c r="V1014" s="2" t="inlineStr"/>
    </row>
    <row r="1015" ht="15" customHeight="1">
      <c r="A1015" t="inlineStr">
        <is>
          <t>A 17691-2025</t>
        </is>
      </c>
      <c r="B1015" t="inlineStr">
        <is>
          <t>avverkningsanmälan</t>
        </is>
      </c>
      <c r="C1015" t="inlineStr">
        <is>
          <t>Föryngringsavverkning</t>
        </is>
      </c>
      <c r="D1015" s="1" t="n">
        <v>45758</v>
      </c>
      <c r="E1015" s="1" t="n">
        <v>46313</v>
      </c>
      <c r="F1015" t="inlineStr">
        <is>
          <t>VÄRMLANDS LÄN</t>
        </is>
      </c>
      <c r="G1015" t="inlineStr">
        <is>
          <t>SUNNE</t>
        </is>
      </c>
      <c r="I1015" t="n">
        <v>1.9</v>
      </c>
      <c r="J1015" t="n">
        <v>0</v>
      </c>
      <c r="K1015" t="n">
        <v>0</v>
      </c>
      <c r="L1015" t="n">
        <v>0</v>
      </c>
      <c r="M1015" t="n">
        <v>0</v>
      </c>
      <c r="N1015" t="n">
        <v>0</v>
      </c>
      <c r="O1015" t="n">
        <v>0</v>
      </c>
      <c r="P1015" t="n">
        <v>0</v>
      </c>
      <c r="Q1015" t="n">
        <v>0</v>
      </c>
      <c r="R1015" t="n">
        <v>0</v>
      </c>
      <c r="S1015" t="n">
        <v>0</v>
      </c>
      <c r="T1015" t="n">
        <v>0</v>
      </c>
      <c r="U1015" t="n">
        <v>0</v>
      </c>
      <c r="V1015" s="2" t="inlineStr"/>
    </row>
    <row r="1016" ht="15" customHeight="1">
      <c r="A1016" t="inlineStr">
        <is>
          <t>A 54977-2022</t>
        </is>
      </c>
      <c r="B1016" t="inlineStr">
        <is>
          <t>avverkningsanmälan</t>
        </is>
      </c>
      <c r="C1016" t="inlineStr">
        <is>
          <t>Föryngringsavverkning</t>
        </is>
      </c>
      <c r="D1016" s="1" t="n">
        <v>44886</v>
      </c>
      <c r="E1016" s="1" t="n">
        <v>46313</v>
      </c>
      <c r="F1016" t="inlineStr">
        <is>
          <t>VÄRMLANDS LÄN</t>
        </is>
      </c>
      <c r="G1016" t="inlineStr">
        <is>
          <t>SUNNE</t>
        </is>
      </c>
      <c r="I1016" t="n">
        <v>0.9</v>
      </c>
      <c r="J1016" t="n">
        <v>0</v>
      </c>
      <c r="K1016" t="n">
        <v>0</v>
      </c>
      <c r="L1016" t="n">
        <v>0</v>
      </c>
      <c r="M1016" t="n">
        <v>0</v>
      </c>
      <c r="N1016" t="n">
        <v>0</v>
      </c>
      <c r="O1016" t="n">
        <v>0</v>
      </c>
      <c r="P1016" t="n">
        <v>0</v>
      </c>
      <c r="Q1016" t="n">
        <v>0</v>
      </c>
      <c r="R1016" t="n">
        <v>0</v>
      </c>
      <c r="S1016" t="n">
        <v>0</v>
      </c>
      <c r="T1016" t="n">
        <v>0</v>
      </c>
      <c r="U1016" t="n">
        <v>0</v>
      </c>
      <c r="V1016" s="2" t="inlineStr"/>
    </row>
    <row r="1017" ht="15" customHeight="1">
      <c r="A1017" t="inlineStr">
        <is>
          <t>A 50825-2024</t>
        </is>
      </c>
      <c r="B1017" t="inlineStr">
        <is>
          <t>avverkningsanmälan</t>
        </is>
      </c>
      <c r="C1017" t="inlineStr">
        <is>
          <t>Föryngringsavverkning</t>
        </is>
      </c>
      <c r="D1017" s="1" t="n">
        <v>45602</v>
      </c>
      <c r="E1017" s="1" t="n">
        <v>46313</v>
      </c>
      <c r="F1017" t="inlineStr">
        <is>
          <t>VÄRMLANDS LÄN</t>
        </is>
      </c>
      <c r="G1017" t="inlineStr">
        <is>
          <t>SUNNE</t>
        </is>
      </c>
      <c r="I1017" t="n">
        <v>7.3</v>
      </c>
      <c r="J1017" t="n">
        <v>0</v>
      </c>
      <c r="K1017" t="n">
        <v>0</v>
      </c>
      <c r="L1017" t="n">
        <v>0</v>
      </c>
      <c r="M1017" t="n">
        <v>0</v>
      </c>
      <c r="N1017" t="n">
        <v>0</v>
      </c>
      <c r="O1017" t="n">
        <v>0</v>
      </c>
      <c r="P1017" t="n">
        <v>0</v>
      </c>
      <c r="Q1017" t="n">
        <v>0</v>
      </c>
      <c r="R1017" t="n">
        <v>0</v>
      </c>
      <c r="S1017" t="n">
        <v>0</v>
      </c>
      <c r="T1017" t="n">
        <v>0</v>
      </c>
      <c r="U1017" t="n">
        <v>0</v>
      </c>
      <c r="V1017" s="2" t="inlineStr"/>
    </row>
    <row r="1018" ht="15" customHeight="1">
      <c r="A1018" t="inlineStr">
        <is>
          <t>A 15170-2022</t>
        </is>
      </c>
      <c r="B1018" t="inlineStr">
        <is>
          <t>avverkningsanmälan</t>
        </is>
      </c>
      <c r="C1018" t="inlineStr">
        <is>
          <t>Föryngringsavverkning</t>
        </is>
      </c>
      <c r="D1018" s="1" t="n">
        <v>44658</v>
      </c>
      <c r="E1018" s="1" t="n">
        <v>46313</v>
      </c>
      <c r="F1018" t="inlineStr">
        <is>
          <t>VÄRMLANDS LÄN</t>
        </is>
      </c>
      <c r="G1018" t="inlineStr">
        <is>
          <t>SUNNE</t>
        </is>
      </c>
      <c r="I1018" t="n">
        <v>3.7</v>
      </c>
      <c r="J1018" t="n">
        <v>0</v>
      </c>
      <c r="K1018" t="n">
        <v>0</v>
      </c>
      <c r="L1018" t="n">
        <v>0</v>
      </c>
      <c r="M1018" t="n">
        <v>0</v>
      </c>
      <c r="N1018" t="n">
        <v>0</v>
      </c>
      <c r="O1018" t="n">
        <v>0</v>
      </c>
      <c r="P1018" t="n">
        <v>0</v>
      </c>
      <c r="Q1018" t="n">
        <v>0</v>
      </c>
      <c r="R1018" t="n">
        <v>0</v>
      </c>
      <c r="S1018" t="n">
        <v>0</v>
      </c>
      <c r="T1018" t="n">
        <v>0</v>
      </c>
      <c r="U1018" t="n">
        <v>0</v>
      </c>
      <c r="V1018" s="2" t="inlineStr"/>
    </row>
    <row r="1019" ht="15" customHeight="1">
      <c r="A1019" t="inlineStr">
        <is>
          <t>A 25429-2023</t>
        </is>
      </c>
      <c r="B1019" t="inlineStr">
        <is>
          <t>avverkningsanmälan</t>
        </is>
      </c>
      <c r="C1019" t="inlineStr">
        <is>
          <t>Föryngringsavverkning</t>
        </is>
      </c>
      <c r="D1019" s="1" t="n">
        <v>45089</v>
      </c>
      <c r="E1019" s="1" t="n">
        <v>46313</v>
      </c>
      <c r="F1019" t="inlineStr">
        <is>
          <t>VÄRMLANDS LÄN</t>
        </is>
      </c>
      <c r="G1019" t="inlineStr">
        <is>
          <t>SUNNE</t>
        </is>
      </c>
      <c r="I1019" t="n">
        <v>8</v>
      </c>
      <c r="J1019" t="n">
        <v>0</v>
      </c>
      <c r="K1019" t="n">
        <v>0</v>
      </c>
      <c r="L1019" t="n">
        <v>0</v>
      </c>
      <c r="M1019" t="n">
        <v>0</v>
      </c>
      <c r="N1019" t="n">
        <v>0</v>
      </c>
      <c r="O1019" t="n">
        <v>0</v>
      </c>
      <c r="P1019" t="n">
        <v>0</v>
      </c>
      <c r="Q1019" t="n">
        <v>0</v>
      </c>
      <c r="R1019" t="n">
        <v>0</v>
      </c>
      <c r="S1019" t="n">
        <v>0</v>
      </c>
      <c r="T1019" t="n">
        <v>0</v>
      </c>
      <c r="U1019" t="n">
        <v>0</v>
      </c>
      <c r="V1019" s="2" t="inlineStr"/>
    </row>
    <row r="1020" ht="15" customHeight="1">
      <c r="A1020" t="inlineStr">
        <is>
          <t>A 27053-2023</t>
        </is>
      </c>
      <c r="B1020" t="inlineStr">
        <is>
          <t>avverkningsanmälan</t>
        </is>
      </c>
      <c r="C1020" t="inlineStr">
        <is>
          <t>Föryngringsavverkning</t>
        </is>
      </c>
      <c r="D1020" s="1" t="n">
        <v>45095</v>
      </c>
      <c r="E1020" s="1" t="n">
        <v>46313</v>
      </c>
      <c r="F1020" t="inlineStr">
        <is>
          <t>VÄRMLANDS LÄN</t>
        </is>
      </c>
      <c r="G1020" t="inlineStr">
        <is>
          <t>SUNNE</t>
        </is>
      </c>
      <c r="I1020" t="n">
        <v>4.4</v>
      </c>
      <c r="J1020" t="n">
        <v>0</v>
      </c>
      <c r="K1020" t="n">
        <v>0</v>
      </c>
      <c r="L1020" t="n">
        <v>0</v>
      </c>
      <c r="M1020" t="n">
        <v>0</v>
      </c>
      <c r="N1020" t="n">
        <v>0</v>
      </c>
      <c r="O1020" t="n">
        <v>0</v>
      </c>
      <c r="P1020" t="n">
        <v>0</v>
      </c>
      <c r="Q1020" t="n">
        <v>0</v>
      </c>
      <c r="R1020" t="n">
        <v>0</v>
      </c>
      <c r="S1020" t="n">
        <v>0</v>
      </c>
      <c r="T1020" t="n">
        <v>0</v>
      </c>
      <c r="U1020" t="n">
        <v>0</v>
      </c>
      <c r="V1020" s="2" t="inlineStr"/>
    </row>
    <row r="1021" ht="15" customHeight="1">
      <c r="A1021" t="inlineStr">
        <is>
          <t>A 16015-2023</t>
        </is>
      </c>
      <c r="B1021" t="inlineStr">
        <is>
          <t>avverkningsanmälan</t>
        </is>
      </c>
      <c r="C1021" t="inlineStr">
        <is>
          <t>Föryngringsavverkning</t>
        </is>
      </c>
      <c r="D1021" s="1" t="n">
        <v>45026</v>
      </c>
      <c r="E1021" s="1" t="n">
        <v>46313</v>
      </c>
      <c r="F1021" t="inlineStr">
        <is>
          <t>VÄRMLANDS LÄN</t>
        </is>
      </c>
      <c r="G1021" t="inlineStr">
        <is>
          <t>SUNNE</t>
        </is>
      </c>
      <c r="I1021" t="n">
        <v>4.9</v>
      </c>
      <c r="J1021" t="n">
        <v>0</v>
      </c>
      <c r="K1021" t="n">
        <v>0</v>
      </c>
      <c r="L1021" t="n">
        <v>0</v>
      </c>
      <c r="M1021" t="n">
        <v>0</v>
      </c>
      <c r="N1021" t="n">
        <v>0</v>
      </c>
      <c r="O1021" t="n">
        <v>0</v>
      </c>
      <c r="P1021" t="n">
        <v>0</v>
      </c>
      <c r="Q1021" t="n">
        <v>0</v>
      </c>
      <c r="R1021" t="n">
        <v>0</v>
      </c>
      <c r="S1021" t="n">
        <v>0</v>
      </c>
      <c r="T1021" t="n">
        <v>0</v>
      </c>
      <c r="U1021" t="n">
        <v>0</v>
      </c>
      <c r="V1021" s="2" t="inlineStr"/>
    </row>
    <row r="1022" ht="15" customHeight="1">
      <c r="A1022" t="inlineStr">
        <is>
          <t>A 39505-2026</t>
        </is>
      </c>
      <c r="B1022" t="inlineStr">
        <is>
          <t>avverkningsanmälan</t>
        </is>
      </c>
      <c r="C1022" t="inlineStr">
        <is>
          <t>Föryngringsavverkning</t>
        </is>
      </c>
      <c r="D1022" s="1" t="n">
        <v>46289</v>
      </c>
      <c r="E1022" s="1" t="n">
        <v>46313</v>
      </c>
      <c r="F1022" t="inlineStr">
        <is>
          <t>VÄRMLANDS LÄN</t>
        </is>
      </c>
      <c r="G1022" t="inlineStr">
        <is>
          <t>SUNNE</t>
        </is>
      </c>
      <c r="I1022" t="n">
        <v>4.6</v>
      </c>
      <c r="J1022" t="n">
        <v>0</v>
      </c>
      <c r="K1022" t="n">
        <v>0</v>
      </c>
      <c r="L1022" t="n">
        <v>0</v>
      </c>
      <c r="M1022" t="n">
        <v>0</v>
      </c>
      <c r="N1022" t="n">
        <v>0</v>
      </c>
      <c r="O1022" t="n">
        <v>0</v>
      </c>
      <c r="P1022" t="n">
        <v>0</v>
      </c>
      <c r="Q1022" t="n">
        <v>0</v>
      </c>
      <c r="R1022" t="n">
        <v>0</v>
      </c>
      <c r="S1022" t="n">
        <v>0</v>
      </c>
      <c r="T1022" t="n">
        <v>0</v>
      </c>
      <c r="U1022" t="n">
        <v>0</v>
      </c>
      <c r="V1022" s="2" t="inlineStr"/>
    </row>
    <row r="1023" ht="15" customHeight="1">
      <c r="A1023" t="inlineStr">
        <is>
          <t>A 43312-2023</t>
        </is>
      </c>
      <c r="B1023" t="inlineStr">
        <is>
          <t>avverkningsanmälan</t>
        </is>
      </c>
      <c r="C1023" t="inlineStr">
        <is>
          <t>Föryngringsavverkning</t>
        </is>
      </c>
      <c r="D1023" s="1" t="n">
        <v>45183</v>
      </c>
      <c r="E1023" s="1" t="n">
        <v>46313</v>
      </c>
      <c r="F1023" t="inlineStr">
        <is>
          <t>VÄRMLANDS LÄN</t>
        </is>
      </c>
      <c r="G1023" t="inlineStr">
        <is>
          <t>SUNNE</t>
        </is>
      </c>
      <c r="I1023" t="n">
        <v>2.1</v>
      </c>
      <c r="J1023" t="n">
        <v>0</v>
      </c>
      <c r="K1023" t="n">
        <v>0</v>
      </c>
      <c r="L1023" t="n">
        <v>0</v>
      </c>
      <c r="M1023" t="n">
        <v>0</v>
      </c>
      <c r="N1023" t="n">
        <v>0</v>
      </c>
      <c r="O1023" t="n">
        <v>0</v>
      </c>
      <c r="P1023" t="n">
        <v>0</v>
      </c>
      <c r="Q1023" t="n">
        <v>0</v>
      </c>
      <c r="R1023" t="n">
        <v>0</v>
      </c>
      <c r="S1023" t="n">
        <v>0</v>
      </c>
      <c r="T1023" t="n">
        <v>0</v>
      </c>
      <c r="U1023" t="n">
        <v>0</v>
      </c>
      <c r="V1023" s="2" t="inlineStr"/>
    </row>
    <row r="1024" ht="15" customHeight="1">
      <c r="A1024" t="inlineStr">
        <is>
          <t>A 33682-2026</t>
        </is>
      </c>
      <c r="B1024" t="inlineStr">
        <is>
          <t>avverkningsanmälan</t>
        </is>
      </c>
      <c r="C1024" t="inlineStr">
        <is>
          <t>Föryngringsavverkning</t>
        </is>
      </c>
      <c r="D1024" s="1" t="n">
        <v>46248</v>
      </c>
      <c r="E1024" s="1" t="n">
        <v>46313</v>
      </c>
      <c r="F1024" t="inlineStr">
        <is>
          <t>VÄRMLANDS LÄN</t>
        </is>
      </c>
      <c r="G1024" t="inlineStr">
        <is>
          <t>SUNNE</t>
        </is>
      </c>
      <c r="I1024" t="n">
        <v>1.3</v>
      </c>
      <c r="J1024" t="n">
        <v>0</v>
      </c>
      <c r="K1024" t="n">
        <v>0</v>
      </c>
      <c r="L1024" t="n">
        <v>0</v>
      </c>
      <c r="M1024" t="n">
        <v>0</v>
      </c>
      <c r="N1024" t="n">
        <v>0</v>
      </c>
      <c r="O1024" t="n">
        <v>0</v>
      </c>
      <c r="P1024" t="n">
        <v>0</v>
      </c>
      <c r="Q1024" t="n">
        <v>0</v>
      </c>
      <c r="R1024" t="n">
        <v>0</v>
      </c>
      <c r="S1024" t="n">
        <v>0</v>
      </c>
      <c r="T1024" t="n">
        <v>0</v>
      </c>
      <c r="U1024" t="n">
        <v>0</v>
      </c>
      <c r="V1024" s="2" t="inlineStr"/>
    </row>
    <row r="1025" ht="15" customHeight="1">
      <c r="A1025" t="inlineStr">
        <is>
          <t>A 5008-2025</t>
        </is>
      </c>
      <c r="B1025" t="inlineStr">
        <is>
          <t>avverkningsanmälan</t>
        </is>
      </c>
      <c r="C1025" t="inlineStr">
        <is>
          <t>Föryngringsavverkning</t>
        </is>
      </c>
      <c r="D1025" s="1" t="n">
        <v>45691</v>
      </c>
      <c r="E1025" s="1" t="n">
        <v>46313</v>
      </c>
      <c r="F1025" t="inlineStr">
        <is>
          <t>VÄRMLANDS LÄN</t>
        </is>
      </c>
      <c r="G1025" t="inlineStr">
        <is>
          <t>SUNNE</t>
        </is>
      </c>
      <c r="I1025" t="n">
        <v>1.6</v>
      </c>
      <c r="J1025" t="n">
        <v>0</v>
      </c>
      <c r="K1025" t="n">
        <v>0</v>
      </c>
      <c r="L1025" t="n">
        <v>0</v>
      </c>
      <c r="M1025" t="n">
        <v>0</v>
      </c>
      <c r="N1025" t="n">
        <v>0</v>
      </c>
      <c r="O1025" t="n">
        <v>0</v>
      </c>
      <c r="P1025" t="n">
        <v>0</v>
      </c>
      <c r="Q1025" t="n">
        <v>0</v>
      </c>
      <c r="R1025" t="n">
        <v>0</v>
      </c>
      <c r="S1025" t="n">
        <v>0</v>
      </c>
      <c r="T1025" t="n">
        <v>0</v>
      </c>
      <c r="U1025" t="n">
        <v>0</v>
      </c>
      <c r="V1025" s="2" t="inlineStr"/>
    </row>
    <row r="1026" ht="15" customHeight="1">
      <c r="A1026" t="inlineStr">
        <is>
          <t>A 39939-2026</t>
        </is>
      </c>
      <c r="B1026" t="inlineStr">
        <is>
          <t>avverkningsanmälan</t>
        </is>
      </c>
      <c r="C1026" t="inlineStr">
        <is>
          <t>Föryngringsavverkning</t>
        </is>
      </c>
      <c r="D1026" s="1" t="n">
        <v>46290</v>
      </c>
      <c r="E1026" s="1" t="n">
        <v>46313</v>
      </c>
      <c r="F1026" t="inlineStr">
        <is>
          <t>VÄRMLANDS LÄN</t>
        </is>
      </c>
      <c r="G1026" t="inlineStr">
        <is>
          <t>SUNNE</t>
        </is>
      </c>
      <c r="H1026" t="inlineStr">
        <is>
          <t>Bergvik skog väst AB</t>
        </is>
      </c>
      <c r="I1026" t="n">
        <v>0.7</v>
      </c>
      <c r="J1026" t="n">
        <v>0</v>
      </c>
      <c r="K1026" t="n">
        <v>0</v>
      </c>
      <c r="L1026" t="n">
        <v>0</v>
      </c>
      <c r="M1026" t="n">
        <v>0</v>
      </c>
      <c r="N1026" t="n">
        <v>0</v>
      </c>
      <c r="O1026" t="n">
        <v>0</v>
      </c>
      <c r="P1026" t="n">
        <v>0</v>
      </c>
      <c r="Q1026" t="n">
        <v>0</v>
      </c>
      <c r="R1026" t="n">
        <v>0</v>
      </c>
      <c r="S1026" t="n">
        <v>0</v>
      </c>
      <c r="T1026" t="n">
        <v>0</v>
      </c>
      <c r="U1026" t="n">
        <v>0</v>
      </c>
      <c r="V1026" s="2" t="inlineStr"/>
    </row>
    <row r="1027" ht="15" customHeight="1">
      <c r="A1027" t="inlineStr">
        <is>
          <t>A 6930-2025</t>
        </is>
      </c>
      <c r="B1027" t="inlineStr">
        <is>
          <t>avverkningsanmälan</t>
        </is>
      </c>
      <c r="C1027" t="inlineStr">
        <is>
          <t>Föryngringsavverkning</t>
        </is>
      </c>
      <c r="D1027" s="1" t="n">
        <v>45701</v>
      </c>
      <c r="E1027" s="1" t="n">
        <v>46313</v>
      </c>
      <c r="F1027" t="inlineStr">
        <is>
          <t>VÄRMLANDS LÄN</t>
        </is>
      </c>
      <c r="G1027" t="inlineStr">
        <is>
          <t>SUNNE</t>
        </is>
      </c>
      <c r="I1027" t="n">
        <v>1.6</v>
      </c>
      <c r="J1027" t="n">
        <v>0</v>
      </c>
      <c r="K1027" t="n">
        <v>0</v>
      </c>
      <c r="L1027" t="n">
        <v>0</v>
      </c>
      <c r="M1027" t="n">
        <v>0</v>
      </c>
      <c r="N1027" t="n">
        <v>0</v>
      </c>
      <c r="O1027" t="n">
        <v>0</v>
      </c>
      <c r="P1027" t="n">
        <v>0</v>
      </c>
      <c r="Q1027" t="n">
        <v>0</v>
      </c>
      <c r="R1027" t="n">
        <v>0</v>
      </c>
      <c r="S1027" t="n">
        <v>0</v>
      </c>
      <c r="T1027" t="n">
        <v>0</v>
      </c>
      <c r="U1027" t="n">
        <v>0</v>
      </c>
      <c r="V1027" s="2" t="inlineStr"/>
    </row>
    <row r="1028" ht="15" customHeight="1">
      <c r="A1028" t="inlineStr">
        <is>
          <t>A 27088-2022</t>
        </is>
      </c>
      <c r="B1028" t="inlineStr">
        <is>
          <t>avverkningsanmälan</t>
        </is>
      </c>
      <c r="C1028" t="inlineStr">
        <is>
          <t>Föryngringsavverkning</t>
        </is>
      </c>
      <c r="D1028" s="1" t="n">
        <v>44741</v>
      </c>
      <c r="E1028" s="1" t="n">
        <v>46313</v>
      </c>
      <c r="F1028" t="inlineStr">
        <is>
          <t>VÄRMLANDS LÄN</t>
        </is>
      </c>
      <c r="G1028" t="inlineStr">
        <is>
          <t>SUNNE</t>
        </is>
      </c>
      <c r="I1028" t="n">
        <v>1.4</v>
      </c>
      <c r="J1028" t="n">
        <v>0</v>
      </c>
      <c r="K1028" t="n">
        <v>0</v>
      </c>
      <c r="L1028" t="n">
        <v>0</v>
      </c>
      <c r="M1028" t="n">
        <v>0</v>
      </c>
      <c r="N1028" t="n">
        <v>0</v>
      </c>
      <c r="O1028" t="n">
        <v>0</v>
      </c>
      <c r="P1028" t="n">
        <v>0</v>
      </c>
      <c r="Q1028" t="n">
        <v>0</v>
      </c>
      <c r="R1028" t="n">
        <v>0</v>
      </c>
      <c r="S1028" t="n">
        <v>0</v>
      </c>
      <c r="T1028" t="n">
        <v>0</v>
      </c>
      <c r="U1028" t="n">
        <v>0</v>
      </c>
      <c r="V1028" s="2" t="inlineStr"/>
    </row>
    <row r="1029" ht="15" customHeight="1">
      <c r="A1029" t="inlineStr">
        <is>
          <t>A 33669-2026</t>
        </is>
      </c>
      <c r="B1029" t="inlineStr">
        <is>
          <t>avverkningsanmälan</t>
        </is>
      </c>
      <c r="C1029" t="inlineStr">
        <is>
          <t>Föryngringsavverkning</t>
        </is>
      </c>
      <c r="D1029" s="1" t="n">
        <v>46248</v>
      </c>
      <c r="E1029" s="1" t="n">
        <v>46313</v>
      </c>
      <c r="F1029" t="inlineStr">
        <is>
          <t>VÄRMLANDS LÄN</t>
        </is>
      </c>
      <c r="G1029" t="inlineStr">
        <is>
          <t>SUNNE</t>
        </is>
      </c>
      <c r="I1029" t="n">
        <v>1.6</v>
      </c>
      <c r="J1029" t="n">
        <v>0</v>
      </c>
      <c r="K1029" t="n">
        <v>0</v>
      </c>
      <c r="L1029" t="n">
        <v>0</v>
      </c>
      <c r="M1029" t="n">
        <v>0</v>
      </c>
      <c r="N1029" t="n">
        <v>0</v>
      </c>
      <c r="O1029" t="n">
        <v>0</v>
      </c>
      <c r="P1029" t="n">
        <v>0</v>
      </c>
      <c r="Q1029" t="n">
        <v>0</v>
      </c>
      <c r="R1029" t="n">
        <v>0</v>
      </c>
      <c r="S1029" t="n">
        <v>0</v>
      </c>
      <c r="T1029" t="n">
        <v>0</v>
      </c>
      <c r="U1029" t="n">
        <v>0</v>
      </c>
      <c r="V1029" s="2" t="inlineStr"/>
    </row>
    <row r="1030" ht="15" customHeight="1">
      <c r="A1030" t="inlineStr">
        <is>
          <t>A 60880-2024</t>
        </is>
      </c>
      <c r="B1030" t="inlineStr">
        <is>
          <t>avverkningsanmälan</t>
        </is>
      </c>
      <c r="C1030" t="inlineStr">
        <is>
          <t>Föryngringsavverkning</t>
        </is>
      </c>
      <c r="D1030" s="1" t="n">
        <v>45644</v>
      </c>
      <c r="E1030" s="1" t="n">
        <v>46313</v>
      </c>
      <c r="F1030" t="inlineStr">
        <is>
          <t>VÄRMLANDS LÄN</t>
        </is>
      </c>
      <c r="G1030" t="inlineStr">
        <is>
          <t>SUNNE</t>
        </is>
      </c>
      <c r="I1030" t="n">
        <v>13.5</v>
      </c>
      <c r="J1030" t="n">
        <v>0</v>
      </c>
      <c r="K1030" t="n">
        <v>0</v>
      </c>
      <c r="L1030" t="n">
        <v>0</v>
      </c>
      <c r="M1030" t="n">
        <v>0</v>
      </c>
      <c r="N1030" t="n">
        <v>0</v>
      </c>
      <c r="O1030" t="n">
        <v>0</v>
      </c>
      <c r="P1030" t="n">
        <v>0</v>
      </c>
      <c r="Q1030" t="n">
        <v>0</v>
      </c>
      <c r="R1030" t="n">
        <v>0</v>
      </c>
      <c r="S1030" t="n">
        <v>0</v>
      </c>
      <c r="T1030" t="n">
        <v>0</v>
      </c>
      <c r="U1030" t="n">
        <v>0</v>
      </c>
      <c r="V1030" s="2" t="inlineStr"/>
    </row>
    <row r="1031" ht="15" customHeight="1">
      <c r="A1031" t="inlineStr">
        <is>
          <t>A 2980-2022</t>
        </is>
      </c>
      <c r="B1031" t="inlineStr">
        <is>
          <t>avverkningsanmälan</t>
        </is>
      </c>
      <c r="C1031" t="inlineStr">
        <is>
          <t>Föryngringsavverkning</t>
        </is>
      </c>
      <c r="D1031" s="1" t="n">
        <v>44581</v>
      </c>
      <c r="E1031" s="1" t="n">
        <v>46313</v>
      </c>
      <c r="F1031" t="inlineStr">
        <is>
          <t>VÄRMLANDS LÄN</t>
        </is>
      </c>
      <c r="G1031" t="inlineStr">
        <is>
          <t>SUNNE</t>
        </is>
      </c>
      <c r="I1031" t="n">
        <v>0.8</v>
      </c>
      <c r="J1031" t="n">
        <v>0</v>
      </c>
      <c r="K1031" t="n">
        <v>0</v>
      </c>
      <c r="L1031" t="n">
        <v>0</v>
      </c>
      <c r="M1031" t="n">
        <v>0</v>
      </c>
      <c r="N1031" t="n">
        <v>0</v>
      </c>
      <c r="O1031" t="n">
        <v>0</v>
      </c>
      <c r="P1031" t="n">
        <v>0</v>
      </c>
      <c r="Q1031" t="n">
        <v>0</v>
      </c>
      <c r="R1031" t="n">
        <v>0</v>
      </c>
      <c r="S1031" t="n">
        <v>0</v>
      </c>
      <c r="T1031" t="n">
        <v>0</v>
      </c>
      <c r="U1031" t="n">
        <v>0</v>
      </c>
      <c r="V1031" s="2" t="inlineStr"/>
    </row>
    <row r="1032" ht="15" customHeight="1">
      <c r="A1032" t="inlineStr">
        <is>
          <t>A 31034-2023</t>
        </is>
      </c>
      <c r="B1032" t="inlineStr">
        <is>
          <t>avverkningsanmälan</t>
        </is>
      </c>
      <c r="C1032" t="inlineStr">
        <is>
          <t>Föryngringsavverkning</t>
        </is>
      </c>
      <c r="D1032" s="1" t="n">
        <v>45113</v>
      </c>
      <c r="E1032" s="1" t="n">
        <v>46313</v>
      </c>
      <c r="F1032" t="inlineStr">
        <is>
          <t>VÄRMLANDS LÄN</t>
        </is>
      </c>
      <c r="G1032" t="inlineStr">
        <is>
          <t>SUNNE</t>
        </is>
      </c>
      <c r="I1032" t="n">
        <v>3.2</v>
      </c>
      <c r="J1032" t="n">
        <v>0</v>
      </c>
      <c r="K1032" t="n">
        <v>0</v>
      </c>
      <c r="L1032" t="n">
        <v>0</v>
      </c>
      <c r="M1032" t="n">
        <v>0</v>
      </c>
      <c r="N1032" t="n">
        <v>0</v>
      </c>
      <c r="O1032" t="n">
        <v>0</v>
      </c>
      <c r="P1032" t="n">
        <v>0</v>
      </c>
      <c r="Q1032" t="n">
        <v>0</v>
      </c>
      <c r="R1032" t="n">
        <v>0</v>
      </c>
      <c r="S1032" t="n">
        <v>0</v>
      </c>
      <c r="T1032" t="n">
        <v>0</v>
      </c>
      <c r="U1032" t="n">
        <v>0</v>
      </c>
      <c r="V1032" s="2" t="inlineStr"/>
    </row>
    <row r="1033" ht="15" customHeight="1">
      <c r="A1033" t="inlineStr">
        <is>
          <t>A 7096-2025</t>
        </is>
      </c>
      <c r="B1033" t="inlineStr">
        <is>
          <t>avverkningsanmälan</t>
        </is>
      </c>
      <c r="C1033" t="inlineStr">
        <is>
          <t>Föryngringsavverkning</t>
        </is>
      </c>
      <c r="D1033" s="1" t="n">
        <v>45701</v>
      </c>
      <c r="E1033" s="1" t="n">
        <v>46313</v>
      </c>
      <c r="F1033" t="inlineStr">
        <is>
          <t>VÄRMLANDS LÄN</t>
        </is>
      </c>
      <c r="G1033" t="inlineStr">
        <is>
          <t>SUNNE</t>
        </is>
      </c>
      <c r="I1033" t="n">
        <v>1.6</v>
      </c>
      <c r="J1033" t="n">
        <v>0</v>
      </c>
      <c r="K1033" t="n">
        <v>0</v>
      </c>
      <c r="L1033" t="n">
        <v>0</v>
      </c>
      <c r="M1033" t="n">
        <v>0</v>
      </c>
      <c r="N1033" t="n">
        <v>0</v>
      </c>
      <c r="O1033" t="n">
        <v>0</v>
      </c>
      <c r="P1033" t="n">
        <v>0</v>
      </c>
      <c r="Q1033" t="n">
        <v>0</v>
      </c>
      <c r="R1033" t="n">
        <v>0</v>
      </c>
      <c r="S1033" t="n">
        <v>0</v>
      </c>
      <c r="T1033" t="n">
        <v>0</v>
      </c>
      <c r="U1033" t="n">
        <v>0</v>
      </c>
      <c r="V1033" s="2" t="inlineStr"/>
    </row>
    <row r="1034" ht="15" customHeight="1">
      <c r="A1034" t="inlineStr">
        <is>
          <t>A 53914-2023</t>
        </is>
      </c>
      <c r="B1034" t="inlineStr">
        <is>
          <t>avverkningsanmälan</t>
        </is>
      </c>
      <c r="C1034" t="inlineStr">
        <is>
          <t>Föryngringsavverkning</t>
        </is>
      </c>
      <c r="D1034" s="1" t="n">
        <v>45231</v>
      </c>
      <c r="E1034" s="1" t="n">
        <v>46313</v>
      </c>
      <c r="F1034" t="inlineStr">
        <is>
          <t>VÄRMLANDS LÄN</t>
        </is>
      </c>
      <c r="G1034" t="inlineStr">
        <is>
          <t>SUNNE</t>
        </is>
      </c>
      <c r="I1034" t="n">
        <v>1.3</v>
      </c>
      <c r="J1034" t="n">
        <v>0</v>
      </c>
      <c r="K1034" t="n">
        <v>0</v>
      </c>
      <c r="L1034" t="n">
        <v>0</v>
      </c>
      <c r="M1034" t="n">
        <v>0</v>
      </c>
      <c r="N1034" t="n">
        <v>0</v>
      </c>
      <c r="O1034" t="n">
        <v>0</v>
      </c>
      <c r="P1034" t="n">
        <v>0</v>
      </c>
      <c r="Q1034" t="n">
        <v>0</v>
      </c>
      <c r="R1034" t="n">
        <v>0</v>
      </c>
      <c r="S1034" t="n">
        <v>0</v>
      </c>
      <c r="T1034" t="n">
        <v>0</v>
      </c>
      <c r="U1034" t="n">
        <v>0</v>
      </c>
      <c r="V1034" s="2" t="inlineStr"/>
    </row>
    <row r="1035" ht="15" customHeight="1">
      <c r="A1035" t="inlineStr">
        <is>
          <t>A 39164-2024</t>
        </is>
      </c>
      <c r="B1035" t="inlineStr">
        <is>
          <t>avverkningsanmälan</t>
        </is>
      </c>
      <c r="C1035" t="inlineStr">
        <is>
          <t>Föryngringsavverkning</t>
        </is>
      </c>
      <c r="D1035" s="1" t="n">
        <v>45548</v>
      </c>
      <c r="E1035" s="1" t="n">
        <v>46313</v>
      </c>
      <c r="F1035" t="inlineStr">
        <is>
          <t>VÄRMLANDS LÄN</t>
        </is>
      </c>
      <c r="G1035" t="inlineStr">
        <is>
          <t>SUNNE</t>
        </is>
      </c>
      <c r="I1035" t="n">
        <v>3.2</v>
      </c>
      <c r="J1035" t="n">
        <v>0</v>
      </c>
      <c r="K1035" t="n">
        <v>0</v>
      </c>
      <c r="L1035" t="n">
        <v>0</v>
      </c>
      <c r="M1035" t="n">
        <v>0</v>
      </c>
      <c r="N1035" t="n">
        <v>0</v>
      </c>
      <c r="O1035" t="n">
        <v>0</v>
      </c>
      <c r="P1035" t="n">
        <v>0</v>
      </c>
      <c r="Q1035" t="n">
        <v>0</v>
      </c>
      <c r="R1035" t="n">
        <v>0</v>
      </c>
      <c r="S1035" t="n">
        <v>0</v>
      </c>
      <c r="T1035" t="n">
        <v>0</v>
      </c>
      <c r="U1035" t="n">
        <v>0</v>
      </c>
      <c r="V1035" s="2" t="inlineStr"/>
    </row>
    <row r="1036" ht="15" customHeight="1">
      <c r="A1036" t="inlineStr">
        <is>
          <t>A 40081-2026</t>
        </is>
      </c>
      <c r="B1036" t="inlineStr">
        <is>
          <t>avverkningsanmälan</t>
        </is>
      </c>
      <c r="C1036" t="inlineStr">
        <is>
          <t>Föryngringsavverkning</t>
        </is>
      </c>
      <c r="D1036" s="1" t="n">
        <v>46293</v>
      </c>
      <c r="E1036" s="1" t="n">
        <v>46313</v>
      </c>
      <c r="F1036" t="inlineStr">
        <is>
          <t>VÄRMLANDS LÄN</t>
        </is>
      </c>
      <c r="G1036" t="inlineStr">
        <is>
          <t>SUNNE</t>
        </is>
      </c>
      <c r="I1036" t="n">
        <v>0.8</v>
      </c>
      <c r="J1036" t="n">
        <v>0</v>
      </c>
      <c r="K1036" t="n">
        <v>0</v>
      </c>
      <c r="L1036" t="n">
        <v>0</v>
      </c>
      <c r="M1036" t="n">
        <v>0</v>
      </c>
      <c r="N1036" t="n">
        <v>0</v>
      </c>
      <c r="O1036" t="n">
        <v>0</v>
      </c>
      <c r="P1036" t="n">
        <v>0</v>
      </c>
      <c r="Q1036" t="n">
        <v>0</v>
      </c>
      <c r="R1036" t="n">
        <v>0</v>
      </c>
      <c r="S1036" t="n">
        <v>0</v>
      </c>
      <c r="T1036" t="n">
        <v>0</v>
      </c>
      <c r="U1036" t="n">
        <v>0</v>
      </c>
      <c r="V1036" s="2" t="inlineStr"/>
    </row>
    <row r="1037" ht="15" customHeight="1">
      <c r="A1037" t="inlineStr">
        <is>
          <t>A 18208-2024</t>
        </is>
      </c>
      <c r="B1037" t="inlineStr">
        <is>
          <t>avverkningsanmälan</t>
        </is>
      </c>
      <c r="C1037" t="inlineStr">
        <is>
          <t>Föryngringsavverkning</t>
        </is>
      </c>
      <c r="D1037" s="1" t="n">
        <v>45420</v>
      </c>
      <c r="E1037" s="1" t="n">
        <v>46313</v>
      </c>
      <c r="F1037" t="inlineStr">
        <is>
          <t>VÄRMLANDS LÄN</t>
        </is>
      </c>
      <c r="G1037" t="inlineStr">
        <is>
          <t>SUNNE</t>
        </is>
      </c>
      <c r="I1037" t="n">
        <v>1.9</v>
      </c>
      <c r="J1037" t="n">
        <v>0</v>
      </c>
      <c r="K1037" t="n">
        <v>0</v>
      </c>
      <c r="L1037" t="n">
        <v>0</v>
      </c>
      <c r="M1037" t="n">
        <v>0</v>
      </c>
      <c r="N1037" t="n">
        <v>0</v>
      </c>
      <c r="O1037" t="n">
        <v>0</v>
      </c>
      <c r="P1037" t="n">
        <v>0</v>
      </c>
      <c r="Q1037" t="n">
        <v>0</v>
      </c>
      <c r="R1037" t="n">
        <v>0</v>
      </c>
      <c r="S1037" t="n">
        <v>0</v>
      </c>
      <c r="T1037" t="n">
        <v>0</v>
      </c>
      <c r="U1037" t="n">
        <v>0</v>
      </c>
      <c r="V1037" s="2" t="inlineStr"/>
    </row>
    <row r="1038" ht="15" customHeight="1">
      <c r="A1038" t="inlineStr">
        <is>
          <t>A 10224-2022</t>
        </is>
      </c>
      <c r="B1038" t="inlineStr">
        <is>
          <t>avverkningsanmälan</t>
        </is>
      </c>
      <c r="C1038" t="inlineStr">
        <is>
          <t>Föryngringsavverkning</t>
        </is>
      </c>
      <c r="D1038" s="1" t="n">
        <v>44622</v>
      </c>
      <c r="E1038" s="1" t="n">
        <v>46313</v>
      </c>
      <c r="F1038" t="inlineStr">
        <is>
          <t>VÄRMLANDS LÄN</t>
        </is>
      </c>
      <c r="G1038" t="inlineStr">
        <is>
          <t>SUNNE</t>
        </is>
      </c>
      <c r="I1038" t="n">
        <v>1</v>
      </c>
      <c r="J1038" t="n">
        <v>0</v>
      </c>
      <c r="K1038" t="n">
        <v>0</v>
      </c>
      <c r="L1038" t="n">
        <v>0</v>
      </c>
      <c r="M1038" t="n">
        <v>0</v>
      </c>
      <c r="N1038" t="n">
        <v>0</v>
      </c>
      <c r="O1038" t="n">
        <v>0</v>
      </c>
      <c r="P1038" t="n">
        <v>0</v>
      </c>
      <c r="Q1038" t="n">
        <v>0</v>
      </c>
      <c r="R1038" t="n">
        <v>0</v>
      </c>
      <c r="S1038" t="n">
        <v>0</v>
      </c>
      <c r="T1038" t="n">
        <v>0</v>
      </c>
      <c r="U1038" t="n">
        <v>0</v>
      </c>
      <c r="V1038" s="2" t="inlineStr"/>
    </row>
    <row r="1039" ht="15" customHeight="1">
      <c r="A1039" t="inlineStr">
        <is>
          <t>A 40000-2026</t>
        </is>
      </c>
      <c r="B1039" t="inlineStr">
        <is>
          <t>avverkningsanmälan</t>
        </is>
      </c>
      <c r="C1039" t="inlineStr">
        <is>
          <t>Föryngringsavverkning</t>
        </is>
      </c>
      <c r="D1039" s="1" t="n">
        <v>46293</v>
      </c>
      <c r="E1039" s="1" t="n">
        <v>46313</v>
      </c>
      <c r="F1039" t="inlineStr">
        <is>
          <t>VÄRMLANDS LÄN</t>
        </is>
      </c>
      <c r="G1039" t="inlineStr">
        <is>
          <t>SUNNE</t>
        </is>
      </c>
      <c r="I1039" t="n">
        <v>0.7</v>
      </c>
      <c r="J1039" t="n">
        <v>0</v>
      </c>
      <c r="K1039" t="n">
        <v>0</v>
      </c>
      <c r="L1039" t="n">
        <v>0</v>
      </c>
      <c r="M1039" t="n">
        <v>0</v>
      </c>
      <c r="N1039" t="n">
        <v>0</v>
      </c>
      <c r="O1039" t="n">
        <v>0</v>
      </c>
      <c r="P1039" t="n">
        <v>0</v>
      </c>
      <c r="Q1039" t="n">
        <v>0</v>
      </c>
      <c r="R1039" t="n">
        <v>0</v>
      </c>
      <c r="S1039" t="n">
        <v>0</v>
      </c>
      <c r="T1039" t="n">
        <v>0</v>
      </c>
      <c r="U1039" t="n">
        <v>0</v>
      </c>
      <c r="V1039" s="2" t="inlineStr"/>
    </row>
    <row r="1040" ht="15" customHeight="1">
      <c r="A1040" t="inlineStr">
        <is>
          <t>A 46342-2023</t>
        </is>
      </c>
      <c r="B1040" t="inlineStr">
        <is>
          <t>avverkningsanmälan</t>
        </is>
      </c>
      <c r="C1040" t="inlineStr">
        <is>
          <t>Föryngringsavverkning</t>
        </is>
      </c>
      <c r="D1040" s="1" t="n">
        <v>45194</v>
      </c>
      <c r="E1040" s="1" t="n">
        <v>46313</v>
      </c>
      <c r="F1040" t="inlineStr">
        <is>
          <t>VÄRMLANDS LÄN</t>
        </is>
      </c>
      <c r="G1040" t="inlineStr">
        <is>
          <t>SUNNE</t>
        </is>
      </c>
      <c r="I1040" t="n">
        <v>1.8</v>
      </c>
      <c r="J1040" t="n">
        <v>0</v>
      </c>
      <c r="K1040" t="n">
        <v>0</v>
      </c>
      <c r="L1040" t="n">
        <v>0</v>
      </c>
      <c r="M1040" t="n">
        <v>0</v>
      </c>
      <c r="N1040" t="n">
        <v>0</v>
      </c>
      <c r="O1040" t="n">
        <v>0</v>
      </c>
      <c r="P1040" t="n">
        <v>0</v>
      </c>
      <c r="Q1040" t="n">
        <v>0</v>
      </c>
      <c r="R1040" t="n">
        <v>0</v>
      </c>
      <c r="S1040" t="n">
        <v>0</v>
      </c>
      <c r="T1040" t="n">
        <v>0</v>
      </c>
      <c r="U1040" t="n">
        <v>0</v>
      </c>
      <c r="V1040" s="2" t="inlineStr"/>
    </row>
    <row r="1041" ht="15" customHeight="1">
      <c r="A1041" t="inlineStr">
        <is>
          <t>A 33370-2026</t>
        </is>
      </c>
      <c r="B1041" t="inlineStr">
        <is>
          <t>avverkningsanmälan</t>
        </is>
      </c>
      <c r="C1041" t="inlineStr">
        <is>
          <t>Föryngringsavverkning</t>
        </is>
      </c>
      <c r="D1041" s="1" t="n">
        <v>46247</v>
      </c>
      <c r="E1041" s="1" t="n">
        <v>46313</v>
      </c>
      <c r="F1041" t="inlineStr">
        <is>
          <t>VÄRMLANDS LÄN</t>
        </is>
      </c>
      <c r="G1041" t="inlineStr">
        <is>
          <t>SUNNE</t>
        </is>
      </c>
      <c r="H1041" t="inlineStr">
        <is>
          <t>Bergvik skog väst AB</t>
        </is>
      </c>
      <c r="I1041" t="n">
        <v>10.2</v>
      </c>
      <c r="J1041" t="n">
        <v>0</v>
      </c>
      <c r="K1041" t="n">
        <v>0</v>
      </c>
      <c r="L1041" t="n">
        <v>0</v>
      </c>
      <c r="M1041" t="n">
        <v>0</v>
      </c>
      <c r="N1041" t="n">
        <v>0</v>
      </c>
      <c r="O1041" t="n">
        <v>0</v>
      </c>
      <c r="P1041" t="n">
        <v>0</v>
      </c>
      <c r="Q1041" t="n">
        <v>0</v>
      </c>
      <c r="R1041" t="n">
        <v>0</v>
      </c>
      <c r="S1041" t="n">
        <v>0</v>
      </c>
      <c r="T1041" t="n">
        <v>0</v>
      </c>
      <c r="U1041" t="n">
        <v>0</v>
      </c>
      <c r="V1041" s="2" t="inlineStr"/>
    </row>
    <row r="1042" ht="15" customHeight="1">
      <c r="A1042" t="inlineStr">
        <is>
          <t>A 42624-2022</t>
        </is>
      </c>
      <c r="B1042" t="inlineStr">
        <is>
          <t>avverkningsanmälan</t>
        </is>
      </c>
      <c r="C1042" t="inlineStr">
        <is>
          <t>Föryngringsavverkning</t>
        </is>
      </c>
      <c r="D1042" s="1" t="n">
        <v>44831</v>
      </c>
      <c r="E1042" s="1" t="n">
        <v>46313</v>
      </c>
      <c r="F1042" t="inlineStr">
        <is>
          <t>VÄRMLANDS LÄN</t>
        </is>
      </c>
      <c r="G1042" t="inlineStr">
        <is>
          <t>SUNNE</t>
        </is>
      </c>
      <c r="I1042" t="n">
        <v>1.9</v>
      </c>
      <c r="J1042" t="n">
        <v>0</v>
      </c>
      <c r="K1042" t="n">
        <v>0</v>
      </c>
      <c r="L1042" t="n">
        <v>0</v>
      </c>
      <c r="M1042" t="n">
        <v>0</v>
      </c>
      <c r="N1042" t="n">
        <v>0</v>
      </c>
      <c r="O1042" t="n">
        <v>0</v>
      </c>
      <c r="P1042" t="n">
        <v>0</v>
      </c>
      <c r="Q1042" t="n">
        <v>0</v>
      </c>
      <c r="R1042" t="n">
        <v>0</v>
      </c>
      <c r="S1042" t="n">
        <v>0</v>
      </c>
      <c r="T1042" t="n">
        <v>0</v>
      </c>
      <c r="U1042" t="n">
        <v>0</v>
      </c>
      <c r="V1042" s="2" t="inlineStr"/>
    </row>
    <row r="1043" ht="15" customHeight="1">
      <c r="A1043" t="inlineStr">
        <is>
          <t>A 3083-2024</t>
        </is>
      </c>
      <c r="B1043" t="inlineStr">
        <is>
          <t>avverkningsanmälan</t>
        </is>
      </c>
      <c r="C1043" t="inlineStr">
        <is>
          <t>Föryngringsavverkning</t>
        </is>
      </c>
      <c r="D1043" s="1" t="n">
        <v>45316</v>
      </c>
      <c r="E1043" s="1" t="n">
        <v>46313</v>
      </c>
      <c r="F1043" t="inlineStr">
        <is>
          <t>VÄRMLANDS LÄN</t>
        </is>
      </c>
      <c r="G1043" t="inlineStr">
        <is>
          <t>SUNNE</t>
        </is>
      </c>
      <c r="H1043" t="inlineStr">
        <is>
          <t>Kommuner</t>
        </is>
      </c>
      <c r="I1043" t="n">
        <v>0.4</v>
      </c>
      <c r="J1043" t="n">
        <v>0</v>
      </c>
      <c r="K1043" t="n">
        <v>0</v>
      </c>
      <c r="L1043" t="n">
        <v>0</v>
      </c>
      <c r="M1043" t="n">
        <v>0</v>
      </c>
      <c r="N1043" t="n">
        <v>0</v>
      </c>
      <c r="O1043" t="n">
        <v>0</v>
      </c>
      <c r="P1043" t="n">
        <v>0</v>
      </c>
      <c r="Q1043" t="n">
        <v>0</v>
      </c>
      <c r="R1043" t="n">
        <v>0</v>
      </c>
      <c r="S1043" t="n">
        <v>0</v>
      </c>
      <c r="T1043" t="n">
        <v>0</v>
      </c>
      <c r="U1043" t="n">
        <v>0</v>
      </c>
      <c r="V1043" s="2" t="inlineStr"/>
    </row>
    <row r="1044" ht="15" customHeight="1">
      <c r="A1044" t="inlineStr">
        <is>
          <t>A 30853-2024</t>
        </is>
      </c>
      <c r="B1044" t="inlineStr">
        <is>
          <t>avverkningsanmälan</t>
        </is>
      </c>
      <c r="C1044" t="inlineStr">
        <is>
          <t>Föryngringsavverkning</t>
        </is>
      </c>
      <c r="D1044" s="1" t="n">
        <v>45497</v>
      </c>
      <c r="E1044" s="1" t="n">
        <v>46313</v>
      </c>
      <c r="F1044" t="inlineStr">
        <is>
          <t>VÄRMLANDS LÄN</t>
        </is>
      </c>
      <c r="G1044" t="inlineStr">
        <is>
          <t>SUNNE</t>
        </is>
      </c>
      <c r="H1044" t="inlineStr">
        <is>
          <t>Bergvik skog väst AB</t>
        </is>
      </c>
      <c r="I1044" t="n">
        <v>0.8</v>
      </c>
      <c r="J1044" t="n">
        <v>0</v>
      </c>
      <c r="K1044" t="n">
        <v>0</v>
      </c>
      <c r="L1044" t="n">
        <v>0</v>
      </c>
      <c r="M1044" t="n">
        <v>0</v>
      </c>
      <c r="N1044" t="n">
        <v>0</v>
      </c>
      <c r="O1044" t="n">
        <v>0</v>
      </c>
      <c r="P1044" t="n">
        <v>0</v>
      </c>
      <c r="Q1044" t="n">
        <v>0</v>
      </c>
      <c r="R1044" t="n">
        <v>0</v>
      </c>
      <c r="S1044" t="n">
        <v>0</v>
      </c>
      <c r="T1044" t="n">
        <v>0</v>
      </c>
      <c r="U1044" t="n">
        <v>0</v>
      </c>
      <c r="V1044" s="2" t="inlineStr"/>
    </row>
    <row r="1045" ht="15" customHeight="1">
      <c r="A1045" t="inlineStr">
        <is>
          <t>A 30855-2024</t>
        </is>
      </c>
      <c r="B1045" t="inlineStr">
        <is>
          <t>avverkningsanmälan</t>
        </is>
      </c>
      <c r="C1045" t="inlineStr">
        <is>
          <t>Föryngringsavverkning</t>
        </is>
      </c>
      <c r="D1045" s="1" t="n">
        <v>45497</v>
      </c>
      <c r="E1045" s="1" t="n">
        <v>46313</v>
      </c>
      <c r="F1045" t="inlineStr">
        <is>
          <t>VÄRMLANDS LÄN</t>
        </is>
      </c>
      <c r="G1045" t="inlineStr">
        <is>
          <t>SUNNE</t>
        </is>
      </c>
      <c r="H1045" t="inlineStr">
        <is>
          <t>Bergvik skog väst AB</t>
        </is>
      </c>
      <c r="I1045" t="n">
        <v>0.4</v>
      </c>
      <c r="J1045" t="n">
        <v>0</v>
      </c>
      <c r="K1045" t="n">
        <v>0</v>
      </c>
      <c r="L1045" t="n">
        <v>0</v>
      </c>
      <c r="M1045" t="n">
        <v>0</v>
      </c>
      <c r="N1045" t="n">
        <v>0</v>
      </c>
      <c r="O1045" t="n">
        <v>0</v>
      </c>
      <c r="P1045" t="n">
        <v>0</v>
      </c>
      <c r="Q1045" t="n">
        <v>0</v>
      </c>
      <c r="R1045" t="n">
        <v>0</v>
      </c>
      <c r="S1045" t="n">
        <v>0</v>
      </c>
      <c r="T1045" t="n">
        <v>0</v>
      </c>
      <c r="U1045" t="n">
        <v>0</v>
      </c>
      <c r="V1045" s="2" t="inlineStr"/>
    </row>
    <row r="1046" ht="15" customHeight="1">
      <c r="A1046" t="inlineStr">
        <is>
          <t>A 40076-2026</t>
        </is>
      </c>
      <c r="B1046" t="inlineStr">
        <is>
          <t>avverkningsanmälan</t>
        </is>
      </c>
      <c r="C1046" t="inlineStr">
        <is>
          <t>Föryngringsavverkning</t>
        </is>
      </c>
      <c r="D1046" s="1" t="n">
        <v>46293</v>
      </c>
      <c r="E1046" s="1" t="n">
        <v>46313</v>
      </c>
      <c r="F1046" t="inlineStr">
        <is>
          <t>VÄRMLANDS LÄN</t>
        </is>
      </c>
      <c r="G1046" t="inlineStr">
        <is>
          <t>SUNNE</t>
        </is>
      </c>
      <c r="I1046" t="n">
        <v>1.4</v>
      </c>
      <c r="J1046" t="n">
        <v>0</v>
      </c>
      <c r="K1046" t="n">
        <v>0</v>
      </c>
      <c r="L1046" t="n">
        <v>0</v>
      </c>
      <c r="M1046" t="n">
        <v>0</v>
      </c>
      <c r="N1046" t="n">
        <v>0</v>
      </c>
      <c r="O1046" t="n">
        <v>0</v>
      </c>
      <c r="P1046" t="n">
        <v>0</v>
      </c>
      <c r="Q1046" t="n">
        <v>0</v>
      </c>
      <c r="R1046" t="n">
        <v>0</v>
      </c>
      <c r="S1046" t="n">
        <v>0</v>
      </c>
      <c r="T1046" t="n">
        <v>0</v>
      </c>
      <c r="U1046" t="n">
        <v>0</v>
      </c>
      <c r="V1046" s="2" t="inlineStr"/>
    </row>
    <row r="1047" ht="15" customHeight="1">
      <c r="A1047" t="inlineStr">
        <is>
          <t>A 20465-2023</t>
        </is>
      </c>
      <c r="B1047" t="inlineStr">
        <is>
          <t>avverkningsanmälan</t>
        </is>
      </c>
      <c r="C1047" t="inlineStr">
        <is>
          <t>Föryngringsavverkning</t>
        </is>
      </c>
      <c r="D1047" s="1" t="n">
        <v>45057</v>
      </c>
      <c r="E1047" s="1" t="n">
        <v>46313</v>
      </c>
      <c r="F1047" t="inlineStr">
        <is>
          <t>VÄRMLANDS LÄN</t>
        </is>
      </c>
      <c r="G1047" t="inlineStr">
        <is>
          <t>SUNNE</t>
        </is>
      </c>
      <c r="H1047" t="inlineStr">
        <is>
          <t>Kyrkan</t>
        </is>
      </c>
      <c r="I1047" t="n">
        <v>3.5</v>
      </c>
      <c r="J1047" t="n">
        <v>0</v>
      </c>
      <c r="K1047" t="n">
        <v>0</v>
      </c>
      <c r="L1047" t="n">
        <v>0</v>
      </c>
      <c r="M1047" t="n">
        <v>0</v>
      </c>
      <c r="N1047" t="n">
        <v>0</v>
      </c>
      <c r="O1047" t="n">
        <v>0</v>
      </c>
      <c r="P1047" t="n">
        <v>0</v>
      </c>
      <c r="Q1047" t="n">
        <v>0</v>
      </c>
      <c r="R1047" t="n">
        <v>0</v>
      </c>
      <c r="S1047" t="n">
        <v>0</v>
      </c>
      <c r="T1047" t="n">
        <v>0</v>
      </c>
      <c r="U1047" t="n">
        <v>0</v>
      </c>
      <c r="V1047" s="2" t="inlineStr"/>
    </row>
    <row r="1048" ht="15" customHeight="1">
      <c r="A1048" t="inlineStr">
        <is>
          <t>A 51046-2024</t>
        </is>
      </c>
      <c r="B1048" t="inlineStr">
        <is>
          <t>avverkningsanmälan</t>
        </is>
      </c>
      <c r="C1048" t="inlineStr">
        <is>
          <t>Föryngringsavverkning</t>
        </is>
      </c>
      <c r="D1048" s="1" t="n">
        <v>45603</v>
      </c>
      <c r="E1048" s="1" t="n">
        <v>46313</v>
      </c>
      <c r="F1048" t="inlineStr">
        <is>
          <t>VÄRMLANDS LÄN</t>
        </is>
      </c>
      <c r="G1048" t="inlineStr">
        <is>
          <t>SUNNE</t>
        </is>
      </c>
      <c r="H1048" t="inlineStr">
        <is>
          <t>Bergvik skog väst AB</t>
        </is>
      </c>
      <c r="I1048" t="n">
        <v>2.9</v>
      </c>
      <c r="J1048" t="n">
        <v>0</v>
      </c>
      <c r="K1048" t="n">
        <v>0</v>
      </c>
      <c r="L1048" t="n">
        <v>0</v>
      </c>
      <c r="M1048" t="n">
        <v>0</v>
      </c>
      <c r="N1048" t="n">
        <v>0</v>
      </c>
      <c r="O1048" t="n">
        <v>0</v>
      </c>
      <c r="P1048" t="n">
        <v>0</v>
      </c>
      <c r="Q1048" t="n">
        <v>0</v>
      </c>
      <c r="R1048" t="n">
        <v>0</v>
      </c>
      <c r="S1048" t="n">
        <v>0</v>
      </c>
      <c r="T1048" t="n">
        <v>0</v>
      </c>
      <c r="U1048" t="n">
        <v>0</v>
      </c>
      <c r="V1048" s="2" t="inlineStr"/>
    </row>
    <row r="1049" ht="15" customHeight="1">
      <c r="A1049" t="inlineStr">
        <is>
          <t>A 52800-2024</t>
        </is>
      </c>
      <c r="B1049" t="inlineStr">
        <is>
          <t>avverkningsanmälan</t>
        </is>
      </c>
      <c r="C1049" t="inlineStr">
        <is>
          <t>Föryngringsavverkning</t>
        </is>
      </c>
      <c r="D1049" s="1" t="n">
        <v>45610</v>
      </c>
      <c r="E1049" s="1" t="n">
        <v>46313</v>
      </c>
      <c r="F1049" t="inlineStr">
        <is>
          <t>VÄRMLANDS LÄN</t>
        </is>
      </c>
      <c r="G1049" t="inlineStr">
        <is>
          <t>SUNNE</t>
        </is>
      </c>
      <c r="I1049" t="n">
        <v>1.9</v>
      </c>
      <c r="J1049" t="n">
        <v>0</v>
      </c>
      <c r="K1049" t="n">
        <v>0</v>
      </c>
      <c r="L1049" t="n">
        <v>0</v>
      </c>
      <c r="M1049" t="n">
        <v>0</v>
      </c>
      <c r="N1049" t="n">
        <v>0</v>
      </c>
      <c r="O1049" t="n">
        <v>0</v>
      </c>
      <c r="P1049" t="n">
        <v>0</v>
      </c>
      <c r="Q1049" t="n">
        <v>0</v>
      </c>
      <c r="R1049" t="n">
        <v>0</v>
      </c>
      <c r="S1049" t="n">
        <v>0</v>
      </c>
      <c r="T1049" t="n">
        <v>0</v>
      </c>
      <c r="U1049" t="n">
        <v>0</v>
      </c>
      <c r="V1049" s="2" t="inlineStr"/>
    </row>
    <row r="1050" ht="15" customHeight="1">
      <c r="A1050" t="inlineStr">
        <is>
          <t>A 18220-2023</t>
        </is>
      </c>
      <c r="B1050" t="inlineStr">
        <is>
          <t>avverkningsanmälan</t>
        </is>
      </c>
      <c r="C1050" t="inlineStr">
        <is>
          <t>Avverkning för annat ändamål</t>
        </is>
      </c>
      <c r="D1050" s="1" t="n">
        <v>45041</v>
      </c>
      <c r="E1050" s="1" t="n">
        <v>46313</v>
      </c>
      <c r="F1050" t="inlineStr">
        <is>
          <t>VÄRMLANDS LÄN</t>
        </is>
      </c>
      <c r="G1050" t="inlineStr">
        <is>
          <t>SUNNE</t>
        </is>
      </c>
      <c r="I1050" t="n">
        <v>0.6</v>
      </c>
      <c r="J1050" t="n">
        <v>0</v>
      </c>
      <c r="K1050" t="n">
        <v>0</v>
      </c>
      <c r="L1050" t="n">
        <v>0</v>
      </c>
      <c r="M1050" t="n">
        <v>0</v>
      </c>
      <c r="N1050" t="n">
        <v>0</v>
      </c>
      <c r="O1050" t="n">
        <v>0</v>
      </c>
      <c r="P1050" t="n">
        <v>0</v>
      </c>
      <c r="Q1050" t="n">
        <v>0</v>
      </c>
      <c r="R1050" t="n">
        <v>0</v>
      </c>
      <c r="S1050" t="n">
        <v>0</v>
      </c>
      <c r="T1050" t="n">
        <v>0</v>
      </c>
      <c r="U1050" t="n">
        <v>0</v>
      </c>
      <c r="V1050" s="2" t="inlineStr"/>
    </row>
    <row r="1051" ht="15" customHeight="1">
      <c r="A1051" t="inlineStr">
        <is>
          <t>A 9703-2023</t>
        </is>
      </c>
      <c r="B1051" t="inlineStr">
        <is>
          <t>avverkningsanmälan</t>
        </is>
      </c>
      <c r="C1051" t="inlineStr">
        <is>
          <t>Föryngringsavverkning</t>
        </is>
      </c>
      <c r="D1051" s="1" t="n">
        <v>44984</v>
      </c>
      <c r="E1051" s="1" t="n">
        <v>46313</v>
      </c>
      <c r="F1051" t="inlineStr">
        <is>
          <t>VÄRMLANDS LÄN</t>
        </is>
      </c>
      <c r="G1051" t="inlineStr">
        <is>
          <t>SUNNE</t>
        </is>
      </c>
      <c r="I1051" t="n">
        <v>2.4</v>
      </c>
      <c r="J1051" t="n">
        <v>0</v>
      </c>
      <c r="K1051" t="n">
        <v>0</v>
      </c>
      <c r="L1051" t="n">
        <v>0</v>
      </c>
      <c r="M1051" t="n">
        <v>0</v>
      </c>
      <c r="N1051" t="n">
        <v>0</v>
      </c>
      <c r="O1051" t="n">
        <v>0</v>
      </c>
      <c r="P1051" t="n">
        <v>0</v>
      </c>
      <c r="Q1051" t="n">
        <v>0</v>
      </c>
      <c r="R1051" t="n">
        <v>0</v>
      </c>
      <c r="S1051" t="n">
        <v>0</v>
      </c>
      <c r="T1051" t="n">
        <v>0</v>
      </c>
      <c r="U1051" t="n">
        <v>0</v>
      </c>
      <c r="V1051" s="2" t="inlineStr"/>
    </row>
    <row r="1052" ht="15" customHeight="1">
      <c r="A1052" t="inlineStr">
        <is>
          <t>A 10307-2024</t>
        </is>
      </c>
      <c r="B1052" t="inlineStr">
        <is>
          <t>avverkningsanmälan</t>
        </is>
      </c>
      <c r="C1052" t="inlineStr">
        <is>
          <t>Föryngringsavverkning</t>
        </is>
      </c>
      <c r="D1052" s="1" t="n">
        <v>45365</v>
      </c>
      <c r="E1052" s="1" t="n">
        <v>46313</v>
      </c>
      <c r="F1052" t="inlineStr">
        <is>
          <t>VÄRMLANDS LÄN</t>
        </is>
      </c>
      <c r="G1052" t="inlineStr">
        <is>
          <t>SUNNE</t>
        </is>
      </c>
      <c r="I1052" t="n">
        <v>0.6</v>
      </c>
      <c r="J1052" t="n">
        <v>0</v>
      </c>
      <c r="K1052" t="n">
        <v>0</v>
      </c>
      <c r="L1052" t="n">
        <v>0</v>
      </c>
      <c r="M1052" t="n">
        <v>0</v>
      </c>
      <c r="N1052" t="n">
        <v>0</v>
      </c>
      <c r="O1052" t="n">
        <v>0</v>
      </c>
      <c r="P1052" t="n">
        <v>0</v>
      </c>
      <c r="Q1052" t="n">
        <v>0</v>
      </c>
      <c r="R1052" t="n">
        <v>0</v>
      </c>
      <c r="S1052" t="n">
        <v>0</v>
      </c>
      <c r="T1052" t="n">
        <v>0</v>
      </c>
      <c r="U1052" t="n">
        <v>0</v>
      </c>
      <c r="V1052" s="2" t="inlineStr"/>
    </row>
    <row r="1053" ht="15" customHeight="1">
      <c r="A1053" t="inlineStr">
        <is>
          <t>A 43067-2023</t>
        </is>
      </c>
      <c r="B1053" t="inlineStr">
        <is>
          <t>avverkningsanmälan</t>
        </is>
      </c>
      <c r="C1053" t="inlineStr">
        <is>
          <t>Föryngringsavverkning</t>
        </is>
      </c>
      <c r="D1053" s="1" t="n">
        <v>45182</v>
      </c>
      <c r="E1053" s="1" t="n">
        <v>46313</v>
      </c>
      <c r="F1053" t="inlineStr">
        <is>
          <t>VÄRMLANDS LÄN</t>
        </is>
      </c>
      <c r="G1053" t="inlineStr">
        <is>
          <t>SUNNE</t>
        </is>
      </c>
      <c r="I1053" t="n">
        <v>4.9</v>
      </c>
      <c r="J1053" t="n">
        <v>0</v>
      </c>
      <c r="K1053" t="n">
        <v>0</v>
      </c>
      <c r="L1053" t="n">
        <v>0</v>
      </c>
      <c r="M1053" t="n">
        <v>0</v>
      </c>
      <c r="N1053" t="n">
        <v>0</v>
      </c>
      <c r="O1053" t="n">
        <v>0</v>
      </c>
      <c r="P1053" t="n">
        <v>0</v>
      </c>
      <c r="Q1053" t="n">
        <v>0</v>
      </c>
      <c r="R1053" t="n">
        <v>0</v>
      </c>
      <c r="S1053" t="n">
        <v>0</v>
      </c>
      <c r="T1053" t="n">
        <v>0</v>
      </c>
      <c r="U1053" t="n">
        <v>0</v>
      </c>
      <c r="V1053" s="2" t="inlineStr"/>
    </row>
    <row r="1054" ht="15" customHeight="1">
      <c r="A1054" t="inlineStr">
        <is>
          <t>A 14741-2023</t>
        </is>
      </c>
      <c r="B1054" t="inlineStr">
        <is>
          <t>avverkningsanmälan</t>
        </is>
      </c>
      <c r="C1054" t="inlineStr">
        <is>
          <t>Föryngringsavverkning</t>
        </is>
      </c>
      <c r="D1054" s="1" t="n">
        <v>45014</v>
      </c>
      <c r="E1054" s="1" t="n">
        <v>46313</v>
      </c>
      <c r="F1054" t="inlineStr">
        <is>
          <t>VÄRMLANDS LÄN</t>
        </is>
      </c>
      <c r="G1054" t="inlineStr">
        <is>
          <t>SUNNE</t>
        </is>
      </c>
      <c r="I1054" t="n">
        <v>1.4</v>
      </c>
      <c r="J1054" t="n">
        <v>0</v>
      </c>
      <c r="K1054" t="n">
        <v>0</v>
      </c>
      <c r="L1054" t="n">
        <v>0</v>
      </c>
      <c r="M1054" t="n">
        <v>0</v>
      </c>
      <c r="N1054" t="n">
        <v>0</v>
      </c>
      <c r="O1054" t="n">
        <v>0</v>
      </c>
      <c r="P1054" t="n">
        <v>0</v>
      </c>
      <c r="Q1054" t="n">
        <v>0</v>
      </c>
      <c r="R1054" t="n">
        <v>0</v>
      </c>
      <c r="S1054" t="n">
        <v>0</v>
      </c>
      <c r="T1054" t="n">
        <v>0</v>
      </c>
      <c r="U1054" t="n">
        <v>0</v>
      </c>
      <c r="V1054" s="2" t="inlineStr"/>
    </row>
    <row r="1055" ht="15" customHeight="1">
      <c r="A1055" t="inlineStr">
        <is>
          <t>A 48054-2023</t>
        </is>
      </c>
      <c r="B1055" t="inlineStr">
        <is>
          <t>avverkningsanmälan</t>
        </is>
      </c>
      <c r="C1055" t="inlineStr">
        <is>
          <t>Föryngringsavverkning</t>
        </is>
      </c>
      <c r="D1055" s="1" t="n">
        <v>45204</v>
      </c>
      <c r="E1055" s="1" t="n">
        <v>46313</v>
      </c>
      <c r="F1055" t="inlineStr">
        <is>
          <t>VÄRMLANDS LÄN</t>
        </is>
      </c>
      <c r="G1055" t="inlineStr">
        <is>
          <t>SUNNE</t>
        </is>
      </c>
      <c r="I1055" t="n">
        <v>3.7</v>
      </c>
      <c r="J1055" t="n">
        <v>0</v>
      </c>
      <c r="K1055" t="n">
        <v>0</v>
      </c>
      <c r="L1055" t="n">
        <v>0</v>
      </c>
      <c r="M1055" t="n">
        <v>0</v>
      </c>
      <c r="N1055" t="n">
        <v>0</v>
      </c>
      <c r="O1055" t="n">
        <v>0</v>
      </c>
      <c r="P1055" t="n">
        <v>0</v>
      </c>
      <c r="Q1055" t="n">
        <v>0</v>
      </c>
      <c r="R1055" t="n">
        <v>0</v>
      </c>
      <c r="S1055" t="n">
        <v>0</v>
      </c>
      <c r="T1055" t="n">
        <v>0</v>
      </c>
      <c r="U1055" t="n">
        <v>0</v>
      </c>
      <c r="V1055" s="2" t="inlineStr"/>
    </row>
    <row r="1056" ht="15" customHeight="1">
      <c r="A1056" t="inlineStr">
        <is>
          <t>A 31602-2023</t>
        </is>
      </c>
      <c r="B1056" t="inlineStr">
        <is>
          <t>avverkningsanmälan</t>
        </is>
      </c>
      <c r="C1056" t="inlineStr">
        <is>
          <t>Föryngringsavverkning</t>
        </is>
      </c>
      <c r="D1056" s="1" t="n">
        <v>45117</v>
      </c>
      <c r="E1056" s="1" t="n">
        <v>46313</v>
      </c>
      <c r="F1056" t="inlineStr">
        <is>
          <t>VÄRMLANDS LÄN</t>
        </is>
      </c>
      <c r="G1056" t="inlineStr">
        <is>
          <t>SUNNE</t>
        </is>
      </c>
      <c r="I1056" t="n">
        <v>1.6</v>
      </c>
      <c r="J1056" t="n">
        <v>0</v>
      </c>
      <c r="K1056" t="n">
        <v>0</v>
      </c>
      <c r="L1056" t="n">
        <v>0</v>
      </c>
      <c r="M1056" t="n">
        <v>0</v>
      </c>
      <c r="N1056" t="n">
        <v>0</v>
      </c>
      <c r="O1056" t="n">
        <v>0</v>
      </c>
      <c r="P1056" t="n">
        <v>0</v>
      </c>
      <c r="Q1056" t="n">
        <v>0</v>
      </c>
      <c r="R1056" t="n">
        <v>0</v>
      </c>
      <c r="S1056" t="n">
        <v>0</v>
      </c>
      <c r="T1056" t="n">
        <v>0</v>
      </c>
      <c r="U1056" t="n">
        <v>0</v>
      </c>
      <c r="V1056" s="2" t="inlineStr"/>
    </row>
    <row r="1057" ht="15" customHeight="1">
      <c r="A1057" t="inlineStr">
        <is>
          <t>A 14874-2025</t>
        </is>
      </c>
      <c r="B1057" t="inlineStr">
        <is>
          <t>avverkningsanmälan</t>
        </is>
      </c>
      <c r="C1057" t="inlineStr">
        <is>
          <t>Föryngringsavverkning</t>
        </is>
      </c>
      <c r="D1057" s="1" t="n">
        <v>45743</v>
      </c>
      <c r="E1057" s="1" t="n">
        <v>46313</v>
      </c>
      <c r="F1057" t="inlineStr">
        <is>
          <t>VÄRMLANDS LÄN</t>
        </is>
      </c>
      <c r="G1057" t="inlineStr">
        <is>
          <t>SUNNE</t>
        </is>
      </c>
      <c r="I1057" t="n">
        <v>0.7</v>
      </c>
      <c r="J1057" t="n">
        <v>0</v>
      </c>
      <c r="K1057" t="n">
        <v>0</v>
      </c>
      <c r="L1057" t="n">
        <v>0</v>
      </c>
      <c r="M1057" t="n">
        <v>0</v>
      </c>
      <c r="N1057" t="n">
        <v>0</v>
      </c>
      <c r="O1057" t="n">
        <v>0</v>
      </c>
      <c r="P1057" t="n">
        <v>0</v>
      </c>
      <c r="Q1057" t="n">
        <v>0</v>
      </c>
      <c r="R1057" t="n">
        <v>0</v>
      </c>
      <c r="S1057" t="n">
        <v>0</v>
      </c>
      <c r="T1057" t="n">
        <v>0</v>
      </c>
      <c r="U1057" t="n">
        <v>0</v>
      </c>
      <c r="V1057" s="2" t="inlineStr"/>
    </row>
    <row r="1058" ht="15" customHeight="1">
      <c r="A1058" t="inlineStr">
        <is>
          <t>A 36177-2023</t>
        </is>
      </c>
      <c r="B1058" t="inlineStr">
        <is>
          <t>avverkningsanmälan</t>
        </is>
      </c>
      <c r="C1058" t="inlineStr">
        <is>
          <t>Föryngringsavverkning</t>
        </is>
      </c>
      <c r="D1058" s="1" t="n">
        <v>45149</v>
      </c>
      <c r="E1058" s="1" t="n">
        <v>46313</v>
      </c>
      <c r="F1058" t="inlineStr">
        <is>
          <t>VÄRMLANDS LÄN</t>
        </is>
      </c>
      <c r="G1058" t="inlineStr">
        <is>
          <t>SUNNE</t>
        </is>
      </c>
      <c r="I1058" t="n">
        <v>2.6</v>
      </c>
      <c r="J1058" t="n">
        <v>0</v>
      </c>
      <c r="K1058" t="n">
        <v>0</v>
      </c>
      <c r="L1058" t="n">
        <v>0</v>
      </c>
      <c r="M1058" t="n">
        <v>0</v>
      </c>
      <c r="N1058" t="n">
        <v>0</v>
      </c>
      <c r="O1058" t="n">
        <v>0</v>
      </c>
      <c r="P1058" t="n">
        <v>0</v>
      </c>
      <c r="Q1058" t="n">
        <v>0</v>
      </c>
      <c r="R1058" t="n">
        <v>0</v>
      </c>
      <c r="S1058" t="n">
        <v>0</v>
      </c>
      <c r="T1058" t="n">
        <v>0</v>
      </c>
      <c r="U1058" t="n">
        <v>0</v>
      </c>
      <c r="V1058" s="2" t="inlineStr"/>
    </row>
    <row r="1059" ht="15" customHeight="1">
      <c r="A1059" t="inlineStr">
        <is>
          <t>A 55495-2024</t>
        </is>
      </c>
      <c r="B1059" t="inlineStr">
        <is>
          <t>avverkningsanmälan</t>
        </is>
      </c>
      <c r="C1059" t="inlineStr">
        <is>
          <t>Föryngringsavverkning</t>
        </is>
      </c>
      <c r="D1059" s="1" t="n">
        <v>45622</v>
      </c>
      <c r="E1059" s="1" t="n">
        <v>46313</v>
      </c>
      <c r="F1059" t="inlineStr">
        <is>
          <t>VÄRMLANDS LÄN</t>
        </is>
      </c>
      <c r="G1059" t="inlineStr">
        <is>
          <t>SUNNE</t>
        </is>
      </c>
      <c r="I1059" t="n">
        <v>3</v>
      </c>
      <c r="J1059" t="n">
        <v>0</v>
      </c>
      <c r="K1059" t="n">
        <v>0</v>
      </c>
      <c r="L1059" t="n">
        <v>0</v>
      </c>
      <c r="M1059" t="n">
        <v>0</v>
      </c>
      <c r="N1059" t="n">
        <v>0</v>
      </c>
      <c r="O1059" t="n">
        <v>0</v>
      </c>
      <c r="P1059" t="n">
        <v>0</v>
      </c>
      <c r="Q1059" t="n">
        <v>0</v>
      </c>
      <c r="R1059" t="n">
        <v>0</v>
      </c>
      <c r="S1059" t="n">
        <v>0</v>
      </c>
      <c r="T1059" t="n">
        <v>0</v>
      </c>
      <c r="U1059" t="n">
        <v>0</v>
      </c>
      <c r="V1059" s="2" t="inlineStr"/>
    </row>
    <row r="1060" ht="15" customHeight="1">
      <c r="A1060" t="inlineStr">
        <is>
          <t>A 55504-2024</t>
        </is>
      </c>
      <c r="B1060" t="inlineStr">
        <is>
          <t>avverkningsanmälan</t>
        </is>
      </c>
      <c r="C1060" t="inlineStr">
        <is>
          <t>Föryngringsavverkning</t>
        </is>
      </c>
      <c r="D1060" s="1" t="n">
        <v>45621</v>
      </c>
      <c r="E1060" s="1" t="n">
        <v>46313</v>
      </c>
      <c r="F1060" t="inlineStr">
        <is>
          <t>VÄRMLANDS LÄN</t>
        </is>
      </c>
      <c r="G1060" t="inlineStr">
        <is>
          <t>SUNNE</t>
        </is>
      </c>
      <c r="I1060" t="n">
        <v>3.6</v>
      </c>
      <c r="J1060" t="n">
        <v>0</v>
      </c>
      <c r="K1060" t="n">
        <v>0</v>
      </c>
      <c r="L1060" t="n">
        <v>0</v>
      </c>
      <c r="M1060" t="n">
        <v>0</v>
      </c>
      <c r="N1060" t="n">
        <v>0</v>
      </c>
      <c r="O1060" t="n">
        <v>0</v>
      </c>
      <c r="P1060" t="n">
        <v>0</v>
      </c>
      <c r="Q1060" t="n">
        <v>0</v>
      </c>
      <c r="R1060" t="n">
        <v>0</v>
      </c>
      <c r="S1060" t="n">
        <v>0</v>
      </c>
      <c r="T1060" t="n">
        <v>0</v>
      </c>
      <c r="U1060" t="n">
        <v>0</v>
      </c>
      <c r="V1060" s="2" t="inlineStr"/>
    </row>
    <row r="1061" ht="15" customHeight="1">
      <c r="A1061" t="inlineStr">
        <is>
          <t>A 19737-2022</t>
        </is>
      </c>
      <c r="B1061" t="inlineStr">
        <is>
          <t>avverkningsanmälan</t>
        </is>
      </c>
      <c r="C1061" t="inlineStr">
        <is>
          <t>Föryngringsavverkning</t>
        </is>
      </c>
      <c r="D1061" s="1" t="n">
        <v>44694</v>
      </c>
      <c r="E1061" s="1" t="n">
        <v>46313</v>
      </c>
      <c r="F1061" t="inlineStr">
        <is>
          <t>VÄRMLANDS LÄN</t>
        </is>
      </c>
      <c r="G1061" t="inlineStr">
        <is>
          <t>SUNNE</t>
        </is>
      </c>
      <c r="I1061" t="n">
        <v>3.1</v>
      </c>
      <c r="J1061" t="n">
        <v>0</v>
      </c>
      <c r="K1061" t="n">
        <v>0</v>
      </c>
      <c r="L1061" t="n">
        <v>0</v>
      </c>
      <c r="M1061" t="n">
        <v>0</v>
      </c>
      <c r="N1061" t="n">
        <v>0</v>
      </c>
      <c r="O1061" t="n">
        <v>0</v>
      </c>
      <c r="P1061" t="n">
        <v>0</v>
      </c>
      <c r="Q1061" t="n">
        <v>0</v>
      </c>
      <c r="R1061" t="n">
        <v>0</v>
      </c>
      <c r="S1061" t="n">
        <v>0</v>
      </c>
      <c r="T1061" t="n">
        <v>0</v>
      </c>
      <c r="U1061" t="n">
        <v>0</v>
      </c>
      <c r="V1061" s="2" t="inlineStr"/>
    </row>
    <row r="1062" ht="15" customHeight="1">
      <c r="A1062" t="inlineStr">
        <is>
          <t>A 15255-2022</t>
        </is>
      </c>
      <c r="B1062" t="inlineStr">
        <is>
          <t>avverkningsanmälan</t>
        </is>
      </c>
      <c r="C1062" t="inlineStr">
        <is>
          <t>Föryngringsavverkning</t>
        </is>
      </c>
      <c r="D1062" s="1" t="n">
        <v>44659</v>
      </c>
      <c r="E1062" s="1" t="n">
        <v>46313</v>
      </c>
      <c r="F1062" t="inlineStr">
        <is>
          <t>VÄRMLANDS LÄN</t>
        </is>
      </c>
      <c r="G1062" t="inlineStr">
        <is>
          <t>SUNNE</t>
        </is>
      </c>
      <c r="I1062" t="n">
        <v>16.4</v>
      </c>
      <c r="J1062" t="n">
        <v>0</v>
      </c>
      <c r="K1062" t="n">
        <v>0</v>
      </c>
      <c r="L1062" t="n">
        <v>0</v>
      </c>
      <c r="M1062" t="n">
        <v>0</v>
      </c>
      <c r="N1062" t="n">
        <v>0</v>
      </c>
      <c r="O1062" t="n">
        <v>0</v>
      </c>
      <c r="P1062" t="n">
        <v>0</v>
      </c>
      <c r="Q1062" t="n">
        <v>0</v>
      </c>
      <c r="R1062" t="n">
        <v>0</v>
      </c>
      <c r="S1062" t="n">
        <v>0</v>
      </c>
      <c r="T1062" t="n">
        <v>0</v>
      </c>
      <c r="U1062" t="n">
        <v>0</v>
      </c>
      <c r="V1062" s="2" t="inlineStr"/>
    </row>
    <row r="1063" ht="15" customHeight="1">
      <c r="A1063" t="inlineStr">
        <is>
          <t>A 44421-2023</t>
        </is>
      </c>
      <c r="B1063" t="inlineStr">
        <is>
          <t>avverkningsanmälan</t>
        </is>
      </c>
      <c r="C1063" t="inlineStr">
        <is>
          <t>Föryngringsavverkning</t>
        </is>
      </c>
      <c r="D1063" s="1" t="n">
        <v>45189</v>
      </c>
      <c r="E1063" s="1" t="n">
        <v>46313</v>
      </c>
      <c r="F1063" t="inlineStr">
        <is>
          <t>VÄRMLANDS LÄN</t>
        </is>
      </c>
      <c r="G1063" t="inlineStr">
        <is>
          <t>SUNNE</t>
        </is>
      </c>
      <c r="I1063" t="n">
        <v>1.2</v>
      </c>
      <c r="J1063" t="n">
        <v>0</v>
      </c>
      <c r="K1063" t="n">
        <v>0</v>
      </c>
      <c r="L1063" t="n">
        <v>0</v>
      </c>
      <c r="M1063" t="n">
        <v>0</v>
      </c>
      <c r="N1063" t="n">
        <v>0</v>
      </c>
      <c r="O1063" t="n">
        <v>0</v>
      </c>
      <c r="P1063" t="n">
        <v>0</v>
      </c>
      <c r="Q1063" t="n">
        <v>0</v>
      </c>
      <c r="R1063" t="n">
        <v>0</v>
      </c>
      <c r="S1063" t="n">
        <v>0</v>
      </c>
      <c r="T1063" t="n">
        <v>0</v>
      </c>
      <c r="U1063" t="n">
        <v>0</v>
      </c>
      <c r="V1063" s="2" t="inlineStr"/>
    </row>
    <row r="1064" ht="15" customHeight="1">
      <c r="A1064" t="inlineStr">
        <is>
          <t>A 44422-2023</t>
        </is>
      </c>
      <c r="B1064" t="inlineStr">
        <is>
          <t>avverkningsanmälan</t>
        </is>
      </c>
      <c r="C1064" t="inlineStr">
        <is>
          <t>Föryngringsavverkning</t>
        </is>
      </c>
      <c r="D1064" s="1" t="n">
        <v>45189</v>
      </c>
      <c r="E1064" s="1" t="n">
        <v>46313</v>
      </c>
      <c r="F1064" t="inlineStr">
        <is>
          <t>VÄRMLANDS LÄN</t>
        </is>
      </c>
      <c r="G1064" t="inlineStr">
        <is>
          <t>SUNNE</t>
        </is>
      </c>
      <c r="I1064" t="n">
        <v>1</v>
      </c>
      <c r="J1064" t="n">
        <v>0</v>
      </c>
      <c r="K1064" t="n">
        <v>0</v>
      </c>
      <c r="L1064" t="n">
        <v>0</v>
      </c>
      <c r="M1064" t="n">
        <v>0</v>
      </c>
      <c r="N1064" t="n">
        <v>0</v>
      </c>
      <c r="O1064" t="n">
        <v>0</v>
      </c>
      <c r="P1064" t="n">
        <v>0</v>
      </c>
      <c r="Q1064" t="n">
        <v>0</v>
      </c>
      <c r="R1064" t="n">
        <v>0</v>
      </c>
      <c r="S1064" t="n">
        <v>0</v>
      </c>
      <c r="T1064" t="n">
        <v>0</v>
      </c>
      <c r="U1064" t="n">
        <v>0</v>
      </c>
      <c r="V1064" s="2" t="inlineStr"/>
    </row>
    <row r="1065" ht="15" customHeight="1">
      <c r="A1065" t="inlineStr">
        <is>
          <t>A 28650-2024</t>
        </is>
      </c>
      <c r="B1065" t="inlineStr">
        <is>
          <t>avverkningsanmälan</t>
        </is>
      </c>
      <c r="C1065" t="inlineStr">
        <is>
          <t>Föryngringsavverkning</t>
        </is>
      </c>
      <c r="D1065" s="1" t="n">
        <v>45478</v>
      </c>
      <c r="E1065" s="1" t="n">
        <v>46313</v>
      </c>
      <c r="F1065" t="inlineStr">
        <is>
          <t>VÄRMLANDS LÄN</t>
        </is>
      </c>
      <c r="G1065" t="inlineStr">
        <is>
          <t>SUNNE</t>
        </is>
      </c>
      <c r="I1065" t="n">
        <v>2</v>
      </c>
      <c r="J1065" t="n">
        <v>0</v>
      </c>
      <c r="K1065" t="n">
        <v>0</v>
      </c>
      <c r="L1065" t="n">
        <v>0</v>
      </c>
      <c r="M1065" t="n">
        <v>0</v>
      </c>
      <c r="N1065" t="n">
        <v>0</v>
      </c>
      <c r="O1065" t="n">
        <v>0</v>
      </c>
      <c r="P1065" t="n">
        <v>0</v>
      </c>
      <c r="Q1065" t="n">
        <v>0</v>
      </c>
      <c r="R1065" t="n">
        <v>0</v>
      </c>
      <c r="S1065" t="n">
        <v>0</v>
      </c>
      <c r="T1065" t="n">
        <v>0</v>
      </c>
      <c r="U1065" t="n">
        <v>0</v>
      </c>
      <c r="V1065" s="2" t="inlineStr"/>
    </row>
    <row r="1066" ht="15" customHeight="1">
      <c r="A1066" t="inlineStr">
        <is>
          <t>A 54339-2022</t>
        </is>
      </c>
      <c r="B1066" t="inlineStr">
        <is>
          <t>avverkningsanmälan</t>
        </is>
      </c>
      <c r="C1066" t="inlineStr">
        <is>
          <t>Föryngringsavverkning</t>
        </is>
      </c>
      <c r="D1066" s="1" t="n">
        <v>44882</v>
      </c>
      <c r="E1066" s="1" t="n">
        <v>46313</v>
      </c>
      <c r="F1066" t="inlineStr">
        <is>
          <t>VÄRMLANDS LÄN</t>
        </is>
      </c>
      <c r="G1066" t="inlineStr">
        <is>
          <t>SUNNE</t>
        </is>
      </c>
      <c r="I1066" t="n">
        <v>8.1</v>
      </c>
      <c r="J1066" t="n">
        <v>0</v>
      </c>
      <c r="K1066" t="n">
        <v>0</v>
      </c>
      <c r="L1066" t="n">
        <v>0</v>
      </c>
      <c r="M1066" t="n">
        <v>0</v>
      </c>
      <c r="N1066" t="n">
        <v>0</v>
      </c>
      <c r="O1066" t="n">
        <v>0</v>
      </c>
      <c r="P1066" t="n">
        <v>0</v>
      </c>
      <c r="Q1066" t="n">
        <v>0</v>
      </c>
      <c r="R1066" t="n">
        <v>0</v>
      </c>
      <c r="S1066" t="n">
        <v>0</v>
      </c>
      <c r="T1066" t="n">
        <v>0</v>
      </c>
      <c r="U1066" t="n">
        <v>0</v>
      </c>
      <c r="V1066" s="2" t="inlineStr"/>
    </row>
    <row r="1067" ht="15" customHeight="1">
      <c r="A1067" t="inlineStr">
        <is>
          <t>A 62164-2023</t>
        </is>
      </c>
      <c r="B1067" t="inlineStr">
        <is>
          <t>avverkningsanmälan</t>
        </is>
      </c>
      <c r="C1067" t="inlineStr">
        <is>
          <t>Föryngringsavverkning</t>
        </is>
      </c>
      <c r="D1067" s="1" t="n">
        <v>45267</v>
      </c>
      <c r="E1067" s="1" t="n">
        <v>46313</v>
      </c>
      <c r="F1067" t="inlineStr">
        <is>
          <t>VÄRMLANDS LÄN</t>
        </is>
      </c>
      <c r="G1067" t="inlineStr">
        <is>
          <t>SUNNE</t>
        </is>
      </c>
      <c r="H1067" t="inlineStr">
        <is>
          <t>Kommuner</t>
        </is>
      </c>
      <c r="I1067" t="n">
        <v>5</v>
      </c>
      <c r="J1067" t="n">
        <v>0</v>
      </c>
      <c r="K1067" t="n">
        <v>0</v>
      </c>
      <c r="L1067" t="n">
        <v>0</v>
      </c>
      <c r="M1067" t="n">
        <v>0</v>
      </c>
      <c r="N1067" t="n">
        <v>0</v>
      </c>
      <c r="O1067" t="n">
        <v>0</v>
      </c>
      <c r="P1067" t="n">
        <v>0</v>
      </c>
      <c r="Q1067" t="n">
        <v>0</v>
      </c>
      <c r="R1067" t="n">
        <v>0</v>
      </c>
      <c r="S1067" t="n">
        <v>0</v>
      </c>
      <c r="T1067" t="n">
        <v>0</v>
      </c>
      <c r="U1067" t="n">
        <v>0</v>
      </c>
      <c r="V1067" s="2" t="inlineStr"/>
    </row>
    <row r="1068" ht="15" customHeight="1">
      <c r="A1068" t="inlineStr">
        <is>
          <t>A 61609-2023</t>
        </is>
      </c>
      <c r="B1068" t="inlineStr">
        <is>
          <t>avverkningsanmälan</t>
        </is>
      </c>
      <c r="C1068" t="inlineStr">
        <is>
          <t>Föryngringsavverkning</t>
        </is>
      </c>
      <c r="D1068" s="1" t="n">
        <v>45265</v>
      </c>
      <c r="E1068" s="1" t="n">
        <v>46313</v>
      </c>
      <c r="F1068" t="inlineStr">
        <is>
          <t>VÄRMLANDS LÄN</t>
        </is>
      </c>
      <c r="G1068" t="inlineStr">
        <is>
          <t>SUNNE</t>
        </is>
      </c>
      <c r="I1068" t="n">
        <v>2.1</v>
      </c>
      <c r="J1068" t="n">
        <v>0</v>
      </c>
      <c r="K1068" t="n">
        <v>0</v>
      </c>
      <c r="L1068" t="n">
        <v>0</v>
      </c>
      <c r="M1068" t="n">
        <v>0</v>
      </c>
      <c r="N1068" t="n">
        <v>0</v>
      </c>
      <c r="O1068" t="n">
        <v>0</v>
      </c>
      <c r="P1068" t="n">
        <v>0</v>
      </c>
      <c r="Q1068" t="n">
        <v>0</v>
      </c>
      <c r="R1068" t="n">
        <v>0</v>
      </c>
      <c r="S1068" t="n">
        <v>0</v>
      </c>
      <c r="T1068" t="n">
        <v>0</v>
      </c>
      <c r="U1068" t="n">
        <v>0</v>
      </c>
      <c r="V1068" s="2" t="inlineStr"/>
    </row>
    <row r="1069" ht="15" customHeight="1">
      <c r="A1069" t="inlineStr">
        <is>
          <t>A 39028-2024</t>
        </is>
      </c>
      <c r="B1069" t="inlineStr">
        <is>
          <t>avverkningsanmälan</t>
        </is>
      </c>
      <c r="C1069" t="inlineStr">
        <is>
          <t>Föryngringsavverkning</t>
        </is>
      </c>
      <c r="D1069" s="1" t="n">
        <v>45548</v>
      </c>
      <c r="E1069" s="1" t="n">
        <v>46313</v>
      </c>
      <c r="F1069" t="inlineStr">
        <is>
          <t>VÄRMLANDS LÄN</t>
        </is>
      </c>
      <c r="G1069" t="inlineStr">
        <is>
          <t>SUNNE</t>
        </is>
      </c>
      <c r="I1069" t="n">
        <v>6.3</v>
      </c>
      <c r="J1069" t="n">
        <v>0</v>
      </c>
      <c r="K1069" t="n">
        <v>0</v>
      </c>
      <c r="L1069" t="n">
        <v>0</v>
      </c>
      <c r="M1069" t="n">
        <v>0</v>
      </c>
      <c r="N1069" t="n">
        <v>0</v>
      </c>
      <c r="O1069" t="n">
        <v>0</v>
      </c>
      <c r="P1069" t="n">
        <v>0</v>
      </c>
      <c r="Q1069" t="n">
        <v>0</v>
      </c>
      <c r="R1069" t="n">
        <v>0</v>
      </c>
      <c r="S1069" t="n">
        <v>0</v>
      </c>
      <c r="T1069" t="n">
        <v>0</v>
      </c>
      <c r="U1069" t="n">
        <v>0</v>
      </c>
      <c r="V1069" s="2" t="inlineStr"/>
    </row>
    <row r="1070" ht="15" customHeight="1">
      <c r="A1070" t="inlineStr">
        <is>
          <t>A 14841-2022</t>
        </is>
      </c>
      <c r="B1070" t="inlineStr">
        <is>
          <t>avverkningsanmälan</t>
        </is>
      </c>
      <c r="C1070" t="inlineStr">
        <is>
          <t>Föryngringsavverkning</t>
        </is>
      </c>
      <c r="D1070" s="1" t="n">
        <v>44656</v>
      </c>
      <c r="E1070" s="1" t="n">
        <v>46313</v>
      </c>
      <c r="F1070" t="inlineStr">
        <is>
          <t>VÄRMLANDS LÄN</t>
        </is>
      </c>
      <c r="G1070" t="inlineStr">
        <is>
          <t>SUNNE</t>
        </is>
      </c>
      <c r="I1070" t="n">
        <v>0.7</v>
      </c>
      <c r="J1070" t="n">
        <v>0</v>
      </c>
      <c r="K1070" t="n">
        <v>0</v>
      </c>
      <c r="L1070" t="n">
        <v>0</v>
      </c>
      <c r="M1070" t="n">
        <v>0</v>
      </c>
      <c r="N1070" t="n">
        <v>0</v>
      </c>
      <c r="O1070" t="n">
        <v>0</v>
      </c>
      <c r="P1070" t="n">
        <v>0</v>
      </c>
      <c r="Q1070" t="n">
        <v>0</v>
      </c>
      <c r="R1070" t="n">
        <v>0</v>
      </c>
      <c r="S1070" t="n">
        <v>0</v>
      </c>
      <c r="T1070" t="n">
        <v>0</v>
      </c>
      <c r="U1070" t="n">
        <v>0</v>
      </c>
      <c r="V1070" s="2" t="inlineStr"/>
    </row>
    <row r="1071" ht="15" customHeight="1">
      <c r="A1071" t="inlineStr">
        <is>
          <t>A 19463-2023</t>
        </is>
      </c>
      <c r="B1071" t="inlineStr">
        <is>
          <t>avverkningsanmälan</t>
        </is>
      </c>
      <c r="C1071" t="inlineStr">
        <is>
          <t>Föryngringsavverkning</t>
        </is>
      </c>
      <c r="D1071" s="1" t="n">
        <v>45050</v>
      </c>
      <c r="E1071" s="1" t="n">
        <v>46313</v>
      </c>
      <c r="F1071" t="inlineStr">
        <is>
          <t>VÄRMLANDS LÄN</t>
        </is>
      </c>
      <c r="G1071" t="inlineStr">
        <is>
          <t>SUNNE</t>
        </is>
      </c>
      <c r="I1071" t="n">
        <v>12.6</v>
      </c>
      <c r="J1071" t="n">
        <v>0</v>
      </c>
      <c r="K1071" t="n">
        <v>0</v>
      </c>
      <c r="L1071" t="n">
        <v>0</v>
      </c>
      <c r="M1071" t="n">
        <v>0</v>
      </c>
      <c r="N1071" t="n">
        <v>0</v>
      </c>
      <c r="O1071" t="n">
        <v>0</v>
      </c>
      <c r="P1071" t="n">
        <v>0</v>
      </c>
      <c r="Q1071" t="n">
        <v>0</v>
      </c>
      <c r="R1071" t="n">
        <v>0</v>
      </c>
      <c r="S1071" t="n">
        <v>0</v>
      </c>
      <c r="T1071" t="n">
        <v>0</v>
      </c>
      <c r="U1071" t="n">
        <v>0</v>
      </c>
      <c r="V1071" s="2" t="inlineStr"/>
    </row>
    <row r="1072" ht="15" customHeight="1">
      <c r="A1072" t="inlineStr">
        <is>
          <t>A 34134-2026</t>
        </is>
      </c>
      <c r="B1072" t="inlineStr">
        <is>
          <t>avverkningsanmälan</t>
        </is>
      </c>
      <c r="C1072" t="inlineStr">
        <is>
          <t>Föryngringsavverkning</t>
        </is>
      </c>
      <c r="D1072" s="1" t="n">
        <v>46253</v>
      </c>
      <c r="E1072" s="1" t="n">
        <v>46313</v>
      </c>
      <c r="F1072" t="inlineStr">
        <is>
          <t>VÄRMLANDS LÄN</t>
        </is>
      </c>
      <c r="G1072" t="inlineStr">
        <is>
          <t>SUNNE</t>
        </is>
      </c>
      <c r="I1072" t="n">
        <v>1</v>
      </c>
      <c r="J1072" t="n">
        <v>0</v>
      </c>
      <c r="K1072" t="n">
        <v>0</v>
      </c>
      <c r="L1072" t="n">
        <v>0</v>
      </c>
      <c r="M1072" t="n">
        <v>0</v>
      </c>
      <c r="N1072" t="n">
        <v>0</v>
      </c>
      <c r="O1072" t="n">
        <v>0</v>
      </c>
      <c r="P1072" t="n">
        <v>0</v>
      </c>
      <c r="Q1072" t="n">
        <v>0</v>
      </c>
      <c r="R1072" t="n">
        <v>0</v>
      </c>
      <c r="S1072" t="n">
        <v>0</v>
      </c>
      <c r="T1072" t="n">
        <v>0</v>
      </c>
      <c r="U1072" t="n">
        <v>0</v>
      </c>
      <c r="V1072" s="2" t="inlineStr"/>
    </row>
    <row r="1073" ht="15" customHeight="1">
      <c r="A1073" t="inlineStr">
        <is>
          <t>A 40856-2026</t>
        </is>
      </c>
      <c r="B1073" t="inlineStr">
        <is>
          <t>avverkningsanmälan</t>
        </is>
      </c>
      <c r="C1073" t="inlineStr">
        <is>
          <t>Föryngringsavverkning</t>
        </is>
      </c>
      <c r="D1073" s="1" t="n">
        <v>46296</v>
      </c>
      <c r="E1073" s="1" t="n">
        <v>46313</v>
      </c>
      <c r="F1073" t="inlineStr">
        <is>
          <t>VÄRMLANDS LÄN</t>
        </is>
      </c>
      <c r="G1073" t="inlineStr">
        <is>
          <t>SUNNE</t>
        </is>
      </c>
      <c r="I1073" t="n">
        <v>5.6</v>
      </c>
      <c r="J1073" t="n">
        <v>0</v>
      </c>
      <c r="K1073" t="n">
        <v>0</v>
      </c>
      <c r="L1073" t="n">
        <v>0</v>
      </c>
      <c r="M1073" t="n">
        <v>0</v>
      </c>
      <c r="N1073" t="n">
        <v>0</v>
      </c>
      <c r="O1073" t="n">
        <v>0</v>
      </c>
      <c r="P1073" t="n">
        <v>0</v>
      </c>
      <c r="Q1073" t="n">
        <v>0</v>
      </c>
      <c r="R1073" t="n">
        <v>0</v>
      </c>
      <c r="S1073" t="n">
        <v>0</v>
      </c>
      <c r="T1073" t="n">
        <v>0</v>
      </c>
      <c r="U1073" t="n">
        <v>0</v>
      </c>
      <c r="V1073" s="2" t="inlineStr"/>
    </row>
    <row r="1074" ht="15" customHeight="1">
      <c r="A1074" t="inlineStr">
        <is>
          <t>A 33938-2026</t>
        </is>
      </c>
      <c r="B1074" t="inlineStr">
        <is>
          <t>avverkningsanmälan</t>
        </is>
      </c>
      <c r="C1074" t="inlineStr">
        <is>
          <t>Föryngringsavverkning</t>
        </is>
      </c>
      <c r="D1074" s="1" t="n">
        <v>46252</v>
      </c>
      <c r="E1074" s="1" t="n">
        <v>46313</v>
      </c>
      <c r="F1074" t="inlineStr">
        <is>
          <t>VÄRMLANDS LÄN</t>
        </is>
      </c>
      <c r="G1074" t="inlineStr">
        <is>
          <t>SUNNE</t>
        </is>
      </c>
      <c r="I1074" t="n">
        <v>1.1</v>
      </c>
      <c r="J1074" t="n">
        <v>0</v>
      </c>
      <c r="K1074" t="n">
        <v>0</v>
      </c>
      <c r="L1074" t="n">
        <v>0</v>
      </c>
      <c r="M1074" t="n">
        <v>0</v>
      </c>
      <c r="N1074" t="n">
        <v>0</v>
      </c>
      <c r="O1074" t="n">
        <v>0</v>
      </c>
      <c r="P1074" t="n">
        <v>0</v>
      </c>
      <c r="Q1074" t="n">
        <v>0</v>
      </c>
      <c r="R1074" t="n">
        <v>0</v>
      </c>
      <c r="S1074" t="n">
        <v>0</v>
      </c>
      <c r="T1074" t="n">
        <v>0</v>
      </c>
      <c r="U1074" t="n">
        <v>0</v>
      </c>
      <c r="V1074" s="2" t="inlineStr"/>
    </row>
    <row r="1075" ht="15" customHeight="1">
      <c r="A1075" t="inlineStr">
        <is>
          <t>A 34322-2026</t>
        </is>
      </c>
      <c r="B1075" t="inlineStr">
        <is>
          <t>avverkningsanmälan</t>
        </is>
      </c>
      <c r="C1075" t="inlineStr">
        <is>
          <t>Föryngringsavverkning</t>
        </is>
      </c>
      <c r="D1075" s="1" t="n">
        <v>46254</v>
      </c>
      <c r="E1075" s="1" t="n">
        <v>46313</v>
      </c>
      <c r="F1075" t="inlineStr">
        <is>
          <t>VÄRMLANDS LÄN</t>
        </is>
      </c>
      <c r="G1075" t="inlineStr">
        <is>
          <t>SUNNE</t>
        </is>
      </c>
      <c r="I1075" t="n">
        <v>2.5</v>
      </c>
      <c r="J1075" t="n">
        <v>0</v>
      </c>
      <c r="K1075" t="n">
        <v>0</v>
      </c>
      <c r="L1075" t="n">
        <v>0</v>
      </c>
      <c r="M1075" t="n">
        <v>0</v>
      </c>
      <c r="N1075" t="n">
        <v>0</v>
      </c>
      <c r="O1075" t="n">
        <v>0</v>
      </c>
      <c r="P1075" t="n">
        <v>0</v>
      </c>
      <c r="Q1075" t="n">
        <v>0</v>
      </c>
      <c r="R1075" t="n">
        <v>0</v>
      </c>
      <c r="S1075" t="n">
        <v>0</v>
      </c>
      <c r="T1075" t="n">
        <v>0</v>
      </c>
      <c r="U1075" t="n">
        <v>0</v>
      </c>
      <c r="V1075" s="2" t="inlineStr"/>
    </row>
    <row r="1076" ht="15" customHeight="1">
      <c r="A1076" t="inlineStr">
        <is>
          <t>A 27442-2022</t>
        </is>
      </c>
      <c r="B1076" t="inlineStr">
        <is>
          <t>avverkningsanmälan</t>
        </is>
      </c>
      <c r="C1076" t="inlineStr">
        <is>
          <t>Föryngringsavverkning</t>
        </is>
      </c>
      <c r="D1076" s="1" t="n">
        <v>44742</v>
      </c>
      <c r="E1076" s="1" t="n">
        <v>46313</v>
      </c>
      <c r="F1076" t="inlineStr">
        <is>
          <t>VÄRMLANDS LÄN</t>
        </is>
      </c>
      <c r="G1076" t="inlineStr">
        <is>
          <t>SUNNE</t>
        </is>
      </c>
      <c r="I1076" t="n">
        <v>3.7</v>
      </c>
      <c r="J1076" t="n">
        <v>0</v>
      </c>
      <c r="K1076" t="n">
        <v>0</v>
      </c>
      <c r="L1076" t="n">
        <v>0</v>
      </c>
      <c r="M1076" t="n">
        <v>0</v>
      </c>
      <c r="N1076" t="n">
        <v>0</v>
      </c>
      <c r="O1076" t="n">
        <v>0</v>
      </c>
      <c r="P1076" t="n">
        <v>0</v>
      </c>
      <c r="Q1076" t="n">
        <v>0</v>
      </c>
      <c r="R1076" t="n">
        <v>0</v>
      </c>
      <c r="S1076" t="n">
        <v>0</v>
      </c>
      <c r="T1076" t="n">
        <v>0</v>
      </c>
      <c r="U1076" t="n">
        <v>0</v>
      </c>
      <c r="V1076" s="2" t="inlineStr"/>
    </row>
    <row r="1077" ht="15" customHeight="1">
      <c r="A1077" t="inlineStr">
        <is>
          <t>A 1125-2025</t>
        </is>
      </c>
      <c r="B1077" t="inlineStr">
        <is>
          <t>avverkningsanmälan</t>
        </is>
      </c>
      <c r="C1077" t="inlineStr">
        <is>
          <t>Föryngringsavverkning</t>
        </is>
      </c>
      <c r="D1077" s="1" t="n">
        <v>45666</v>
      </c>
      <c r="E1077" s="1" t="n">
        <v>46313</v>
      </c>
      <c r="F1077" t="inlineStr">
        <is>
          <t>VÄRMLANDS LÄN</t>
        </is>
      </c>
      <c r="G1077" t="inlineStr">
        <is>
          <t>SUNNE</t>
        </is>
      </c>
      <c r="I1077" t="n">
        <v>0.9</v>
      </c>
      <c r="J1077" t="n">
        <v>0</v>
      </c>
      <c r="K1077" t="n">
        <v>0</v>
      </c>
      <c r="L1077" t="n">
        <v>0</v>
      </c>
      <c r="M1077" t="n">
        <v>0</v>
      </c>
      <c r="N1077" t="n">
        <v>0</v>
      </c>
      <c r="O1077" t="n">
        <v>0</v>
      </c>
      <c r="P1077" t="n">
        <v>0</v>
      </c>
      <c r="Q1077" t="n">
        <v>0</v>
      </c>
      <c r="R1077" t="n">
        <v>0</v>
      </c>
      <c r="S1077" t="n">
        <v>0</v>
      </c>
      <c r="T1077" t="n">
        <v>0</v>
      </c>
      <c r="U1077" t="n">
        <v>0</v>
      </c>
      <c r="V1077" s="2" t="inlineStr"/>
    </row>
    <row r="1078" ht="15" customHeight="1">
      <c r="A1078" t="inlineStr">
        <is>
          <t>A 7056-2023</t>
        </is>
      </c>
      <c r="B1078" t="inlineStr">
        <is>
          <t>avverkningsanmälan</t>
        </is>
      </c>
      <c r="C1078" t="inlineStr">
        <is>
          <t>Föryngringsavverkning</t>
        </is>
      </c>
      <c r="D1078" s="1" t="n">
        <v>44969</v>
      </c>
      <c r="E1078" s="1" t="n">
        <v>46313</v>
      </c>
      <c r="F1078" t="inlineStr">
        <is>
          <t>VÄRMLANDS LÄN</t>
        </is>
      </c>
      <c r="G1078" t="inlineStr">
        <is>
          <t>SUNNE</t>
        </is>
      </c>
      <c r="I1078" t="n">
        <v>2.7</v>
      </c>
      <c r="J1078" t="n">
        <v>0</v>
      </c>
      <c r="K1078" t="n">
        <v>0</v>
      </c>
      <c r="L1078" t="n">
        <v>0</v>
      </c>
      <c r="M1078" t="n">
        <v>0</v>
      </c>
      <c r="N1078" t="n">
        <v>0</v>
      </c>
      <c r="O1078" t="n">
        <v>0</v>
      </c>
      <c r="P1078" t="n">
        <v>0</v>
      </c>
      <c r="Q1078" t="n">
        <v>0</v>
      </c>
      <c r="R1078" t="n">
        <v>0</v>
      </c>
      <c r="S1078" t="n">
        <v>0</v>
      </c>
      <c r="T1078" t="n">
        <v>0</v>
      </c>
      <c r="U1078" t="n">
        <v>0</v>
      </c>
      <c r="V1078" s="2" t="inlineStr"/>
    </row>
    <row r="1079" ht="15" customHeight="1">
      <c r="A1079" t="inlineStr">
        <is>
          <t>A 17358-2023</t>
        </is>
      </c>
      <c r="B1079" t="inlineStr">
        <is>
          <t>avverkningsanmälan</t>
        </is>
      </c>
      <c r="C1079" t="inlineStr">
        <is>
          <t>Föryngringsavverkning</t>
        </is>
      </c>
      <c r="D1079" s="1" t="n">
        <v>45035</v>
      </c>
      <c r="E1079" s="1" t="n">
        <v>46313</v>
      </c>
      <c r="F1079" t="inlineStr">
        <is>
          <t>VÄRMLANDS LÄN</t>
        </is>
      </c>
      <c r="G1079" t="inlineStr">
        <is>
          <t>SUNNE</t>
        </is>
      </c>
      <c r="I1079" t="n">
        <v>2.3</v>
      </c>
      <c r="J1079" t="n">
        <v>0</v>
      </c>
      <c r="K1079" t="n">
        <v>0</v>
      </c>
      <c r="L1079" t="n">
        <v>0</v>
      </c>
      <c r="M1079" t="n">
        <v>0</v>
      </c>
      <c r="N1079" t="n">
        <v>0</v>
      </c>
      <c r="O1079" t="n">
        <v>0</v>
      </c>
      <c r="P1079" t="n">
        <v>0</v>
      </c>
      <c r="Q1079" t="n">
        <v>0</v>
      </c>
      <c r="R1079" t="n">
        <v>0</v>
      </c>
      <c r="S1079" t="n">
        <v>0</v>
      </c>
      <c r="T1079" t="n">
        <v>0</v>
      </c>
      <c r="U1079" t="n">
        <v>0</v>
      </c>
      <c r="V1079" s="2" t="inlineStr"/>
    </row>
    <row r="1080" ht="15" customHeight="1">
      <c r="A1080" t="inlineStr">
        <is>
          <t>A 12237-2023</t>
        </is>
      </c>
      <c r="B1080" t="inlineStr">
        <is>
          <t>avverkningsanmälan</t>
        </is>
      </c>
      <c r="C1080" t="inlineStr">
        <is>
          <t>Föryngringsavverkning</t>
        </is>
      </c>
      <c r="D1080" s="1" t="n">
        <v>44998</v>
      </c>
      <c r="E1080" s="1" t="n">
        <v>46313</v>
      </c>
      <c r="F1080" t="inlineStr">
        <is>
          <t>VÄRMLANDS LÄN</t>
        </is>
      </c>
      <c r="G1080" t="inlineStr">
        <is>
          <t>SUNNE</t>
        </is>
      </c>
      <c r="I1080" t="n">
        <v>1.3</v>
      </c>
      <c r="J1080" t="n">
        <v>0</v>
      </c>
      <c r="K1080" t="n">
        <v>0</v>
      </c>
      <c r="L1080" t="n">
        <v>0</v>
      </c>
      <c r="M1080" t="n">
        <v>0</v>
      </c>
      <c r="N1080" t="n">
        <v>0</v>
      </c>
      <c r="O1080" t="n">
        <v>0</v>
      </c>
      <c r="P1080" t="n">
        <v>0</v>
      </c>
      <c r="Q1080" t="n">
        <v>0</v>
      </c>
      <c r="R1080" t="n">
        <v>0</v>
      </c>
      <c r="S1080" t="n">
        <v>0</v>
      </c>
      <c r="T1080" t="n">
        <v>0</v>
      </c>
      <c r="U1080" t="n">
        <v>0</v>
      </c>
      <c r="V1080" s="2" t="inlineStr"/>
    </row>
    <row r="1081" ht="15" customHeight="1">
      <c r="A1081" t="inlineStr">
        <is>
          <t>A 45473-2023</t>
        </is>
      </c>
      <c r="B1081" t="inlineStr">
        <is>
          <t>avverkningsanmälan</t>
        </is>
      </c>
      <c r="C1081" t="inlineStr">
        <is>
          <t>Föryngringsavverkning</t>
        </is>
      </c>
      <c r="D1081" s="1" t="n">
        <v>45188</v>
      </c>
      <c r="E1081" s="1" t="n">
        <v>46313</v>
      </c>
      <c r="F1081" t="inlineStr">
        <is>
          <t>VÄRMLANDS LÄN</t>
        </is>
      </c>
      <c r="G1081" t="inlineStr">
        <is>
          <t>SUNNE</t>
        </is>
      </c>
      <c r="I1081" t="n">
        <v>5</v>
      </c>
      <c r="J1081" t="n">
        <v>0</v>
      </c>
      <c r="K1081" t="n">
        <v>0</v>
      </c>
      <c r="L1081" t="n">
        <v>0</v>
      </c>
      <c r="M1081" t="n">
        <v>0</v>
      </c>
      <c r="N1081" t="n">
        <v>0</v>
      </c>
      <c r="O1081" t="n">
        <v>0</v>
      </c>
      <c r="P1081" t="n">
        <v>0</v>
      </c>
      <c r="Q1081" t="n">
        <v>0</v>
      </c>
      <c r="R1081" t="n">
        <v>0</v>
      </c>
      <c r="S1081" t="n">
        <v>0</v>
      </c>
      <c r="T1081" t="n">
        <v>0</v>
      </c>
      <c r="U1081" t="n">
        <v>0</v>
      </c>
      <c r="V1081" s="2" t="inlineStr"/>
    </row>
    <row r="1082" ht="15" customHeight="1">
      <c r="A1082" t="inlineStr">
        <is>
          <t>A 20622-2025</t>
        </is>
      </c>
      <c r="B1082" t="inlineStr">
        <is>
          <t>avverkningsanmälan</t>
        </is>
      </c>
      <c r="C1082" t="inlineStr">
        <is>
          <t>Föryngringsavverkning</t>
        </is>
      </c>
      <c r="D1082" s="1" t="n">
        <v>45776</v>
      </c>
      <c r="E1082" s="1" t="n">
        <v>46313</v>
      </c>
      <c r="F1082" t="inlineStr">
        <is>
          <t>VÄRMLANDS LÄN</t>
        </is>
      </c>
      <c r="G1082" t="inlineStr">
        <is>
          <t>SUNNE</t>
        </is>
      </c>
      <c r="I1082" t="n">
        <v>0.9</v>
      </c>
      <c r="J1082" t="n">
        <v>0</v>
      </c>
      <c r="K1082" t="n">
        <v>0</v>
      </c>
      <c r="L1082" t="n">
        <v>0</v>
      </c>
      <c r="M1082" t="n">
        <v>0</v>
      </c>
      <c r="N1082" t="n">
        <v>0</v>
      </c>
      <c r="O1082" t="n">
        <v>0</v>
      </c>
      <c r="P1082" t="n">
        <v>0</v>
      </c>
      <c r="Q1082" t="n">
        <v>0</v>
      </c>
      <c r="R1082" t="n">
        <v>0</v>
      </c>
      <c r="S1082" t="n">
        <v>0</v>
      </c>
      <c r="T1082" t="n">
        <v>0</v>
      </c>
      <c r="U1082" t="n">
        <v>0</v>
      </c>
      <c r="V1082" s="2" t="inlineStr"/>
    </row>
    <row r="1083" ht="15" customHeight="1">
      <c r="A1083" t="inlineStr">
        <is>
          <t>A 34716-2026</t>
        </is>
      </c>
      <c r="B1083" t="inlineStr">
        <is>
          <t>avverkningsanmälan</t>
        </is>
      </c>
      <c r="C1083" t="inlineStr">
        <is>
          <t>Föryngringsavverkning</t>
        </is>
      </c>
      <c r="D1083" s="1" t="n">
        <v>46258</v>
      </c>
      <c r="E1083" s="1" t="n">
        <v>46313</v>
      </c>
      <c r="F1083" t="inlineStr">
        <is>
          <t>VÄRMLANDS LÄN</t>
        </is>
      </c>
      <c r="G1083" t="inlineStr">
        <is>
          <t>SUNNE</t>
        </is>
      </c>
      <c r="H1083" t="inlineStr">
        <is>
          <t>Bergvik skog väst AB</t>
        </is>
      </c>
      <c r="I1083" t="n">
        <v>11.9</v>
      </c>
      <c r="J1083" t="n">
        <v>0</v>
      </c>
      <c r="K1083" t="n">
        <v>0</v>
      </c>
      <c r="L1083" t="n">
        <v>0</v>
      </c>
      <c r="M1083" t="n">
        <v>0</v>
      </c>
      <c r="N1083" t="n">
        <v>0</v>
      </c>
      <c r="O1083" t="n">
        <v>0</v>
      </c>
      <c r="P1083" t="n">
        <v>0</v>
      </c>
      <c r="Q1083" t="n">
        <v>0</v>
      </c>
      <c r="R1083" t="n">
        <v>0</v>
      </c>
      <c r="S1083" t="n">
        <v>0</v>
      </c>
      <c r="T1083" t="n">
        <v>0</v>
      </c>
      <c r="U1083" t="n">
        <v>0</v>
      </c>
      <c r="V1083" s="2" t="inlineStr"/>
    </row>
    <row r="1084" ht="15" customHeight="1">
      <c r="A1084" t="inlineStr">
        <is>
          <t>A 34777-2026</t>
        </is>
      </c>
      <c r="B1084" t="inlineStr">
        <is>
          <t>avverkningsanmälan</t>
        </is>
      </c>
      <c r="C1084" t="inlineStr">
        <is>
          <t>Föryngringsavverkning</t>
        </is>
      </c>
      <c r="D1084" s="1" t="n">
        <v>46258</v>
      </c>
      <c r="E1084" s="1" t="n">
        <v>46313</v>
      </c>
      <c r="F1084" t="inlineStr">
        <is>
          <t>VÄRMLANDS LÄN</t>
        </is>
      </c>
      <c r="G1084" t="inlineStr">
        <is>
          <t>SUNNE</t>
        </is>
      </c>
      <c r="I1084" t="n">
        <v>1.2</v>
      </c>
      <c r="J1084" t="n">
        <v>0</v>
      </c>
      <c r="K1084" t="n">
        <v>0</v>
      </c>
      <c r="L1084" t="n">
        <v>0</v>
      </c>
      <c r="M1084" t="n">
        <v>0</v>
      </c>
      <c r="N1084" t="n">
        <v>0</v>
      </c>
      <c r="O1084" t="n">
        <v>0</v>
      </c>
      <c r="P1084" t="n">
        <v>0</v>
      </c>
      <c r="Q1084" t="n">
        <v>0</v>
      </c>
      <c r="R1084" t="n">
        <v>0</v>
      </c>
      <c r="S1084" t="n">
        <v>0</v>
      </c>
      <c r="T1084" t="n">
        <v>0</v>
      </c>
      <c r="U1084" t="n">
        <v>0</v>
      </c>
      <c r="V1084" s="2" t="inlineStr"/>
    </row>
    <row r="1085" ht="15" customHeight="1">
      <c r="A1085" t="inlineStr">
        <is>
          <t>A 50841-2024</t>
        </is>
      </c>
      <c r="B1085" t="inlineStr">
        <is>
          <t>avverkningsanmälan</t>
        </is>
      </c>
      <c r="C1085" t="inlineStr">
        <is>
          <t>Föryngringsavverkning</t>
        </is>
      </c>
      <c r="D1085" s="1" t="n">
        <v>45602</v>
      </c>
      <c r="E1085" s="1" t="n">
        <v>46313</v>
      </c>
      <c r="F1085" t="inlineStr">
        <is>
          <t>VÄRMLANDS LÄN</t>
        </is>
      </c>
      <c r="G1085" t="inlineStr">
        <is>
          <t>SUNNE</t>
        </is>
      </c>
      <c r="I1085" t="n">
        <v>1</v>
      </c>
      <c r="J1085" t="n">
        <v>0</v>
      </c>
      <c r="K1085" t="n">
        <v>0</v>
      </c>
      <c r="L1085" t="n">
        <v>0</v>
      </c>
      <c r="M1085" t="n">
        <v>0</v>
      </c>
      <c r="N1085" t="n">
        <v>0</v>
      </c>
      <c r="O1085" t="n">
        <v>0</v>
      </c>
      <c r="P1085" t="n">
        <v>0</v>
      </c>
      <c r="Q1085" t="n">
        <v>0</v>
      </c>
      <c r="R1085" t="n">
        <v>0</v>
      </c>
      <c r="S1085" t="n">
        <v>0</v>
      </c>
      <c r="T1085" t="n">
        <v>0</v>
      </c>
      <c r="U1085" t="n">
        <v>0</v>
      </c>
      <c r="V1085" s="2" t="inlineStr"/>
    </row>
    <row r="1086" ht="15" customHeight="1">
      <c r="A1086" t="inlineStr">
        <is>
          <t>A 21806-2025</t>
        </is>
      </c>
      <c r="B1086" t="inlineStr">
        <is>
          <t>avverkningsanmälan</t>
        </is>
      </c>
      <c r="C1086" t="inlineStr">
        <is>
          <t>Föryngringsavverkning</t>
        </is>
      </c>
      <c r="D1086" s="1" t="n">
        <v>45783</v>
      </c>
      <c r="E1086" s="1" t="n">
        <v>46313</v>
      </c>
      <c r="F1086" t="inlineStr">
        <is>
          <t>VÄRMLANDS LÄN</t>
        </is>
      </c>
      <c r="G1086" t="inlineStr">
        <is>
          <t>SUNNE</t>
        </is>
      </c>
      <c r="I1086" t="n">
        <v>3</v>
      </c>
      <c r="J1086" t="n">
        <v>0</v>
      </c>
      <c r="K1086" t="n">
        <v>0</v>
      </c>
      <c r="L1086" t="n">
        <v>0</v>
      </c>
      <c r="M1086" t="n">
        <v>0</v>
      </c>
      <c r="N1086" t="n">
        <v>0</v>
      </c>
      <c r="O1086" t="n">
        <v>0</v>
      </c>
      <c r="P1086" t="n">
        <v>0</v>
      </c>
      <c r="Q1086" t="n">
        <v>0</v>
      </c>
      <c r="R1086" t="n">
        <v>0</v>
      </c>
      <c r="S1086" t="n">
        <v>0</v>
      </c>
      <c r="T1086" t="n">
        <v>0</v>
      </c>
      <c r="U1086" t="n">
        <v>0</v>
      </c>
      <c r="V1086" s="2" t="inlineStr"/>
    </row>
    <row r="1087" ht="15" customHeight="1">
      <c r="A1087" t="inlineStr">
        <is>
          <t>A 21312-2025</t>
        </is>
      </c>
      <c r="B1087" t="inlineStr">
        <is>
          <t>avverkningsanmälan</t>
        </is>
      </c>
      <c r="C1087" t="inlineStr">
        <is>
          <t>Föryngringsavverkning</t>
        </is>
      </c>
      <c r="D1087" s="1" t="n">
        <v>45781</v>
      </c>
      <c r="E1087" s="1" t="n">
        <v>46313</v>
      </c>
      <c r="F1087" t="inlineStr">
        <is>
          <t>VÄRMLANDS LÄN</t>
        </is>
      </c>
      <c r="G1087" t="inlineStr">
        <is>
          <t>SUNNE</t>
        </is>
      </c>
      <c r="I1087" t="n">
        <v>4.9</v>
      </c>
      <c r="J1087" t="n">
        <v>0</v>
      </c>
      <c r="K1087" t="n">
        <v>0</v>
      </c>
      <c r="L1087" t="n">
        <v>0</v>
      </c>
      <c r="M1087" t="n">
        <v>0</v>
      </c>
      <c r="N1087" t="n">
        <v>0</v>
      </c>
      <c r="O1087" t="n">
        <v>0</v>
      </c>
      <c r="P1087" t="n">
        <v>0</v>
      </c>
      <c r="Q1087" t="n">
        <v>0</v>
      </c>
      <c r="R1087" t="n">
        <v>0</v>
      </c>
      <c r="S1087" t="n">
        <v>0</v>
      </c>
      <c r="T1087" t="n">
        <v>0</v>
      </c>
      <c r="U1087" t="n">
        <v>0</v>
      </c>
      <c r="V1087" s="2" t="inlineStr"/>
    </row>
    <row r="1088" ht="15" customHeight="1">
      <c r="A1088" t="inlineStr">
        <is>
          <t>A 21810-2025</t>
        </is>
      </c>
      <c r="B1088" t="inlineStr">
        <is>
          <t>avverkningsanmälan</t>
        </is>
      </c>
      <c r="C1088" t="inlineStr">
        <is>
          <t>Föryngringsavverkning</t>
        </is>
      </c>
      <c r="D1088" s="1" t="n">
        <v>45783</v>
      </c>
      <c r="E1088" s="1" t="n">
        <v>46313</v>
      </c>
      <c r="F1088" t="inlineStr">
        <is>
          <t>VÄRMLANDS LÄN</t>
        </is>
      </c>
      <c r="G1088" t="inlineStr">
        <is>
          <t>SUNNE</t>
        </is>
      </c>
      <c r="I1088" t="n">
        <v>2.3</v>
      </c>
      <c r="J1088" t="n">
        <v>0</v>
      </c>
      <c r="K1088" t="n">
        <v>0</v>
      </c>
      <c r="L1088" t="n">
        <v>0</v>
      </c>
      <c r="M1088" t="n">
        <v>0</v>
      </c>
      <c r="N1088" t="n">
        <v>0</v>
      </c>
      <c r="O1088" t="n">
        <v>0</v>
      </c>
      <c r="P1088" t="n">
        <v>0</v>
      </c>
      <c r="Q1088" t="n">
        <v>0</v>
      </c>
      <c r="R1088" t="n">
        <v>0</v>
      </c>
      <c r="S1088" t="n">
        <v>0</v>
      </c>
      <c r="T1088" t="n">
        <v>0</v>
      </c>
      <c r="U1088" t="n">
        <v>0</v>
      </c>
      <c r="V1088" s="2" t="inlineStr"/>
    </row>
    <row r="1089" ht="15" customHeight="1">
      <c r="A1089" t="inlineStr">
        <is>
          <t>A 21400-2025</t>
        </is>
      </c>
      <c r="B1089" t="inlineStr">
        <is>
          <t>avverkningsanmälan</t>
        </is>
      </c>
      <c r="C1089" t="inlineStr">
        <is>
          <t>Föryngringsavverkning</t>
        </is>
      </c>
      <c r="D1089" s="1" t="n">
        <v>45782</v>
      </c>
      <c r="E1089" s="1" t="n">
        <v>46313</v>
      </c>
      <c r="F1089" t="inlineStr">
        <is>
          <t>VÄRMLANDS LÄN</t>
        </is>
      </c>
      <c r="G1089" t="inlineStr">
        <is>
          <t>SUNNE</t>
        </is>
      </c>
      <c r="I1089" t="n">
        <v>12.2</v>
      </c>
      <c r="J1089" t="n">
        <v>0</v>
      </c>
      <c r="K1089" t="n">
        <v>0</v>
      </c>
      <c r="L1089" t="n">
        <v>0</v>
      </c>
      <c r="M1089" t="n">
        <v>0</v>
      </c>
      <c r="N1089" t="n">
        <v>0</v>
      </c>
      <c r="O1089" t="n">
        <v>0</v>
      </c>
      <c r="P1089" t="n">
        <v>0</v>
      </c>
      <c r="Q1089" t="n">
        <v>0</v>
      </c>
      <c r="R1089" t="n">
        <v>0</v>
      </c>
      <c r="S1089" t="n">
        <v>0</v>
      </c>
      <c r="T1089" t="n">
        <v>0</v>
      </c>
      <c r="U1089" t="n">
        <v>0</v>
      </c>
      <c r="V1089" s="2" t="inlineStr"/>
    </row>
    <row r="1090" ht="15" customHeight="1">
      <c r="A1090" t="inlineStr">
        <is>
          <t>A 29940-2024</t>
        </is>
      </c>
      <c r="B1090" t="inlineStr">
        <is>
          <t>avverkningsanmälan</t>
        </is>
      </c>
      <c r="C1090" t="inlineStr">
        <is>
          <t>Föryngringsavverkning</t>
        </is>
      </c>
      <c r="D1090" s="1" t="n">
        <v>45488</v>
      </c>
      <c r="E1090" s="1" t="n">
        <v>46313</v>
      </c>
      <c r="F1090" t="inlineStr">
        <is>
          <t>VÄRMLANDS LÄN</t>
        </is>
      </c>
      <c r="G1090" t="inlineStr">
        <is>
          <t>SUNNE</t>
        </is>
      </c>
      <c r="I1090" t="n">
        <v>2.3</v>
      </c>
      <c r="J1090" t="n">
        <v>0</v>
      </c>
      <c r="K1090" t="n">
        <v>0</v>
      </c>
      <c r="L1090" t="n">
        <v>0</v>
      </c>
      <c r="M1090" t="n">
        <v>0</v>
      </c>
      <c r="N1090" t="n">
        <v>0</v>
      </c>
      <c r="O1090" t="n">
        <v>0</v>
      </c>
      <c r="P1090" t="n">
        <v>0</v>
      </c>
      <c r="Q1090" t="n">
        <v>0</v>
      </c>
      <c r="R1090" t="n">
        <v>0</v>
      </c>
      <c r="S1090" t="n">
        <v>0</v>
      </c>
      <c r="T1090" t="n">
        <v>0</v>
      </c>
      <c r="U1090" t="n">
        <v>0</v>
      </c>
      <c r="V1090" s="2" t="inlineStr"/>
    </row>
    <row r="1091" ht="15" customHeight="1">
      <c r="A1091" t="inlineStr">
        <is>
          <t>A 41085-2026</t>
        </is>
      </c>
      <c r="B1091" t="inlineStr">
        <is>
          <t>avverkningsanmälan</t>
        </is>
      </c>
      <c r="C1091" t="inlineStr">
        <is>
          <t>Föryngringsavverkning</t>
        </is>
      </c>
      <c r="D1091" s="1" t="n">
        <v>46300</v>
      </c>
      <c r="E1091" s="1" t="n">
        <v>46313</v>
      </c>
      <c r="F1091" t="inlineStr">
        <is>
          <t>VÄRMLANDS LÄN</t>
        </is>
      </c>
      <c r="G1091" t="inlineStr">
        <is>
          <t>SUNNE</t>
        </is>
      </c>
      <c r="I1091" t="n">
        <v>6.1</v>
      </c>
      <c r="J1091" t="n">
        <v>0</v>
      </c>
      <c r="K1091" t="n">
        <v>0</v>
      </c>
      <c r="L1091" t="n">
        <v>0</v>
      </c>
      <c r="M1091" t="n">
        <v>0</v>
      </c>
      <c r="N1091" t="n">
        <v>0</v>
      </c>
      <c r="O1091" t="n">
        <v>0</v>
      </c>
      <c r="P1091" t="n">
        <v>0</v>
      </c>
      <c r="Q1091" t="n">
        <v>0</v>
      </c>
      <c r="R1091" t="n">
        <v>0</v>
      </c>
      <c r="S1091" t="n">
        <v>0</v>
      </c>
      <c r="T1091" t="n">
        <v>0</v>
      </c>
      <c r="U1091" t="n">
        <v>0</v>
      </c>
      <c r="V1091" s="2" t="inlineStr"/>
    </row>
    <row r="1092" ht="15" customHeight="1">
      <c r="A1092" t="inlineStr">
        <is>
          <t>A 34047-2024</t>
        </is>
      </c>
      <c r="B1092" t="inlineStr">
        <is>
          <t>avverkningsanmälan</t>
        </is>
      </c>
      <c r="C1092" t="inlineStr">
        <is>
          <t>Föryngringsavverkning</t>
        </is>
      </c>
      <c r="D1092" s="1" t="n">
        <v>45523</v>
      </c>
      <c r="E1092" s="1" t="n">
        <v>46313</v>
      </c>
      <c r="F1092" t="inlineStr">
        <is>
          <t>VÄRMLANDS LÄN</t>
        </is>
      </c>
      <c r="G1092" t="inlineStr">
        <is>
          <t>SUNNE</t>
        </is>
      </c>
      <c r="I1092" t="n">
        <v>2.6</v>
      </c>
      <c r="J1092" t="n">
        <v>0</v>
      </c>
      <c r="K1092" t="n">
        <v>0</v>
      </c>
      <c r="L1092" t="n">
        <v>0</v>
      </c>
      <c r="M1092" t="n">
        <v>0</v>
      </c>
      <c r="N1092" t="n">
        <v>0</v>
      </c>
      <c r="O1092" t="n">
        <v>0</v>
      </c>
      <c r="P1092" t="n">
        <v>0</v>
      </c>
      <c r="Q1092" t="n">
        <v>0</v>
      </c>
      <c r="R1092" t="n">
        <v>0</v>
      </c>
      <c r="S1092" t="n">
        <v>0</v>
      </c>
      <c r="T1092" t="n">
        <v>0</v>
      </c>
      <c r="U1092" t="n">
        <v>0</v>
      </c>
      <c r="V1092" s="2" t="inlineStr"/>
    </row>
    <row r="1093" ht="15" customHeight="1">
      <c r="A1093" t="inlineStr">
        <is>
          <t>A 56727-2024</t>
        </is>
      </c>
      <c r="B1093" t="inlineStr">
        <is>
          <t>avverkningsanmälan</t>
        </is>
      </c>
      <c r="C1093" t="inlineStr">
        <is>
          <t>Föryngringsavverkning</t>
        </is>
      </c>
      <c r="D1093" s="1" t="n">
        <v>45628</v>
      </c>
      <c r="E1093" s="1" t="n">
        <v>46313</v>
      </c>
      <c r="F1093" t="inlineStr">
        <is>
          <t>VÄRMLANDS LÄN</t>
        </is>
      </c>
      <c r="G1093" t="inlineStr">
        <is>
          <t>SUNNE</t>
        </is>
      </c>
      <c r="I1093" t="n">
        <v>3.1</v>
      </c>
      <c r="J1093" t="n">
        <v>0</v>
      </c>
      <c r="K1093" t="n">
        <v>0</v>
      </c>
      <c r="L1093" t="n">
        <v>0</v>
      </c>
      <c r="M1093" t="n">
        <v>0</v>
      </c>
      <c r="N1093" t="n">
        <v>0</v>
      </c>
      <c r="O1093" t="n">
        <v>0</v>
      </c>
      <c r="P1093" t="n">
        <v>0</v>
      </c>
      <c r="Q1093" t="n">
        <v>0</v>
      </c>
      <c r="R1093" t="n">
        <v>0</v>
      </c>
      <c r="S1093" t="n">
        <v>0</v>
      </c>
      <c r="T1093" t="n">
        <v>0</v>
      </c>
      <c r="U1093" t="n">
        <v>0</v>
      </c>
      <c r="V1093" s="2" t="inlineStr"/>
    </row>
    <row r="1094" ht="15" customHeight="1">
      <c r="A1094" t="inlineStr">
        <is>
          <t>A 11709-2025</t>
        </is>
      </c>
      <c r="B1094" t="inlineStr">
        <is>
          <t>avverkningsanmälan</t>
        </is>
      </c>
      <c r="C1094" t="inlineStr">
        <is>
          <t>Föryngringsavverkning</t>
        </is>
      </c>
      <c r="D1094" s="1" t="n">
        <v>45727</v>
      </c>
      <c r="E1094" s="1" t="n">
        <v>46313</v>
      </c>
      <c r="F1094" t="inlineStr">
        <is>
          <t>VÄRMLANDS LÄN</t>
        </is>
      </c>
      <c r="G1094" t="inlineStr">
        <is>
          <t>SUNNE</t>
        </is>
      </c>
      <c r="I1094" t="n">
        <v>11.6</v>
      </c>
      <c r="J1094" t="n">
        <v>0</v>
      </c>
      <c r="K1094" t="n">
        <v>0</v>
      </c>
      <c r="L1094" t="n">
        <v>0</v>
      </c>
      <c r="M1094" t="n">
        <v>0</v>
      </c>
      <c r="N1094" t="n">
        <v>0</v>
      </c>
      <c r="O1094" t="n">
        <v>0</v>
      </c>
      <c r="P1094" t="n">
        <v>0</v>
      </c>
      <c r="Q1094" t="n">
        <v>0</v>
      </c>
      <c r="R1094" t="n">
        <v>0</v>
      </c>
      <c r="S1094" t="n">
        <v>0</v>
      </c>
      <c r="T1094" t="n">
        <v>0</v>
      </c>
      <c r="U1094" t="n">
        <v>0</v>
      </c>
      <c r="V1094" s="2" t="inlineStr"/>
    </row>
    <row r="1095" ht="15" customHeight="1">
      <c r="A1095" t="inlineStr">
        <is>
          <t>A 21237-2024</t>
        </is>
      </c>
      <c r="B1095" t="inlineStr">
        <is>
          <t>avverkningsanmälan</t>
        </is>
      </c>
      <c r="C1095" t="inlineStr">
        <is>
          <t>Föryngringsavverkning</t>
        </is>
      </c>
      <c r="D1095" s="1" t="n">
        <v>45440</v>
      </c>
      <c r="E1095" s="1" t="n">
        <v>46313</v>
      </c>
      <c r="F1095" t="inlineStr">
        <is>
          <t>VÄRMLANDS LÄN</t>
        </is>
      </c>
      <c r="G1095" t="inlineStr">
        <is>
          <t>SUNNE</t>
        </is>
      </c>
      <c r="I1095" t="n">
        <v>0.9</v>
      </c>
      <c r="J1095" t="n">
        <v>0</v>
      </c>
      <c r="K1095" t="n">
        <v>0</v>
      </c>
      <c r="L1095" t="n">
        <v>0</v>
      </c>
      <c r="M1095" t="n">
        <v>0</v>
      </c>
      <c r="N1095" t="n">
        <v>0</v>
      </c>
      <c r="O1095" t="n">
        <v>0</v>
      </c>
      <c r="P1095" t="n">
        <v>0</v>
      </c>
      <c r="Q1095" t="n">
        <v>0</v>
      </c>
      <c r="R1095" t="n">
        <v>0</v>
      </c>
      <c r="S1095" t="n">
        <v>0</v>
      </c>
      <c r="T1095" t="n">
        <v>0</v>
      </c>
      <c r="U1095" t="n">
        <v>0</v>
      </c>
      <c r="V1095" s="2" t="inlineStr"/>
    </row>
    <row r="1096" ht="15" customHeight="1">
      <c r="A1096" t="inlineStr">
        <is>
          <t>A 22544-2025</t>
        </is>
      </c>
      <c r="B1096" t="inlineStr">
        <is>
          <t>avverkningsanmälan</t>
        </is>
      </c>
      <c r="C1096" t="inlineStr">
        <is>
          <t>Föryngringsavverkning</t>
        </is>
      </c>
      <c r="D1096" s="1" t="n">
        <v>45788</v>
      </c>
      <c r="E1096" s="1" t="n">
        <v>46313</v>
      </c>
      <c r="F1096" t="inlineStr">
        <is>
          <t>VÄRMLANDS LÄN</t>
        </is>
      </c>
      <c r="G1096" t="inlineStr">
        <is>
          <t>SUNNE</t>
        </is>
      </c>
      <c r="I1096" t="n">
        <v>6</v>
      </c>
      <c r="J1096" t="n">
        <v>0</v>
      </c>
      <c r="K1096" t="n">
        <v>0</v>
      </c>
      <c r="L1096" t="n">
        <v>0</v>
      </c>
      <c r="M1096" t="n">
        <v>0</v>
      </c>
      <c r="N1096" t="n">
        <v>0</v>
      </c>
      <c r="O1096" t="n">
        <v>0</v>
      </c>
      <c r="P1096" t="n">
        <v>0</v>
      </c>
      <c r="Q1096" t="n">
        <v>0</v>
      </c>
      <c r="R1096" t="n">
        <v>0</v>
      </c>
      <c r="S1096" t="n">
        <v>0</v>
      </c>
      <c r="T1096" t="n">
        <v>0</v>
      </c>
      <c r="U1096" t="n">
        <v>0</v>
      </c>
      <c r="V1096" s="2" t="inlineStr"/>
    </row>
    <row r="1097" ht="15" customHeight="1">
      <c r="A1097" t="inlineStr">
        <is>
          <t>A 41679-2026</t>
        </is>
      </c>
      <c r="B1097" t="inlineStr">
        <is>
          <t>avverkningsanmälan</t>
        </is>
      </c>
      <c r="C1097" t="inlineStr">
        <is>
          <t>Föryngringsavverkning</t>
        </is>
      </c>
      <c r="D1097" s="1" t="n">
        <v>46302</v>
      </c>
      <c r="E1097" s="1" t="n">
        <v>46313</v>
      </c>
      <c r="F1097" t="inlineStr">
        <is>
          <t>VÄRMLANDS LÄN</t>
        </is>
      </c>
      <c r="G1097" t="inlineStr">
        <is>
          <t>SUNNE</t>
        </is>
      </c>
      <c r="I1097" t="n">
        <v>1</v>
      </c>
      <c r="J1097" t="n">
        <v>0</v>
      </c>
      <c r="K1097" t="n">
        <v>0</v>
      </c>
      <c r="L1097" t="n">
        <v>0</v>
      </c>
      <c r="M1097" t="n">
        <v>0</v>
      </c>
      <c r="N1097" t="n">
        <v>0</v>
      </c>
      <c r="O1097" t="n">
        <v>0</v>
      </c>
      <c r="P1097" t="n">
        <v>0</v>
      </c>
      <c r="Q1097" t="n">
        <v>0</v>
      </c>
      <c r="R1097" t="n">
        <v>0</v>
      </c>
      <c r="S1097" t="n">
        <v>0</v>
      </c>
      <c r="T1097" t="n">
        <v>0</v>
      </c>
      <c r="U1097" t="n">
        <v>0</v>
      </c>
      <c r="V1097" s="2" t="inlineStr"/>
    </row>
    <row r="1098" ht="15" customHeight="1">
      <c r="A1098" t="inlineStr">
        <is>
          <t>A 41680-2026</t>
        </is>
      </c>
      <c r="B1098" t="inlineStr">
        <is>
          <t>avverkningsanmälan</t>
        </is>
      </c>
      <c r="C1098" t="inlineStr">
        <is>
          <t>Föryngringsavverkning</t>
        </is>
      </c>
      <c r="D1098" s="1" t="n">
        <v>46302</v>
      </c>
      <c r="E1098" s="1" t="n">
        <v>46313</v>
      </c>
      <c r="F1098" t="inlineStr">
        <is>
          <t>VÄRMLANDS LÄN</t>
        </is>
      </c>
      <c r="G1098" t="inlineStr">
        <is>
          <t>SUNNE</t>
        </is>
      </c>
      <c r="I1098" t="n">
        <v>2.2</v>
      </c>
      <c r="J1098" t="n">
        <v>0</v>
      </c>
      <c r="K1098" t="n">
        <v>0</v>
      </c>
      <c r="L1098" t="n">
        <v>0</v>
      </c>
      <c r="M1098" t="n">
        <v>0</v>
      </c>
      <c r="N1098" t="n">
        <v>0</v>
      </c>
      <c r="O1098" t="n">
        <v>0</v>
      </c>
      <c r="P1098" t="n">
        <v>0</v>
      </c>
      <c r="Q1098" t="n">
        <v>0</v>
      </c>
      <c r="R1098" t="n">
        <v>0</v>
      </c>
      <c r="S1098" t="n">
        <v>0</v>
      </c>
      <c r="T1098" t="n">
        <v>0</v>
      </c>
      <c r="U1098" t="n">
        <v>0</v>
      </c>
      <c r="V1098" s="2" t="inlineStr"/>
    </row>
    <row r="1099" ht="15" customHeight="1">
      <c r="A1099" t="inlineStr">
        <is>
          <t>A 33582-2024</t>
        </is>
      </c>
      <c r="B1099" t="inlineStr">
        <is>
          <t>avverkningsanmälan</t>
        </is>
      </c>
      <c r="C1099" t="inlineStr">
        <is>
          <t>Föryngringsavverkning</t>
        </is>
      </c>
      <c r="D1099" s="1" t="n">
        <v>45520</v>
      </c>
      <c r="E1099" s="1" t="n">
        <v>46313</v>
      </c>
      <c r="F1099" t="inlineStr">
        <is>
          <t>VÄRMLANDS LÄN</t>
        </is>
      </c>
      <c r="G1099" t="inlineStr">
        <is>
          <t>SUNNE</t>
        </is>
      </c>
      <c r="H1099" t="inlineStr">
        <is>
          <t>Bergvik skog väst AB</t>
        </is>
      </c>
      <c r="I1099" t="n">
        <v>2.7</v>
      </c>
      <c r="J1099" t="n">
        <v>0</v>
      </c>
      <c r="K1099" t="n">
        <v>0</v>
      </c>
      <c r="L1099" t="n">
        <v>0</v>
      </c>
      <c r="M1099" t="n">
        <v>0</v>
      </c>
      <c r="N1099" t="n">
        <v>0</v>
      </c>
      <c r="O1099" t="n">
        <v>0</v>
      </c>
      <c r="P1099" t="n">
        <v>0</v>
      </c>
      <c r="Q1099" t="n">
        <v>0</v>
      </c>
      <c r="R1099" t="n">
        <v>0</v>
      </c>
      <c r="S1099" t="n">
        <v>0</v>
      </c>
      <c r="T1099" t="n">
        <v>0</v>
      </c>
      <c r="U1099" t="n">
        <v>0</v>
      </c>
      <c r="V1099" s="2" t="inlineStr"/>
    </row>
    <row r="1100" ht="15" customHeight="1">
      <c r="A1100" t="inlineStr">
        <is>
          <t>A 37177-2026</t>
        </is>
      </c>
      <c r="B1100" t="inlineStr">
        <is>
          <t>avverkningsanmälan</t>
        </is>
      </c>
      <c r="C1100" t="inlineStr">
        <is>
          <t>Föryngringsavverkning</t>
        </is>
      </c>
      <c r="D1100" s="1" t="n">
        <v>46274</v>
      </c>
      <c r="E1100" s="1" t="n">
        <v>46313</v>
      </c>
      <c r="F1100" t="inlineStr">
        <is>
          <t>VÄRMLANDS LÄN</t>
        </is>
      </c>
      <c r="G1100" t="inlineStr">
        <is>
          <t>SUNNE</t>
        </is>
      </c>
      <c r="I1100" t="n">
        <v>1.4</v>
      </c>
      <c r="J1100" t="n">
        <v>0</v>
      </c>
      <c r="K1100" t="n">
        <v>0</v>
      </c>
      <c r="L1100" t="n">
        <v>0</v>
      </c>
      <c r="M1100" t="n">
        <v>0</v>
      </c>
      <c r="N1100" t="n">
        <v>0</v>
      </c>
      <c r="O1100" t="n">
        <v>0</v>
      </c>
      <c r="P1100" t="n">
        <v>0</v>
      </c>
      <c r="Q1100" t="n">
        <v>0</v>
      </c>
      <c r="R1100" t="n">
        <v>0</v>
      </c>
      <c r="S1100" t="n">
        <v>0</v>
      </c>
      <c r="T1100" t="n">
        <v>0</v>
      </c>
      <c r="U1100" t="n">
        <v>0</v>
      </c>
      <c r="V1100" s="2" t="inlineStr"/>
    </row>
    <row r="1101" ht="15" customHeight="1">
      <c r="A1101" t="inlineStr">
        <is>
          <t>A 34931-2026</t>
        </is>
      </c>
      <c r="B1101" t="inlineStr">
        <is>
          <t>avverkningsanmälan</t>
        </is>
      </c>
      <c r="C1101" t="inlineStr">
        <is>
          <t>Föryngringsavverkning</t>
        </is>
      </c>
      <c r="D1101" s="1" t="n">
        <v>46259</v>
      </c>
      <c r="E1101" s="1" t="n">
        <v>46313</v>
      </c>
      <c r="F1101" t="inlineStr">
        <is>
          <t>VÄRMLANDS LÄN</t>
        </is>
      </c>
      <c r="G1101" t="inlineStr">
        <is>
          <t>SUNNE</t>
        </is>
      </c>
      <c r="I1101" t="n">
        <v>2.6</v>
      </c>
      <c r="J1101" t="n">
        <v>0</v>
      </c>
      <c r="K1101" t="n">
        <v>0</v>
      </c>
      <c r="L1101" t="n">
        <v>0</v>
      </c>
      <c r="M1101" t="n">
        <v>0</v>
      </c>
      <c r="N1101" t="n">
        <v>0</v>
      </c>
      <c r="O1101" t="n">
        <v>0</v>
      </c>
      <c r="P1101" t="n">
        <v>0</v>
      </c>
      <c r="Q1101" t="n">
        <v>0</v>
      </c>
      <c r="R1101" t="n">
        <v>0</v>
      </c>
      <c r="S1101" t="n">
        <v>0</v>
      </c>
      <c r="T1101" t="n">
        <v>0</v>
      </c>
      <c r="U1101" t="n">
        <v>0</v>
      </c>
      <c r="V1101" s="2" t="inlineStr"/>
    </row>
    <row r="1102" ht="15" customHeight="1">
      <c r="A1102" t="inlineStr">
        <is>
          <t>A 14078-2025</t>
        </is>
      </c>
      <c r="B1102" t="inlineStr">
        <is>
          <t>avverkningsanmälan</t>
        </is>
      </c>
      <c r="C1102" t="inlineStr">
        <is>
          <t>Föryngringsavverkning</t>
        </is>
      </c>
      <c r="D1102" s="1" t="n">
        <v>45740</v>
      </c>
      <c r="E1102" s="1" t="n">
        <v>46313</v>
      </c>
      <c r="F1102" t="inlineStr">
        <is>
          <t>VÄRMLANDS LÄN</t>
        </is>
      </c>
      <c r="G1102" t="inlineStr">
        <is>
          <t>SUNNE</t>
        </is>
      </c>
      <c r="I1102" t="n">
        <v>4.2</v>
      </c>
      <c r="J1102" t="n">
        <v>0</v>
      </c>
      <c r="K1102" t="n">
        <v>0</v>
      </c>
      <c r="L1102" t="n">
        <v>0</v>
      </c>
      <c r="M1102" t="n">
        <v>0</v>
      </c>
      <c r="N1102" t="n">
        <v>0</v>
      </c>
      <c r="O1102" t="n">
        <v>0</v>
      </c>
      <c r="P1102" t="n">
        <v>0</v>
      </c>
      <c r="Q1102" t="n">
        <v>0</v>
      </c>
      <c r="R1102" t="n">
        <v>0</v>
      </c>
      <c r="S1102" t="n">
        <v>0</v>
      </c>
      <c r="T1102" t="n">
        <v>0</v>
      </c>
      <c r="U1102" t="n">
        <v>0</v>
      </c>
      <c r="V1102" s="2" t="inlineStr"/>
    </row>
    <row r="1103" ht="15" customHeight="1">
      <c r="A1103" t="inlineStr">
        <is>
          <t>A 19487-2024</t>
        </is>
      </c>
      <c r="B1103" t="inlineStr">
        <is>
          <t>avverkningsanmälan</t>
        </is>
      </c>
      <c r="C1103" t="inlineStr">
        <is>
          <t>Föryngringsavverkning</t>
        </is>
      </c>
      <c r="D1103" s="1" t="n">
        <v>45429</v>
      </c>
      <c r="E1103" s="1" t="n">
        <v>46313</v>
      </c>
      <c r="F1103" t="inlineStr">
        <is>
          <t>VÄRMLANDS LÄN</t>
        </is>
      </c>
      <c r="G1103" t="inlineStr">
        <is>
          <t>SUNNE</t>
        </is>
      </c>
      <c r="I1103" t="n">
        <v>2.7</v>
      </c>
      <c r="J1103" t="n">
        <v>0</v>
      </c>
      <c r="K1103" t="n">
        <v>0</v>
      </c>
      <c r="L1103" t="n">
        <v>0</v>
      </c>
      <c r="M1103" t="n">
        <v>0</v>
      </c>
      <c r="N1103" t="n">
        <v>0</v>
      </c>
      <c r="O1103" t="n">
        <v>0</v>
      </c>
      <c r="P1103" t="n">
        <v>0</v>
      </c>
      <c r="Q1103" t="n">
        <v>0</v>
      </c>
      <c r="R1103" t="n">
        <v>0</v>
      </c>
      <c r="S1103" t="n">
        <v>0</v>
      </c>
      <c r="T1103" t="n">
        <v>0</v>
      </c>
      <c r="U1103" t="n">
        <v>0</v>
      </c>
      <c r="V1103" s="2" t="inlineStr"/>
    </row>
    <row r="1104" ht="15" customHeight="1">
      <c r="A1104" t="inlineStr">
        <is>
          <t>A 35045-2026</t>
        </is>
      </c>
      <c r="B1104" t="inlineStr">
        <is>
          <t>avverkningsanmälan</t>
        </is>
      </c>
      <c r="C1104" t="inlineStr">
        <is>
          <t>Föryngringsavverkning</t>
        </is>
      </c>
      <c r="D1104" s="1" t="n">
        <v>46259</v>
      </c>
      <c r="E1104" s="1" t="n">
        <v>46313</v>
      </c>
      <c r="F1104" t="inlineStr">
        <is>
          <t>VÄRMLANDS LÄN</t>
        </is>
      </c>
      <c r="G1104" t="inlineStr">
        <is>
          <t>SUNNE</t>
        </is>
      </c>
      <c r="I1104" t="n">
        <v>4.1</v>
      </c>
      <c r="J1104" t="n">
        <v>0</v>
      </c>
      <c r="K1104" t="n">
        <v>0</v>
      </c>
      <c r="L1104" t="n">
        <v>0</v>
      </c>
      <c r="M1104" t="n">
        <v>0</v>
      </c>
      <c r="N1104" t="n">
        <v>0</v>
      </c>
      <c r="O1104" t="n">
        <v>0</v>
      </c>
      <c r="P1104" t="n">
        <v>0</v>
      </c>
      <c r="Q1104" t="n">
        <v>0</v>
      </c>
      <c r="R1104" t="n">
        <v>0</v>
      </c>
      <c r="S1104" t="n">
        <v>0</v>
      </c>
      <c r="T1104" t="n">
        <v>0</v>
      </c>
      <c r="U1104" t="n">
        <v>0</v>
      </c>
      <c r="V1104" s="2" t="inlineStr"/>
    </row>
    <row r="1105" ht="15" customHeight="1">
      <c r="A1105" t="inlineStr">
        <is>
          <t>A 35017-2026</t>
        </is>
      </c>
      <c r="B1105" t="inlineStr">
        <is>
          <t>avverkningsanmälan</t>
        </is>
      </c>
      <c r="C1105" t="inlineStr">
        <is>
          <t>Föryngringsavverkning</t>
        </is>
      </c>
      <c r="D1105" s="1" t="n">
        <v>46259</v>
      </c>
      <c r="E1105" s="1" t="n">
        <v>46313</v>
      </c>
      <c r="F1105" t="inlineStr">
        <is>
          <t>VÄRMLANDS LÄN</t>
        </is>
      </c>
      <c r="G1105" t="inlineStr">
        <is>
          <t>SUNNE</t>
        </is>
      </c>
      <c r="I1105" t="n">
        <v>1.6</v>
      </c>
      <c r="J1105" t="n">
        <v>0</v>
      </c>
      <c r="K1105" t="n">
        <v>0</v>
      </c>
      <c r="L1105" t="n">
        <v>0</v>
      </c>
      <c r="M1105" t="n">
        <v>0</v>
      </c>
      <c r="N1105" t="n">
        <v>0</v>
      </c>
      <c r="O1105" t="n">
        <v>0</v>
      </c>
      <c r="P1105" t="n">
        <v>0</v>
      </c>
      <c r="Q1105" t="n">
        <v>0</v>
      </c>
      <c r="R1105" t="n">
        <v>0</v>
      </c>
      <c r="S1105" t="n">
        <v>0</v>
      </c>
      <c r="T1105" t="n">
        <v>0</v>
      </c>
      <c r="U1105" t="n">
        <v>0</v>
      </c>
      <c r="V1105" s="2" t="inlineStr"/>
    </row>
    <row r="1106" ht="15" customHeight="1">
      <c r="A1106" t="inlineStr">
        <is>
          <t>A 28107-2024</t>
        </is>
      </c>
      <c r="B1106" t="inlineStr">
        <is>
          <t>avverkningsanmälan</t>
        </is>
      </c>
      <c r="C1106" t="inlineStr">
        <is>
          <t>Föryngringsavverkning</t>
        </is>
      </c>
      <c r="D1106" s="1" t="n">
        <v>45476</v>
      </c>
      <c r="E1106" s="1" t="n">
        <v>46313</v>
      </c>
      <c r="F1106" t="inlineStr">
        <is>
          <t>VÄRMLANDS LÄN</t>
        </is>
      </c>
      <c r="G1106" t="inlineStr">
        <is>
          <t>SUNNE</t>
        </is>
      </c>
      <c r="I1106" t="n">
        <v>1.2</v>
      </c>
      <c r="J1106" t="n">
        <v>0</v>
      </c>
      <c r="K1106" t="n">
        <v>0</v>
      </c>
      <c r="L1106" t="n">
        <v>0</v>
      </c>
      <c r="M1106" t="n">
        <v>0</v>
      </c>
      <c r="N1106" t="n">
        <v>0</v>
      </c>
      <c r="O1106" t="n">
        <v>0</v>
      </c>
      <c r="P1106" t="n">
        <v>0</v>
      </c>
      <c r="Q1106" t="n">
        <v>0</v>
      </c>
      <c r="R1106" t="n">
        <v>0</v>
      </c>
      <c r="S1106" t="n">
        <v>0</v>
      </c>
      <c r="T1106" t="n">
        <v>0</v>
      </c>
      <c r="U1106" t="n">
        <v>0</v>
      </c>
      <c r="V1106" s="2" t="inlineStr"/>
    </row>
    <row r="1107" ht="15" customHeight="1">
      <c r="A1107" t="inlineStr">
        <is>
          <t>A 52311-2024</t>
        </is>
      </c>
      <c r="B1107" t="inlineStr">
        <is>
          <t>avverkningsanmälan</t>
        </is>
      </c>
      <c r="C1107" t="inlineStr">
        <is>
          <t>Föryngringsavverkning</t>
        </is>
      </c>
      <c r="D1107" s="1" t="n">
        <v>45608</v>
      </c>
      <c r="E1107" s="1" t="n">
        <v>46313</v>
      </c>
      <c r="F1107" t="inlineStr">
        <is>
          <t>VÄRMLANDS LÄN</t>
        </is>
      </c>
      <c r="G1107" t="inlineStr">
        <is>
          <t>SUNNE</t>
        </is>
      </c>
      <c r="I1107" t="n">
        <v>2.5</v>
      </c>
      <c r="J1107" t="n">
        <v>0</v>
      </c>
      <c r="K1107" t="n">
        <v>0</v>
      </c>
      <c r="L1107" t="n">
        <v>0</v>
      </c>
      <c r="M1107" t="n">
        <v>0</v>
      </c>
      <c r="N1107" t="n">
        <v>0</v>
      </c>
      <c r="O1107" t="n">
        <v>0</v>
      </c>
      <c r="P1107" t="n">
        <v>0</v>
      </c>
      <c r="Q1107" t="n">
        <v>0</v>
      </c>
      <c r="R1107" t="n">
        <v>0</v>
      </c>
      <c r="S1107" t="n">
        <v>0</v>
      </c>
      <c r="T1107" t="n">
        <v>0</v>
      </c>
      <c r="U1107" t="n">
        <v>0</v>
      </c>
      <c r="V1107" s="2" t="inlineStr"/>
    </row>
    <row r="1108" ht="15" customHeight="1">
      <c r="A1108" t="inlineStr">
        <is>
          <t>A 41818-2026</t>
        </is>
      </c>
      <c r="B1108" t="inlineStr">
        <is>
          <t>avverkningsanmälan</t>
        </is>
      </c>
      <c r="C1108" t="inlineStr">
        <is>
          <t>Föryngringsavverkning</t>
        </is>
      </c>
      <c r="D1108" s="1" t="n">
        <v>46303</v>
      </c>
      <c r="E1108" s="1" t="n">
        <v>46313</v>
      </c>
      <c r="F1108" t="inlineStr">
        <is>
          <t>VÄRMLANDS LÄN</t>
        </is>
      </c>
      <c r="G1108" t="inlineStr">
        <is>
          <t>SUNNE</t>
        </is>
      </c>
      <c r="I1108" t="n">
        <v>1.8</v>
      </c>
      <c r="J1108" t="n">
        <v>0</v>
      </c>
      <c r="K1108" t="n">
        <v>0</v>
      </c>
      <c r="L1108" t="n">
        <v>0</v>
      </c>
      <c r="M1108" t="n">
        <v>0</v>
      </c>
      <c r="N1108" t="n">
        <v>0</v>
      </c>
      <c r="O1108" t="n">
        <v>0</v>
      </c>
      <c r="P1108" t="n">
        <v>0</v>
      </c>
      <c r="Q1108" t="n">
        <v>0</v>
      </c>
      <c r="R1108" t="n">
        <v>0</v>
      </c>
      <c r="S1108" t="n">
        <v>0</v>
      </c>
      <c r="T1108" t="n">
        <v>0</v>
      </c>
      <c r="U1108" t="n">
        <v>0</v>
      </c>
      <c r="V1108" s="2" t="inlineStr"/>
    </row>
    <row r="1109" ht="15" customHeight="1">
      <c r="A1109" t="inlineStr">
        <is>
          <t>A 32134-2023</t>
        </is>
      </c>
      <c r="B1109" t="inlineStr">
        <is>
          <t>avverkningsanmälan</t>
        </is>
      </c>
      <c r="C1109" t="inlineStr">
        <is>
          <t>Föryngringsavverkning</t>
        </is>
      </c>
      <c r="D1109" s="1" t="n">
        <v>45119</v>
      </c>
      <c r="E1109" s="1" t="n">
        <v>46313</v>
      </c>
      <c r="F1109" t="inlineStr">
        <is>
          <t>VÄRMLANDS LÄN</t>
        </is>
      </c>
      <c r="G1109" t="inlineStr">
        <is>
          <t>SUNNE</t>
        </is>
      </c>
      <c r="I1109" t="n">
        <v>9.300000000000001</v>
      </c>
      <c r="J1109" t="n">
        <v>0</v>
      </c>
      <c r="K1109" t="n">
        <v>0</v>
      </c>
      <c r="L1109" t="n">
        <v>0</v>
      </c>
      <c r="M1109" t="n">
        <v>0</v>
      </c>
      <c r="N1109" t="n">
        <v>0</v>
      </c>
      <c r="O1109" t="n">
        <v>0</v>
      </c>
      <c r="P1109" t="n">
        <v>0</v>
      </c>
      <c r="Q1109" t="n">
        <v>0</v>
      </c>
      <c r="R1109" t="n">
        <v>0</v>
      </c>
      <c r="S1109" t="n">
        <v>0</v>
      </c>
      <c r="T1109" t="n">
        <v>0</v>
      </c>
      <c r="U1109" t="n">
        <v>0</v>
      </c>
      <c r="V1109" s="2" t="inlineStr"/>
    </row>
    <row r="1110" ht="15" customHeight="1">
      <c r="A1110" t="inlineStr">
        <is>
          <t>A 42223-2026</t>
        </is>
      </c>
      <c r="B1110" t="inlineStr">
        <is>
          <t>avverkningsanmälan</t>
        </is>
      </c>
      <c r="C1110" t="inlineStr">
        <is>
          <t>Föryngringsavverkning</t>
        </is>
      </c>
      <c r="D1110" s="1" t="n">
        <v>46306</v>
      </c>
      <c r="E1110" s="1" t="n">
        <v>46313</v>
      </c>
      <c r="F1110" t="inlineStr">
        <is>
          <t>VÄRMLANDS LÄN</t>
        </is>
      </c>
      <c r="G1110" t="inlineStr">
        <is>
          <t>SUNNE</t>
        </is>
      </c>
      <c r="I1110" t="n">
        <v>2.1</v>
      </c>
      <c r="J1110" t="n">
        <v>0</v>
      </c>
      <c r="K1110" t="n">
        <v>0</v>
      </c>
      <c r="L1110" t="n">
        <v>0</v>
      </c>
      <c r="M1110" t="n">
        <v>0</v>
      </c>
      <c r="N1110" t="n">
        <v>0</v>
      </c>
      <c r="O1110" t="n">
        <v>0</v>
      </c>
      <c r="P1110" t="n">
        <v>0</v>
      </c>
      <c r="Q1110" t="n">
        <v>0</v>
      </c>
      <c r="R1110" t="n">
        <v>0</v>
      </c>
      <c r="S1110" t="n">
        <v>0</v>
      </c>
      <c r="T1110" t="n">
        <v>0</v>
      </c>
      <c r="U1110" t="n">
        <v>0</v>
      </c>
      <c r="V1110" s="2" t="inlineStr"/>
    </row>
    <row r="1111" ht="15" customHeight="1">
      <c r="A1111" t="inlineStr">
        <is>
          <t>A 23715-2025</t>
        </is>
      </c>
      <c r="B1111" t="inlineStr">
        <is>
          <t>avverkningsanmälan</t>
        </is>
      </c>
      <c r="C1111" t="inlineStr">
        <is>
          <t>Föryngringsavverkning</t>
        </is>
      </c>
      <c r="D1111" s="1" t="n">
        <v>45793</v>
      </c>
      <c r="E1111" s="1" t="n">
        <v>46313</v>
      </c>
      <c r="F1111" t="inlineStr">
        <is>
          <t>VÄRMLANDS LÄN</t>
        </is>
      </c>
      <c r="G1111" t="inlineStr">
        <is>
          <t>SUNNE</t>
        </is>
      </c>
      <c r="I1111" t="n">
        <v>2.9</v>
      </c>
      <c r="J1111" t="n">
        <v>0</v>
      </c>
      <c r="K1111" t="n">
        <v>0</v>
      </c>
      <c r="L1111" t="n">
        <v>0</v>
      </c>
      <c r="M1111" t="n">
        <v>0</v>
      </c>
      <c r="N1111" t="n">
        <v>0</v>
      </c>
      <c r="O1111" t="n">
        <v>0</v>
      </c>
      <c r="P1111" t="n">
        <v>0</v>
      </c>
      <c r="Q1111" t="n">
        <v>0</v>
      </c>
      <c r="R1111" t="n">
        <v>0</v>
      </c>
      <c r="S1111" t="n">
        <v>0</v>
      </c>
      <c r="T1111" t="n">
        <v>0</v>
      </c>
      <c r="U1111" t="n">
        <v>0</v>
      </c>
      <c r="V1111" s="2" t="inlineStr"/>
    </row>
    <row r="1112" ht="15" customHeight="1">
      <c r="A1112" t="inlineStr">
        <is>
          <t>A 23702-2025</t>
        </is>
      </c>
      <c r="B1112" t="inlineStr">
        <is>
          <t>avverkningsanmälan</t>
        </is>
      </c>
      <c r="C1112" t="inlineStr">
        <is>
          <t>Föryngringsavverkning</t>
        </is>
      </c>
      <c r="D1112" s="1" t="n">
        <v>45793</v>
      </c>
      <c r="E1112" s="1" t="n">
        <v>46313</v>
      </c>
      <c r="F1112" t="inlineStr">
        <is>
          <t>VÄRMLANDS LÄN</t>
        </is>
      </c>
      <c r="G1112" t="inlineStr">
        <is>
          <t>SUNNE</t>
        </is>
      </c>
      <c r="I1112" t="n">
        <v>0.7</v>
      </c>
      <c r="J1112" t="n">
        <v>0</v>
      </c>
      <c r="K1112" t="n">
        <v>0</v>
      </c>
      <c r="L1112" t="n">
        <v>0</v>
      </c>
      <c r="M1112" t="n">
        <v>0</v>
      </c>
      <c r="N1112" t="n">
        <v>0</v>
      </c>
      <c r="O1112" t="n">
        <v>0</v>
      </c>
      <c r="P1112" t="n">
        <v>0</v>
      </c>
      <c r="Q1112" t="n">
        <v>0</v>
      </c>
      <c r="R1112" t="n">
        <v>0</v>
      </c>
      <c r="S1112" t="n">
        <v>0</v>
      </c>
      <c r="T1112" t="n">
        <v>0</v>
      </c>
      <c r="U1112" t="n">
        <v>0</v>
      </c>
      <c r="V1112" s="2" t="inlineStr"/>
    </row>
    <row r="1113" ht="15" customHeight="1">
      <c r="A1113" t="inlineStr">
        <is>
          <t>A 23707-2025</t>
        </is>
      </c>
      <c r="B1113" t="inlineStr">
        <is>
          <t>avverkningsanmälan</t>
        </is>
      </c>
      <c r="C1113" t="inlineStr">
        <is>
          <t>Föryngringsavverkning</t>
        </is>
      </c>
      <c r="D1113" s="1" t="n">
        <v>45793</v>
      </c>
      <c r="E1113" s="1" t="n">
        <v>46313</v>
      </c>
      <c r="F1113" t="inlineStr">
        <is>
          <t>VÄRMLANDS LÄN</t>
        </is>
      </c>
      <c r="G1113" t="inlineStr">
        <is>
          <t>SUNNE</t>
        </is>
      </c>
      <c r="I1113" t="n">
        <v>5.3</v>
      </c>
      <c r="J1113" t="n">
        <v>0</v>
      </c>
      <c r="K1113" t="n">
        <v>0</v>
      </c>
      <c r="L1113" t="n">
        <v>0</v>
      </c>
      <c r="M1113" t="n">
        <v>0</v>
      </c>
      <c r="N1113" t="n">
        <v>0</v>
      </c>
      <c r="O1113" t="n">
        <v>0</v>
      </c>
      <c r="P1113" t="n">
        <v>0</v>
      </c>
      <c r="Q1113" t="n">
        <v>0</v>
      </c>
      <c r="R1113" t="n">
        <v>0</v>
      </c>
      <c r="S1113" t="n">
        <v>0</v>
      </c>
      <c r="T1113" t="n">
        <v>0</v>
      </c>
      <c r="U1113" t="n">
        <v>0</v>
      </c>
      <c r="V1113" s="2" t="inlineStr"/>
    </row>
    <row r="1114" ht="15" customHeight="1">
      <c r="A1114" t="inlineStr">
        <is>
          <t>A 42041-2026</t>
        </is>
      </c>
      <c r="B1114" t="inlineStr">
        <is>
          <t>avverkningsanmälan</t>
        </is>
      </c>
      <c r="C1114" t="inlineStr">
        <is>
          <t>Föryngringsavverkning</t>
        </is>
      </c>
      <c r="D1114" s="1" t="n">
        <v>46303</v>
      </c>
      <c r="E1114" s="1" t="n">
        <v>46313</v>
      </c>
      <c r="F1114" t="inlineStr">
        <is>
          <t>VÄRMLANDS LÄN</t>
        </is>
      </c>
      <c r="G1114" t="inlineStr">
        <is>
          <t>SUNNE</t>
        </is>
      </c>
      <c r="I1114" t="n">
        <v>1</v>
      </c>
      <c r="J1114" t="n">
        <v>0</v>
      </c>
      <c r="K1114" t="n">
        <v>0</v>
      </c>
      <c r="L1114" t="n">
        <v>0</v>
      </c>
      <c r="M1114" t="n">
        <v>0</v>
      </c>
      <c r="N1114" t="n">
        <v>0</v>
      </c>
      <c r="O1114" t="n">
        <v>0</v>
      </c>
      <c r="P1114" t="n">
        <v>0</v>
      </c>
      <c r="Q1114" t="n">
        <v>0</v>
      </c>
      <c r="R1114" t="n">
        <v>0</v>
      </c>
      <c r="S1114" t="n">
        <v>0</v>
      </c>
      <c r="T1114" t="n">
        <v>0</v>
      </c>
      <c r="U1114" t="n">
        <v>0</v>
      </c>
      <c r="V1114" s="2" t="inlineStr"/>
    </row>
    <row r="1115" ht="15" customHeight="1">
      <c r="A1115" t="inlineStr">
        <is>
          <t>A 41327-2026</t>
        </is>
      </c>
      <c r="B1115" t="inlineStr">
        <is>
          <t>avverkningsanmälan</t>
        </is>
      </c>
      <c r="C1115" t="inlineStr">
        <is>
          <t>Föryngringsavverkning</t>
        </is>
      </c>
      <c r="D1115" s="1" t="n">
        <v>46301</v>
      </c>
      <c r="E1115" s="1" t="n">
        <v>46313</v>
      </c>
      <c r="F1115" t="inlineStr">
        <is>
          <t>VÄRMLANDS LÄN</t>
        </is>
      </c>
      <c r="G1115" t="inlineStr">
        <is>
          <t>SUNNE</t>
        </is>
      </c>
      <c r="H1115" t="inlineStr">
        <is>
          <t>Kommuner</t>
        </is>
      </c>
      <c r="I1115" t="n">
        <v>2.7</v>
      </c>
      <c r="J1115" t="n">
        <v>0</v>
      </c>
      <c r="K1115" t="n">
        <v>0</v>
      </c>
      <c r="L1115" t="n">
        <v>0</v>
      </c>
      <c r="M1115" t="n">
        <v>0</v>
      </c>
      <c r="N1115" t="n">
        <v>0</v>
      </c>
      <c r="O1115" t="n">
        <v>0</v>
      </c>
      <c r="P1115" t="n">
        <v>0</v>
      </c>
      <c r="Q1115" t="n">
        <v>0</v>
      </c>
      <c r="R1115" t="n">
        <v>0</v>
      </c>
      <c r="S1115" t="n">
        <v>0</v>
      </c>
      <c r="T1115" t="n">
        <v>0</v>
      </c>
      <c r="U1115" t="n">
        <v>0</v>
      </c>
      <c r="V1115" s="2" t="inlineStr"/>
    </row>
    <row r="1116" ht="15" customHeight="1">
      <c r="A1116" t="inlineStr">
        <is>
          <t>A 24279-2025</t>
        </is>
      </c>
      <c r="B1116" t="inlineStr">
        <is>
          <t>avverkningsanmälan</t>
        </is>
      </c>
      <c r="C1116" t="inlineStr">
        <is>
          <t>Föryngringsavverkning</t>
        </is>
      </c>
      <c r="D1116" s="1" t="n">
        <v>45796</v>
      </c>
      <c r="E1116" s="1" t="n">
        <v>46313</v>
      </c>
      <c r="F1116" t="inlineStr">
        <is>
          <t>VÄRMLANDS LÄN</t>
        </is>
      </c>
      <c r="G1116" t="inlineStr">
        <is>
          <t>SUNNE</t>
        </is>
      </c>
      <c r="I1116" t="n">
        <v>0.5</v>
      </c>
      <c r="J1116" t="n">
        <v>0</v>
      </c>
      <c r="K1116" t="n">
        <v>0</v>
      </c>
      <c r="L1116" t="n">
        <v>0</v>
      </c>
      <c r="M1116" t="n">
        <v>0</v>
      </c>
      <c r="N1116" t="n">
        <v>0</v>
      </c>
      <c r="O1116" t="n">
        <v>0</v>
      </c>
      <c r="P1116" t="n">
        <v>0</v>
      </c>
      <c r="Q1116" t="n">
        <v>0</v>
      </c>
      <c r="R1116" t="n">
        <v>0</v>
      </c>
      <c r="S1116" t="n">
        <v>0</v>
      </c>
      <c r="T1116" t="n">
        <v>0</v>
      </c>
      <c r="U1116" t="n">
        <v>0</v>
      </c>
      <c r="V1116" s="2" t="inlineStr"/>
    </row>
    <row r="1117" ht="15" customHeight="1">
      <c r="A1117" t="inlineStr">
        <is>
          <t>A 42222-2026</t>
        </is>
      </c>
      <c r="B1117" t="inlineStr">
        <is>
          <t>avverkningsanmälan</t>
        </is>
      </c>
      <c r="C1117" t="inlineStr">
        <is>
          <t>Föryngringsavverkning</t>
        </is>
      </c>
      <c r="D1117" s="1" t="n">
        <v>46306</v>
      </c>
      <c r="E1117" s="1" t="n">
        <v>46313</v>
      </c>
      <c r="F1117" t="inlineStr">
        <is>
          <t>VÄRMLANDS LÄN</t>
        </is>
      </c>
      <c r="G1117" t="inlineStr">
        <is>
          <t>SUNNE</t>
        </is>
      </c>
      <c r="I1117" t="n">
        <v>1.8</v>
      </c>
      <c r="J1117" t="n">
        <v>0</v>
      </c>
      <c r="K1117" t="n">
        <v>0</v>
      </c>
      <c r="L1117" t="n">
        <v>0</v>
      </c>
      <c r="M1117" t="n">
        <v>0</v>
      </c>
      <c r="N1117" t="n">
        <v>0</v>
      </c>
      <c r="O1117" t="n">
        <v>0</v>
      </c>
      <c r="P1117" t="n">
        <v>0</v>
      </c>
      <c r="Q1117" t="n">
        <v>0</v>
      </c>
      <c r="R1117" t="n">
        <v>0</v>
      </c>
      <c r="S1117" t="n">
        <v>0</v>
      </c>
      <c r="T1117" t="n">
        <v>0</v>
      </c>
      <c r="U1117" t="n">
        <v>0</v>
      </c>
      <c r="V1117" s="2" t="inlineStr"/>
    </row>
    <row r="1118" ht="15" customHeight="1">
      <c r="A1118" t="inlineStr">
        <is>
          <t>A 40061-2024</t>
        </is>
      </c>
      <c r="B1118" t="inlineStr">
        <is>
          <t>avverkningsanmälan</t>
        </is>
      </c>
      <c r="C1118" t="inlineStr">
        <is>
          <t>Föryngringsavverkning</t>
        </is>
      </c>
      <c r="D1118" s="1" t="n">
        <v>45553</v>
      </c>
      <c r="E1118" s="1" t="n">
        <v>46313</v>
      </c>
      <c r="F1118" t="inlineStr">
        <is>
          <t>VÄRMLANDS LÄN</t>
        </is>
      </c>
      <c r="G1118" t="inlineStr">
        <is>
          <t>SUNNE</t>
        </is>
      </c>
      <c r="I1118" t="n">
        <v>2.1</v>
      </c>
      <c r="J1118" t="n">
        <v>0</v>
      </c>
      <c r="K1118" t="n">
        <v>0</v>
      </c>
      <c r="L1118" t="n">
        <v>0</v>
      </c>
      <c r="M1118" t="n">
        <v>0</v>
      </c>
      <c r="N1118" t="n">
        <v>0</v>
      </c>
      <c r="O1118" t="n">
        <v>0</v>
      </c>
      <c r="P1118" t="n">
        <v>0</v>
      </c>
      <c r="Q1118" t="n">
        <v>0</v>
      </c>
      <c r="R1118" t="n">
        <v>0</v>
      </c>
      <c r="S1118" t="n">
        <v>0</v>
      </c>
      <c r="T1118" t="n">
        <v>0</v>
      </c>
      <c r="U1118" t="n">
        <v>0</v>
      </c>
      <c r="V1118" s="2" t="inlineStr"/>
    </row>
    <row r="1119" ht="15" customHeight="1">
      <c r="A1119" t="inlineStr">
        <is>
          <t>A 42143-2026</t>
        </is>
      </c>
      <c r="B1119" t="inlineStr">
        <is>
          <t>avverkningsanmälan</t>
        </is>
      </c>
      <c r="C1119" t="inlineStr">
        <is>
          <t>Föryngringsavverkning</t>
        </is>
      </c>
      <c r="D1119" s="1" t="n">
        <v>46304</v>
      </c>
      <c r="E1119" s="1" t="n">
        <v>46313</v>
      </c>
      <c r="F1119" t="inlineStr">
        <is>
          <t>VÄRMLANDS LÄN</t>
        </is>
      </c>
      <c r="G1119" t="inlineStr">
        <is>
          <t>SUNNE</t>
        </is>
      </c>
      <c r="I1119" t="n">
        <v>1.3</v>
      </c>
      <c r="J1119" t="n">
        <v>0</v>
      </c>
      <c r="K1119" t="n">
        <v>0</v>
      </c>
      <c r="L1119" t="n">
        <v>0</v>
      </c>
      <c r="M1119" t="n">
        <v>0</v>
      </c>
      <c r="N1119" t="n">
        <v>0</v>
      </c>
      <c r="O1119" t="n">
        <v>0</v>
      </c>
      <c r="P1119" t="n">
        <v>0</v>
      </c>
      <c r="Q1119" t="n">
        <v>0</v>
      </c>
      <c r="R1119" t="n">
        <v>0</v>
      </c>
      <c r="S1119" t="n">
        <v>0</v>
      </c>
      <c r="T1119" t="n">
        <v>0</v>
      </c>
      <c r="U1119" t="n">
        <v>0</v>
      </c>
      <c r="V1119" s="2" t="inlineStr"/>
    </row>
    <row r="1120" ht="15" customHeight="1">
      <c r="A1120" t="inlineStr">
        <is>
          <t>A 24878-2025</t>
        </is>
      </c>
      <c r="B1120" t="inlineStr">
        <is>
          <t>avverkningsanmälan</t>
        </is>
      </c>
      <c r="C1120" t="inlineStr">
        <is>
          <t>Föryngringsavverkning</t>
        </is>
      </c>
      <c r="D1120" s="1" t="n">
        <v>45799</v>
      </c>
      <c r="E1120" s="1" t="n">
        <v>46313</v>
      </c>
      <c r="F1120" t="inlineStr">
        <is>
          <t>VÄRMLANDS LÄN</t>
        </is>
      </c>
      <c r="G1120" t="inlineStr">
        <is>
          <t>SUNNE</t>
        </is>
      </c>
      <c r="I1120" t="n">
        <v>1.6</v>
      </c>
      <c r="J1120" t="n">
        <v>0</v>
      </c>
      <c r="K1120" t="n">
        <v>0</v>
      </c>
      <c r="L1120" t="n">
        <v>0</v>
      </c>
      <c r="M1120" t="n">
        <v>0</v>
      </c>
      <c r="N1120" t="n">
        <v>0</v>
      </c>
      <c r="O1120" t="n">
        <v>0</v>
      </c>
      <c r="P1120" t="n">
        <v>0</v>
      </c>
      <c r="Q1120" t="n">
        <v>0</v>
      </c>
      <c r="R1120" t="n">
        <v>0</v>
      </c>
      <c r="S1120" t="n">
        <v>0</v>
      </c>
      <c r="T1120" t="n">
        <v>0</v>
      </c>
      <c r="U1120" t="n">
        <v>0</v>
      </c>
      <c r="V1120" s="2" t="inlineStr"/>
    </row>
    <row r="1121" ht="15" customHeight="1">
      <c r="A1121" t="inlineStr">
        <is>
          <t>A 42507-2026</t>
        </is>
      </c>
      <c r="B1121" t="inlineStr">
        <is>
          <t>avverkningsanmälan</t>
        </is>
      </c>
      <c r="C1121" t="inlineStr">
        <is>
          <t>Föryngringsavverkning</t>
        </is>
      </c>
      <c r="D1121" s="1" t="n">
        <v>46308</v>
      </c>
      <c r="E1121" s="1" t="n">
        <v>46313</v>
      </c>
      <c r="F1121" t="inlineStr">
        <is>
          <t>VÄRMLANDS LÄN</t>
        </is>
      </c>
      <c r="G1121" t="inlineStr">
        <is>
          <t>SUNNE</t>
        </is>
      </c>
      <c r="I1121" t="n">
        <v>2.5</v>
      </c>
      <c r="J1121" t="n">
        <v>0</v>
      </c>
      <c r="K1121" t="n">
        <v>0</v>
      </c>
      <c r="L1121" t="n">
        <v>0</v>
      </c>
      <c r="M1121" t="n">
        <v>0</v>
      </c>
      <c r="N1121" t="n">
        <v>0</v>
      </c>
      <c r="O1121" t="n">
        <v>0</v>
      </c>
      <c r="P1121" t="n">
        <v>0</v>
      </c>
      <c r="Q1121" t="n">
        <v>0</v>
      </c>
      <c r="R1121" t="n">
        <v>0</v>
      </c>
      <c r="S1121" t="n">
        <v>0</v>
      </c>
      <c r="T1121" t="n">
        <v>0</v>
      </c>
      <c r="U1121" t="n">
        <v>0</v>
      </c>
      <c r="V1121" s="2" t="inlineStr"/>
    </row>
    <row r="1122" ht="15" customHeight="1">
      <c r="A1122" t="inlineStr">
        <is>
          <t>A 42438-2026</t>
        </is>
      </c>
      <c r="B1122" t="inlineStr">
        <is>
          <t>avverkningsanmälan</t>
        </is>
      </c>
      <c r="C1122" t="inlineStr">
        <is>
          <t>Föryngringsavverkning</t>
        </is>
      </c>
      <c r="D1122" s="1" t="n">
        <v>46308</v>
      </c>
      <c r="E1122" s="1" t="n">
        <v>46313</v>
      </c>
      <c r="F1122" t="inlineStr">
        <is>
          <t>VÄRMLANDS LÄN</t>
        </is>
      </c>
      <c r="G1122" t="inlineStr">
        <is>
          <t>SUNNE</t>
        </is>
      </c>
      <c r="H1122" t="inlineStr">
        <is>
          <t>Kommuner</t>
        </is>
      </c>
      <c r="I1122" t="n">
        <v>2.4</v>
      </c>
      <c r="J1122" t="n">
        <v>0</v>
      </c>
      <c r="K1122" t="n">
        <v>0</v>
      </c>
      <c r="L1122" t="n">
        <v>0</v>
      </c>
      <c r="M1122" t="n">
        <v>0</v>
      </c>
      <c r="N1122" t="n">
        <v>0</v>
      </c>
      <c r="O1122" t="n">
        <v>0</v>
      </c>
      <c r="P1122" t="n">
        <v>0</v>
      </c>
      <c r="Q1122" t="n">
        <v>0</v>
      </c>
      <c r="R1122" t="n">
        <v>0</v>
      </c>
      <c r="S1122" t="n">
        <v>0</v>
      </c>
      <c r="T1122" t="n">
        <v>0</v>
      </c>
      <c r="U1122" t="n">
        <v>0</v>
      </c>
      <c r="V1122" s="2" t="inlineStr"/>
    </row>
    <row r="1123" ht="15" customHeight="1">
      <c r="A1123" t="inlineStr">
        <is>
          <t>A 35777-2026</t>
        </is>
      </c>
      <c r="B1123" t="inlineStr">
        <is>
          <t>avverkningsanmälan</t>
        </is>
      </c>
      <c r="C1123" t="inlineStr">
        <is>
          <t>Föryngringsavverkning</t>
        </is>
      </c>
      <c r="D1123" s="1" t="n">
        <v>46265</v>
      </c>
      <c r="E1123" s="1" t="n">
        <v>46313</v>
      </c>
      <c r="F1123" t="inlineStr">
        <is>
          <t>VÄRMLANDS LÄN</t>
        </is>
      </c>
      <c r="G1123" t="inlineStr">
        <is>
          <t>SUNNE</t>
        </is>
      </c>
      <c r="I1123" t="n">
        <v>2.3</v>
      </c>
      <c r="J1123" t="n">
        <v>0</v>
      </c>
      <c r="K1123" t="n">
        <v>0</v>
      </c>
      <c r="L1123" t="n">
        <v>0</v>
      </c>
      <c r="M1123" t="n">
        <v>0</v>
      </c>
      <c r="N1123" t="n">
        <v>0</v>
      </c>
      <c r="O1123" t="n">
        <v>0</v>
      </c>
      <c r="P1123" t="n">
        <v>0</v>
      </c>
      <c r="Q1123" t="n">
        <v>0</v>
      </c>
      <c r="R1123" t="n">
        <v>0</v>
      </c>
      <c r="S1123" t="n">
        <v>0</v>
      </c>
      <c r="T1123" t="n">
        <v>0</v>
      </c>
      <c r="U1123" t="n">
        <v>0</v>
      </c>
      <c r="V1123" s="2" t="inlineStr"/>
    </row>
    <row r="1124" ht="15" customHeight="1">
      <c r="A1124" t="inlineStr">
        <is>
          <t>A 42793-2026</t>
        </is>
      </c>
      <c r="B1124" t="inlineStr">
        <is>
          <t>avverkningsanmälan</t>
        </is>
      </c>
      <c r="C1124" t="inlineStr">
        <is>
          <t>Föryngringsavverkning</t>
        </is>
      </c>
      <c r="D1124" s="1" t="n">
        <v>46309</v>
      </c>
      <c r="E1124" s="1" t="n">
        <v>46313</v>
      </c>
      <c r="F1124" t="inlineStr">
        <is>
          <t>VÄRMLANDS LÄN</t>
        </is>
      </c>
      <c r="G1124" t="inlineStr">
        <is>
          <t>SUNNE</t>
        </is>
      </c>
      <c r="I1124" t="n">
        <v>4.3</v>
      </c>
      <c r="J1124" t="n">
        <v>0</v>
      </c>
      <c r="K1124" t="n">
        <v>0</v>
      </c>
      <c r="L1124" t="n">
        <v>0</v>
      </c>
      <c r="M1124" t="n">
        <v>0</v>
      </c>
      <c r="N1124" t="n">
        <v>0</v>
      </c>
      <c r="O1124" t="n">
        <v>0</v>
      </c>
      <c r="P1124" t="n">
        <v>0</v>
      </c>
      <c r="Q1124" t="n">
        <v>0</v>
      </c>
      <c r="R1124" t="n">
        <v>0</v>
      </c>
      <c r="S1124" t="n">
        <v>0</v>
      </c>
      <c r="T1124" t="n">
        <v>0</v>
      </c>
      <c r="U1124" t="n">
        <v>0</v>
      </c>
      <c r="V1124" s="2" t="inlineStr"/>
    </row>
    <row r="1125" ht="15" customHeight="1">
      <c r="A1125" t="inlineStr">
        <is>
          <t>A 26121-2025</t>
        </is>
      </c>
      <c r="B1125" t="inlineStr">
        <is>
          <t>avverkningsanmälan</t>
        </is>
      </c>
      <c r="C1125" t="inlineStr">
        <is>
          <t>Föryngringsavverkning</t>
        </is>
      </c>
      <c r="D1125" s="1" t="n">
        <v>45805</v>
      </c>
      <c r="E1125" s="1" t="n">
        <v>46313</v>
      </c>
      <c r="F1125" t="inlineStr">
        <is>
          <t>VÄRMLANDS LÄN</t>
        </is>
      </c>
      <c r="G1125" t="inlineStr">
        <is>
          <t>SUNNE</t>
        </is>
      </c>
      <c r="I1125" t="n">
        <v>1</v>
      </c>
      <c r="J1125" t="n">
        <v>0</v>
      </c>
      <c r="K1125" t="n">
        <v>0</v>
      </c>
      <c r="L1125" t="n">
        <v>0</v>
      </c>
      <c r="M1125" t="n">
        <v>0</v>
      </c>
      <c r="N1125" t="n">
        <v>0</v>
      </c>
      <c r="O1125" t="n">
        <v>0</v>
      </c>
      <c r="P1125" t="n">
        <v>0</v>
      </c>
      <c r="Q1125" t="n">
        <v>0</v>
      </c>
      <c r="R1125" t="n">
        <v>0</v>
      </c>
      <c r="S1125" t="n">
        <v>0</v>
      </c>
      <c r="T1125" t="n">
        <v>0</v>
      </c>
      <c r="U1125" t="n">
        <v>0</v>
      </c>
      <c r="V1125" s="2" t="inlineStr"/>
    </row>
    <row r="1126" ht="15" customHeight="1">
      <c r="A1126" t="inlineStr">
        <is>
          <t>A 26250-2025</t>
        </is>
      </c>
      <c r="B1126" t="inlineStr">
        <is>
          <t>avverkningsanmälan</t>
        </is>
      </c>
      <c r="C1126" t="inlineStr">
        <is>
          <t>Föryngringsavverkning</t>
        </is>
      </c>
      <c r="D1126" s="1" t="n">
        <v>45805</v>
      </c>
      <c r="E1126" s="1" t="n">
        <v>46313</v>
      </c>
      <c r="F1126" t="inlineStr">
        <is>
          <t>VÄRMLANDS LÄN</t>
        </is>
      </c>
      <c r="G1126" t="inlineStr">
        <is>
          <t>SUNNE</t>
        </is>
      </c>
      <c r="I1126" t="n">
        <v>1.5</v>
      </c>
      <c r="J1126" t="n">
        <v>0</v>
      </c>
      <c r="K1126" t="n">
        <v>0</v>
      </c>
      <c r="L1126" t="n">
        <v>0</v>
      </c>
      <c r="M1126" t="n">
        <v>0</v>
      </c>
      <c r="N1126" t="n">
        <v>0</v>
      </c>
      <c r="O1126" t="n">
        <v>0</v>
      </c>
      <c r="P1126" t="n">
        <v>0</v>
      </c>
      <c r="Q1126" t="n">
        <v>0</v>
      </c>
      <c r="R1126" t="n">
        <v>0</v>
      </c>
      <c r="S1126" t="n">
        <v>0</v>
      </c>
      <c r="T1126" t="n">
        <v>0</v>
      </c>
      <c r="U1126" t="n">
        <v>0</v>
      </c>
      <c r="V1126" s="2" t="inlineStr"/>
    </row>
    <row r="1127" ht="15" customHeight="1">
      <c r="A1127" t="inlineStr">
        <is>
          <t>A 26370-2025</t>
        </is>
      </c>
      <c r="B1127" t="inlineStr">
        <is>
          <t>avverkningsanmälan</t>
        </is>
      </c>
      <c r="C1127" t="inlineStr">
        <is>
          <t>Föryngringsavverkning</t>
        </is>
      </c>
      <c r="D1127" s="1" t="n">
        <v>45806</v>
      </c>
      <c r="E1127" s="1" t="n">
        <v>46313</v>
      </c>
      <c r="F1127" t="inlineStr">
        <is>
          <t>VÄRMLANDS LÄN</t>
        </is>
      </c>
      <c r="G1127" t="inlineStr">
        <is>
          <t>SUNNE</t>
        </is>
      </c>
      <c r="I1127" t="n">
        <v>1</v>
      </c>
      <c r="J1127" t="n">
        <v>0</v>
      </c>
      <c r="K1127" t="n">
        <v>0</v>
      </c>
      <c r="L1127" t="n">
        <v>0</v>
      </c>
      <c r="M1127" t="n">
        <v>0</v>
      </c>
      <c r="N1127" t="n">
        <v>0</v>
      </c>
      <c r="O1127" t="n">
        <v>0</v>
      </c>
      <c r="P1127" t="n">
        <v>0</v>
      </c>
      <c r="Q1127" t="n">
        <v>0</v>
      </c>
      <c r="R1127" t="n">
        <v>0</v>
      </c>
      <c r="S1127" t="n">
        <v>0</v>
      </c>
      <c r="T1127" t="n">
        <v>0</v>
      </c>
      <c r="U1127" t="n">
        <v>0</v>
      </c>
      <c r="V1127" s="2" t="inlineStr"/>
    </row>
    <row r="1128" ht="15" customHeight="1">
      <c r="A1128" t="inlineStr">
        <is>
          <t>A 42494-2026</t>
        </is>
      </c>
      <c r="B1128" t="inlineStr">
        <is>
          <t>avverkningsanmälan</t>
        </is>
      </c>
      <c r="C1128" t="inlineStr">
        <is>
          <t>Föryngringsavverkning</t>
        </is>
      </c>
      <c r="D1128" s="1" t="n">
        <v>46308</v>
      </c>
      <c r="E1128" s="1" t="n">
        <v>46313</v>
      </c>
      <c r="F1128" t="inlineStr">
        <is>
          <t>VÄRMLANDS LÄN</t>
        </is>
      </c>
      <c r="G1128" t="inlineStr">
        <is>
          <t>SUNNE</t>
        </is>
      </c>
      <c r="H1128" t="inlineStr">
        <is>
          <t>Bergvik skog väst AB</t>
        </is>
      </c>
      <c r="I1128" t="n">
        <v>10.7</v>
      </c>
      <c r="J1128" t="n">
        <v>0</v>
      </c>
      <c r="K1128" t="n">
        <v>0</v>
      </c>
      <c r="L1128" t="n">
        <v>0</v>
      </c>
      <c r="M1128" t="n">
        <v>0</v>
      </c>
      <c r="N1128" t="n">
        <v>0</v>
      </c>
      <c r="O1128" t="n">
        <v>0</v>
      </c>
      <c r="P1128" t="n">
        <v>0</v>
      </c>
      <c r="Q1128" t="n">
        <v>0</v>
      </c>
      <c r="R1128" t="n">
        <v>0</v>
      </c>
      <c r="S1128" t="n">
        <v>0</v>
      </c>
      <c r="T1128" t="n">
        <v>0</v>
      </c>
      <c r="U1128" t="n">
        <v>0</v>
      </c>
      <c r="V1128" s="2" t="inlineStr"/>
    </row>
    <row r="1129" ht="15" customHeight="1">
      <c r="A1129" t="inlineStr">
        <is>
          <t>A 53759-2024</t>
        </is>
      </c>
      <c r="B1129" t="inlineStr">
        <is>
          <t>avverkningsanmälan</t>
        </is>
      </c>
      <c r="C1129" t="inlineStr">
        <is>
          <t>Föryngringsavverkning</t>
        </is>
      </c>
      <c r="D1129" s="1" t="n">
        <v>45615</v>
      </c>
      <c r="E1129" s="1" t="n">
        <v>46313</v>
      </c>
      <c r="F1129" t="inlineStr">
        <is>
          <t>VÄRMLANDS LÄN</t>
        </is>
      </c>
      <c r="G1129" t="inlineStr">
        <is>
          <t>SUNNE</t>
        </is>
      </c>
      <c r="I1129" t="n">
        <v>4.5</v>
      </c>
      <c r="J1129" t="n">
        <v>0</v>
      </c>
      <c r="K1129" t="n">
        <v>0</v>
      </c>
      <c r="L1129" t="n">
        <v>0</v>
      </c>
      <c r="M1129" t="n">
        <v>0</v>
      </c>
      <c r="N1129" t="n">
        <v>0</v>
      </c>
      <c r="O1129" t="n">
        <v>0</v>
      </c>
      <c r="P1129" t="n">
        <v>0</v>
      </c>
      <c r="Q1129" t="n">
        <v>0</v>
      </c>
      <c r="R1129" t="n">
        <v>0</v>
      </c>
      <c r="S1129" t="n">
        <v>0</v>
      </c>
      <c r="T1129" t="n">
        <v>0</v>
      </c>
      <c r="U1129" t="n">
        <v>0</v>
      </c>
      <c r="V1129" s="2" t="inlineStr"/>
    </row>
    <row r="1130" ht="15" customHeight="1">
      <c r="A1130" t="inlineStr">
        <is>
          <t>A 2173-2025</t>
        </is>
      </c>
      <c r="B1130" t="inlineStr">
        <is>
          <t>avverkningsanmälan</t>
        </is>
      </c>
      <c r="C1130" t="inlineStr">
        <is>
          <t>Föryngringsavverkning</t>
        </is>
      </c>
      <c r="D1130" s="1" t="n">
        <v>45673</v>
      </c>
      <c r="E1130" s="1" t="n">
        <v>46313</v>
      </c>
      <c r="F1130" t="inlineStr">
        <is>
          <t>VÄRMLANDS LÄN</t>
        </is>
      </c>
      <c r="G1130" t="inlineStr">
        <is>
          <t>SUNNE</t>
        </is>
      </c>
      <c r="I1130" t="n">
        <v>3.7</v>
      </c>
      <c r="J1130" t="n">
        <v>0</v>
      </c>
      <c r="K1130" t="n">
        <v>0</v>
      </c>
      <c r="L1130" t="n">
        <v>0</v>
      </c>
      <c r="M1130" t="n">
        <v>0</v>
      </c>
      <c r="N1130" t="n">
        <v>0</v>
      </c>
      <c r="O1130" t="n">
        <v>0</v>
      </c>
      <c r="P1130" t="n">
        <v>0</v>
      </c>
      <c r="Q1130" t="n">
        <v>0</v>
      </c>
      <c r="R1130" t="n">
        <v>0</v>
      </c>
      <c r="S1130" t="n">
        <v>0</v>
      </c>
      <c r="T1130" t="n">
        <v>0</v>
      </c>
      <c r="U1130" t="n">
        <v>0</v>
      </c>
      <c r="V1130" s="2" t="inlineStr"/>
    </row>
    <row r="1131" ht="15" customHeight="1">
      <c r="A1131" t="inlineStr">
        <is>
          <t>A 53535-2024</t>
        </is>
      </c>
      <c r="B1131" t="inlineStr">
        <is>
          <t>avverkningsanmälan</t>
        </is>
      </c>
      <c r="C1131" t="inlineStr">
        <is>
          <t>Föryngringsavverkning</t>
        </is>
      </c>
      <c r="D1131" s="1" t="n">
        <v>45614</v>
      </c>
      <c r="E1131" s="1" t="n">
        <v>46313</v>
      </c>
      <c r="F1131" t="inlineStr">
        <is>
          <t>VÄRMLANDS LÄN</t>
        </is>
      </c>
      <c r="G1131" t="inlineStr">
        <is>
          <t>SUNNE</t>
        </is>
      </c>
      <c r="I1131" t="n">
        <v>3</v>
      </c>
      <c r="J1131" t="n">
        <v>0</v>
      </c>
      <c r="K1131" t="n">
        <v>0</v>
      </c>
      <c r="L1131" t="n">
        <v>0</v>
      </c>
      <c r="M1131" t="n">
        <v>0</v>
      </c>
      <c r="N1131" t="n">
        <v>0</v>
      </c>
      <c r="O1131" t="n">
        <v>0</v>
      </c>
      <c r="P1131" t="n">
        <v>0</v>
      </c>
      <c r="Q1131" t="n">
        <v>0</v>
      </c>
      <c r="R1131" t="n">
        <v>0</v>
      </c>
      <c r="S1131" t="n">
        <v>0</v>
      </c>
      <c r="T1131" t="n">
        <v>0</v>
      </c>
      <c r="U1131" t="n">
        <v>0</v>
      </c>
      <c r="V1131" s="2" t="inlineStr"/>
    </row>
    <row r="1132" ht="15" customHeight="1">
      <c r="A1132" t="inlineStr">
        <is>
          <t>A 47277-2024</t>
        </is>
      </c>
      <c r="B1132" t="inlineStr">
        <is>
          <t>avverkningsanmälan</t>
        </is>
      </c>
      <c r="C1132" t="inlineStr">
        <is>
          <t>Föryngringsavverkning</t>
        </is>
      </c>
      <c r="D1132" s="1" t="n">
        <v>45586</v>
      </c>
      <c r="E1132" s="1" t="n">
        <v>46313</v>
      </c>
      <c r="F1132" t="inlineStr">
        <is>
          <t>VÄRMLANDS LÄN</t>
        </is>
      </c>
      <c r="G1132" t="inlineStr">
        <is>
          <t>SUNNE</t>
        </is>
      </c>
      <c r="I1132" t="n">
        <v>2</v>
      </c>
      <c r="J1132" t="n">
        <v>0</v>
      </c>
      <c r="K1132" t="n">
        <v>0</v>
      </c>
      <c r="L1132" t="n">
        <v>0</v>
      </c>
      <c r="M1132" t="n">
        <v>0</v>
      </c>
      <c r="N1132" t="n">
        <v>0</v>
      </c>
      <c r="O1132" t="n">
        <v>0</v>
      </c>
      <c r="P1132" t="n">
        <v>0</v>
      </c>
      <c r="Q1132" t="n">
        <v>0</v>
      </c>
      <c r="R1132" t="n">
        <v>0</v>
      </c>
      <c r="S1132" t="n">
        <v>0</v>
      </c>
      <c r="T1132" t="n">
        <v>0</v>
      </c>
      <c r="U1132" t="n">
        <v>0</v>
      </c>
      <c r="V1132" s="2" t="inlineStr"/>
    </row>
    <row r="1133" ht="15" customHeight="1">
      <c r="A1133" t="inlineStr">
        <is>
          <t>A 35986-2026</t>
        </is>
      </c>
      <c r="B1133" t="inlineStr">
        <is>
          <t>avverkningsanmälan</t>
        </is>
      </c>
      <c r="C1133" t="inlineStr">
        <is>
          <t>Föryngringsavverkning</t>
        </is>
      </c>
      <c r="D1133" s="1" t="n">
        <v>46266</v>
      </c>
      <c r="E1133" s="1" t="n">
        <v>46313</v>
      </c>
      <c r="F1133" t="inlineStr">
        <is>
          <t>VÄRMLANDS LÄN</t>
        </is>
      </c>
      <c r="G1133" t="inlineStr">
        <is>
          <t>SUNNE</t>
        </is>
      </c>
      <c r="I1133" t="n">
        <v>3.2</v>
      </c>
      <c r="J1133" t="n">
        <v>0</v>
      </c>
      <c r="K1133" t="n">
        <v>0</v>
      </c>
      <c r="L1133" t="n">
        <v>0</v>
      </c>
      <c r="M1133" t="n">
        <v>0</v>
      </c>
      <c r="N1133" t="n">
        <v>0</v>
      </c>
      <c r="O1133" t="n">
        <v>0</v>
      </c>
      <c r="P1133" t="n">
        <v>0</v>
      </c>
      <c r="Q1133" t="n">
        <v>0</v>
      </c>
      <c r="R1133" t="n">
        <v>0</v>
      </c>
      <c r="S1133" t="n">
        <v>0</v>
      </c>
      <c r="T1133" t="n">
        <v>0</v>
      </c>
      <c r="U1133" t="n">
        <v>0</v>
      </c>
      <c r="V1133" s="2" t="inlineStr"/>
    </row>
    <row r="1134" ht="15" customHeight="1">
      <c r="A1134" t="inlineStr">
        <is>
          <t>A 14188-2025</t>
        </is>
      </c>
      <c r="B1134" t="inlineStr">
        <is>
          <t>avverkningsanmälan</t>
        </is>
      </c>
      <c r="C1134" t="inlineStr">
        <is>
          <t>Föryngringsavverkning</t>
        </is>
      </c>
      <c r="D1134" s="1" t="n">
        <v>45740</v>
      </c>
      <c r="E1134" s="1" t="n">
        <v>46313</v>
      </c>
      <c r="F1134" t="inlineStr">
        <is>
          <t>VÄRMLANDS LÄN</t>
        </is>
      </c>
      <c r="G1134" t="inlineStr">
        <is>
          <t>SUNNE</t>
        </is>
      </c>
      <c r="I1134" t="n">
        <v>1.3</v>
      </c>
      <c r="J1134" t="n">
        <v>0</v>
      </c>
      <c r="K1134" t="n">
        <v>0</v>
      </c>
      <c r="L1134" t="n">
        <v>0</v>
      </c>
      <c r="M1134" t="n">
        <v>0</v>
      </c>
      <c r="N1134" t="n">
        <v>0</v>
      </c>
      <c r="O1134" t="n">
        <v>0</v>
      </c>
      <c r="P1134" t="n">
        <v>0</v>
      </c>
      <c r="Q1134" t="n">
        <v>0</v>
      </c>
      <c r="R1134" t="n">
        <v>0</v>
      </c>
      <c r="S1134" t="n">
        <v>0</v>
      </c>
      <c r="T1134" t="n">
        <v>0</v>
      </c>
      <c r="U1134" t="n">
        <v>0</v>
      </c>
      <c r="V1134" s="2" t="inlineStr"/>
    </row>
    <row r="1135" ht="15" customHeight="1">
      <c r="A1135" t="inlineStr">
        <is>
          <t>A 42529-2026</t>
        </is>
      </c>
      <c r="B1135" t="inlineStr">
        <is>
          <t>avverkningsanmälan</t>
        </is>
      </c>
      <c r="C1135" t="inlineStr">
        <is>
          <t>Föryngringsavverkning</t>
        </is>
      </c>
      <c r="D1135" s="1" t="n">
        <v>46308</v>
      </c>
      <c r="E1135" s="1" t="n">
        <v>46313</v>
      </c>
      <c r="F1135" t="inlineStr">
        <is>
          <t>VÄRMLANDS LÄN</t>
        </is>
      </c>
      <c r="G1135" t="inlineStr">
        <is>
          <t>SUNNE</t>
        </is>
      </c>
      <c r="I1135" t="n">
        <v>0.5</v>
      </c>
      <c r="J1135" t="n">
        <v>0</v>
      </c>
      <c r="K1135" t="n">
        <v>0</v>
      </c>
      <c r="L1135" t="n">
        <v>0</v>
      </c>
      <c r="M1135" t="n">
        <v>0</v>
      </c>
      <c r="N1135" t="n">
        <v>0</v>
      </c>
      <c r="O1135" t="n">
        <v>0</v>
      </c>
      <c r="P1135" t="n">
        <v>0</v>
      </c>
      <c r="Q1135" t="n">
        <v>0</v>
      </c>
      <c r="R1135" t="n">
        <v>0</v>
      </c>
      <c r="S1135" t="n">
        <v>0</v>
      </c>
      <c r="T1135" t="n">
        <v>0</v>
      </c>
      <c r="U1135" t="n">
        <v>0</v>
      </c>
      <c r="V1135" s="2" t="inlineStr"/>
    </row>
    <row r="1136" ht="15" customHeight="1">
      <c r="A1136" t="inlineStr">
        <is>
          <t>A 55894-2024</t>
        </is>
      </c>
      <c r="B1136" t="inlineStr">
        <is>
          <t>avverkningsanmälan</t>
        </is>
      </c>
      <c r="C1136" t="inlineStr">
        <is>
          <t>Föryngringsavverkning</t>
        </is>
      </c>
      <c r="D1136" s="1" t="n">
        <v>45623</v>
      </c>
      <c r="E1136" s="1" t="n">
        <v>46313</v>
      </c>
      <c r="F1136" t="inlineStr">
        <is>
          <t>VÄRMLANDS LÄN</t>
        </is>
      </c>
      <c r="G1136" t="inlineStr">
        <is>
          <t>SUNNE</t>
        </is>
      </c>
      <c r="H1136" t="inlineStr">
        <is>
          <t>Övriga Aktiebolag</t>
        </is>
      </c>
      <c r="I1136" t="n">
        <v>5.9</v>
      </c>
      <c r="J1136" t="n">
        <v>0</v>
      </c>
      <c r="K1136" t="n">
        <v>0</v>
      </c>
      <c r="L1136" t="n">
        <v>0</v>
      </c>
      <c r="M1136" t="n">
        <v>0</v>
      </c>
      <c r="N1136" t="n">
        <v>0</v>
      </c>
      <c r="O1136" t="n">
        <v>0</v>
      </c>
      <c r="P1136" t="n">
        <v>0</v>
      </c>
      <c r="Q1136" t="n">
        <v>0</v>
      </c>
      <c r="R1136" t="n">
        <v>0</v>
      </c>
      <c r="S1136" t="n">
        <v>0</v>
      </c>
      <c r="T1136" t="n">
        <v>0</v>
      </c>
      <c r="U1136" t="n">
        <v>0</v>
      </c>
      <c r="V1136" s="2" t="inlineStr"/>
    </row>
    <row r="1137" ht="15" customHeight="1">
      <c r="A1137" t="inlineStr">
        <is>
          <t>A 26875-2025</t>
        </is>
      </c>
      <c r="B1137" t="inlineStr">
        <is>
          <t>avverkningsanmälan</t>
        </is>
      </c>
      <c r="C1137" t="inlineStr">
        <is>
          <t>Föryngringsavverkning</t>
        </is>
      </c>
      <c r="D1137" s="1" t="n">
        <v>45809</v>
      </c>
      <c r="E1137" s="1" t="n">
        <v>46313</v>
      </c>
      <c r="F1137" t="inlineStr">
        <is>
          <t>VÄRMLANDS LÄN</t>
        </is>
      </c>
      <c r="G1137" t="inlineStr">
        <is>
          <t>SUNNE</t>
        </is>
      </c>
      <c r="I1137" t="n">
        <v>8</v>
      </c>
      <c r="J1137" t="n">
        <v>0</v>
      </c>
      <c r="K1137" t="n">
        <v>0</v>
      </c>
      <c r="L1137" t="n">
        <v>0</v>
      </c>
      <c r="M1137" t="n">
        <v>0</v>
      </c>
      <c r="N1137" t="n">
        <v>0</v>
      </c>
      <c r="O1137" t="n">
        <v>0</v>
      </c>
      <c r="P1137" t="n">
        <v>0</v>
      </c>
      <c r="Q1137" t="n">
        <v>0</v>
      </c>
      <c r="R1137" t="n">
        <v>0</v>
      </c>
      <c r="S1137" t="n">
        <v>0</v>
      </c>
      <c r="T1137" t="n">
        <v>0</v>
      </c>
      <c r="U1137" t="n">
        <v>0</v>
      </c>
      <c r="V1137" s="2" t="inlineStr"/>
    </row>
    <row r="1138" ht="15" customHeight="1">
      <c r="A1138" t="inlineStr">
        <is>
          <t>A 35651-2026</t>
        </is>
      </c>
      <c r="B1138" t="inlineStr">
        <is>
          <t>avverkningsanmälan</t>
        </is>
      </c>
      <c r="C1138" t="inlineStr">
        <is>
          <t>Föryngringsavverkning</t>
        </is>
      </c>
      <c r="D1138" s="1" t="n">
        <v>46265</v>
      </c>
      <c r="E1138" s="1" t="n">
        <v>46313</v>
      </c>
      <c r="F1138" t="inlineStr">
        <is>
          <t>VÄRMLANDS LÄN</t>
        </is>
      </c>
      <c r="G1138" t="inlineStr">
        <is>
          <t>SUNNE</t>
        </is>
      </c>
      <c r="H1138" t="inlineStr">
        <is>
          <t>Bergvik skog väst AB</t>
        </is>
      </c>
      <c r="I1138" t="n">
        <v>14.6</v>
      </c>
      <c r="J1138" t="n">
        <v>0</v>
      </c>
      <c r="K1138" t="n">
        <v>0</v>
      </c>
      <c r="L1138" t="n">
        <v>0</v>
      </c>
      <c r="M1138" t="n">
        <v>0</v>
      </c>
      <c r="N1138" t="n">
        <v>0</v>
      </c>
      <c r="O1138" t="n">
        <v>0</v>
      </c>
      <c r="P1138" t="n">
        <v>0</v>
      </c>
      <c r="Q1138" t="n">
        <v>0</v>
      </c>
      <c r="R1138" t="n">
        <v>0</v>
      </c>
      <c r="S1138" t="n">
        <v>0</v>
      </c>
      <c r="T1138" t="n">
        <v>0</v>
      </c>
      <c r="U1138" t="n">
        <v>0</v>
      </c>
      <c r="V1138" s="2" t="inlineStr"/>
    </row>
    <row r="1139" ht="15" customHeight="1">
      <c r="A1139" t="inlineStr">
        <is>
          <t>A 55401-2024</t>
        </is>
      </c>
      <c r="B1139" t="inlineStr">
        <is>
          <t>avverkningsanmälan</t>
        </is>
      </c>
      <c r="C1139" t="inlineStr">
        <is>
          <t>Föryngringsavverkning</t>
        </is>
      </c>
      <c r="D1139" s="1" t="n">
        <v>45622</v>
      </c>
      <c r="E1139" s="1" t="n">
        <v>46313</v>
      </c>
      <c r="F1139" t="inlineStr">
        <is>
          <t>VÄRMLANDS LÄN</t>
        </is>
      </c>
      <c r="G1139" t="inlineStr">
        <is>
          <t>SUNNE</t>
        </is>
      </c>
      <c r="I1139" t="n">
        <v>1.5</v>
      </c>
      <c r="J1139" t="n">
        <v>0</v>
      </c>
      <c r="K1139" t="n">
        <v>0</v>
      </c>
      <c r="L1139" t="n">
        <v>0</v>
      </c>
      <c r="M1139" t="n">
        <v>0</v>
      </c>
      <c r="N1139" t="n">
        <v>0</v>
      </c>
      <c r="O1139" t="n">
        <v>0</v>
      </c>
      <c r="P1139" t="n">
        <v>0</v>
      </c>
      <c r="Q1139" t="n">
        <v>0</v>
      </c>
      <c r="R1139" t="n">
        <v>0</v>
      </c>
      <c r="S1139" t="n">
        <v>0</v>
      </c>
      <c r="T1139" t="n">
        <v>0</v>
      </c>
      <c r="U1139" t="n">
        <v>0</v>
      </c>
      <c r="V1139" s="2" t="inlineStr"/>
    </row>
    <row r="1140" ht="15" customHeight="1">
      <c r="A1140" t="inlineStr">
        <is>
          <t>A 26876-2025</t>
        </is>
      </c>
      <c r="B1140" t="inlineStr">
        <is>
          <t>avverkningsanmälan</t>
        </is>
      </c>
      <c r="C1140" t="inlineStr">
        <is>
          <t>Föryngringsavverkning</t>
        </is>
      </c>
      <c r="D1140" s="1" t="n">
        <v>45809</v>
      </c>
      <c r="E1140" s="1" t="n">
        <v>46313</v>
      </c>
      <c r="F1140" t="inlineStr">
        <is>
          <t>VÄRMLANDS LÄN</t>
        </is>
      </c>
      <c r="G1140" t="inlineStr">
        <is>
          <t>SUNNE</t>
        </is>
      </c>
      <c r="I1140" t="n">
        <v>2.9</v>
      </c>
      <c r="J1140" t="n">
        <v>0</v>
      </c>
      <c r="K1140" t="n">
        <v>0</v>
      </c>
      <c r="L1140" t="n">
        <v>0</v>
      </c>
      <c r="M1140" t="n">
        <v>0</v>
      </c>
      <c r="N1140" t="n">
        <v>0</v>
      </c>
      <c r="O1140" t="n">
        <v>0</v>
      </c>
      <c r="P1140" t="n">
        <v>0</v>
      </c>
      <c r="Q1140" t="n">
        <v>0</v>
      </c>
      <c r="R1140" t="n">
        <v>0</v>
      </c>
      <c r="S1140" t="n">
        <v>0</v>
      </c>
      <c r="T1140" t="n">
        <v>0</v>
      </c>
      <c r="U1140" t="n">
        <v>0</v>
      </c>
      <c r="V1140" s="2" t="inlineStr"/>
    </row>
    <row r="1141" ht="15" customHeight="1">
      <c r="A1141" t="inlineStr">
        <is>
          <t>A 31221-2024</t>
        </is>
      </c>
      <c r="B1141" t="inlineStr">
        <is>
          <t>avverkningsanmälan</t>
        </is>
      </c>
      <c r="C1141" t="inlineStr">
        <is>
          <t>Föryngringsavverkning</t>
        </is>
      </c>
      <c r="D1141" s="1" t="n">
        <v>45503</v>
      </c>
      <c r="E1141" s="1" t="n">
        <v>46313</v>
      </c>
      <c r="F1141" t="inlineStr">
        <is>
          <t>VÄRMLANDS LÄN</t>
        </is>
      </c>
      <c r="G1141" t="inlineStr">
        <is>
          <t>SUNNE</t>
        </is>
      </c>
      <c r="I1141" t="n">
        <v>2.1</v>
      </c>
      <c r="J1141" t="n">
        <v>0</v>
      </c>
      <c r="K1141" t="n">
        <v>0</v>
      </c>
      <c r="L1141" t="n">
        <v>0</v>
      </c>
      <c r="M1141" t="n">
        <v>0</v>
      </c>
      <c r="N1141" t="n">
        <v>0</v>
      </c>
      <c r="O1141" t="n">
        <v>0</v>
      </c>
      <c r="P1141" t="n">
        <v>0</v>
      </c>
      <c r="Q1141" t="n">
        <v>0</v>
      </c>
      <c r="R1141" t="n">
        <v>0</v>
      </c>
      <c r="S1141" t="n">
        <v>0</v>
      </c>
      <c r="T1141" t="n">
        <v>0</v>
      </c>
      <c r="U1141" t="n">
        <v>0</v>
      </c>
      <c r="V1141" s="2" t="inlineStr"/>
    </row>
    <row r="1142" ht="15" customHeight="1">
      <c r="A1142" t="inlineStr">
        <is>
          <t>A 26884-2025</t>
        </is>
      </c>
      <c r="B1142" t="inlineStr">
        <is>
          <t>avverkningsanmälan</t>
        </is>
      </c>
      <c r="C1142" t="inlineStr">
        <is>
          <t>Föryngringsavverkning</t>
        </is>
      </c>
      <c r="D1142" s="1" t="n">
        <v>45810</v>
      </c>
      <c r="E1142" s="1" t="n">
        <v>46313</v>
      </c>
      <c r="F1142" t="inlineStr">
        <is>
          <t>VÄRMLANDS LÄN</t>
        </is>
      </c>
      <c r="G1142" t="inlineStr">
        <is>
          <t>SUNNE</t>
        </is>
      </c>
      <c r="I1142" t="n">
        <v>1.9</v>
      </c>
      <c r="J1142" t="n">
        <v>0</v>
      </c>
      <c r="K1142" t="n">
        <v>0</v>
      </c>
      <c r="L1142" t="n">
        <v>0</v>
      </c>
      <c r="M1142" t="n">
        <v>0</v>
      </c>
      <c r="N1142" t="n">
        <v>0</v>
      </c>
      <c r="O1142" t="n">
        <v>0</v>
      </c>
      <c r="P1142" t="n">
        <v>0</v>
      </c>
      <c r="Q1142" t="n">
        <v>0</v>
      </c>
      <c r="R1142" t="n">
        <v>0</v>
      </c>
      <c r="S1142" t="n">
        <v>0</v>
      </c>
      <c r="T1142" t="n">
        <v>0</v>
      </c>
      <c r="U1142" t="n">
        <v>0</v>
      </c>
      <c r="V1142" s="2" t="inlineStr"/>
    </row>
    <row r="1143" ht="15" customHeight="1">
      <c r="A1143" t="inlineStr">
        <is>
          <t>A 14119-2024</t>
        </is>
      </c>
      <c r="B1143" t="inlineStr">
        <is>
          <t>avverkningsanmälan</t>
        </is>
      </c>
      <c r="C1143" t="inlineStr">
        <is>
          <t>Föryngringsavverkning</t>
        </is>
      </c>
      <c r="D1143" s="1" t="n">
        <v>45392</v>
      </c>
      <c r="E1143" s="1" t="n">
        <v>46313</v>
      </c>
      <c r="F1143" t="inlineStr">
        <is>
          <t>VÄRMLANDS LÄN</t>
        </is>
      </c>
      <c r="G1143" t="inlineStr">
        <is>
          <t>SUNNE</t>
        </is>
      </c>
      <c r="I1143" t="n">
        <v>2.7</v>
      </c>
      <c r="J1143" t="n">
        <v>0</v>
      </c>
      <c r="K1143" t="n">
        <v>0</v>
      </c>
      <c r="L1143" t="n">
        <v>0</v>
      </c>
      <c r="M1143" t="n">
        <v>0</v>
      </c>
      <c r="N1143" t="n">
        <v>0</v>
      </c>
      <c r="O1143" t="n">
        <v>0</v>
      </c>
      <c r="P1143" t="n">
        <v>0</v>
      </c>
      <c r="Q1143" t="n">
        <v>0</v>
      </c>
      <c r="R1143" t="n">
        <v>0</v>
      </c>
      <c r="S1143" t="n">
        <v>0</v>
      </c>
      <c r="T1143" t="n">
        <v>0</v>
      </c>
      <c r="U1143" t="n">
        <v>0</v>
      </c>
      <c r="V1143" s="2" t="inlineStr"/>
    </row>
    <row r="1144" ht="15" customHeight="1">
      <c r="A1144" t="inlineStr">
        <is>
          <t>A 26877-2025</t>
        </is>
      </c>
      <c r="B1144" t="inlineStr">
        <is>
          <t>avverkningsanmälan</t>
        </is>
      </c>
      <c r="C1144" t="inlineStr">
        <is>
          <t>Föryngringsavverkning</t>
        </is>
      </c>
      <c r="D1144" s="1" t="n">
        <v>45809</v>
      </c>
      <c r="E1144" s="1" t="n">
        <v>46313</v>
      </c>
      <c r="F1144" t="inlineStr">
        <is>
          <t>VÄRMLANDS LÄN</t>
        </is>
      </c>
      <c r="G1144" t="inlineStr">
        <is>
          <t>SUNNE</t>
        </is>
      </c>
      <c r="I1144" t="n">
        <v>4.1</v>
      </c>
      <c r="J1144" t="n">
        <v>0</v>
      </c>
      <c r="K1144" t="n">
        <v>0</v>
      </c>
      <c r="L1144" t="n">
        <v>0</v>
      </c>
      <c r="M1144" t="n">
        <v>0</v>
      </c>
      <c r="N1144" t="n">
        <v>0</v>
      </c>
      <c r="O1144" t="n">
        <v>0</v>
      </c>
      <c r="P1144" t="n">
        <v>0</v>
      </c>
      <c r="Q1144" t="n">
        <v>0</v>
      </c>
      <c r="R1144" t="n">
        <v>0</v>
      </c>
      <c r="S1144" t="n">
        <v>0</v>
      </c>
      <c r="T1144" t="n">
        <v>0</v>
      </c>
      <c r="U1144" t="n">
        <v>0</v>
      </c>
      <c r="V1144" s="2" t="inlineStr"/>
    </row>
    <row r="1145" ht="15" customHeight="1">
      <c r="A1145" t="inlineStr">
        <is>
          <t>A 15710-2024</t>
        </is>
      </c>
      <c r="B1145" t="inlineStr">
        <is>
          <t>avverkningsanmälan</t>
        </is>
      </c>
      <c r="C1145" t="inlineStr">
        <is>
          <t>Föryngringsavverkning</t>
        </is>
      </c>
      <c r="D1145" s="1" t="n">
        <v>45404</v>
      </c>
      <c r="E1145" s="1" t="n">
        <v>46313</v>
      </c>
      <c r="F1145" t="inlineStr">
        <is>
          <t>VÄRMLANDS LÄN</t>
        </is>
      </c>
      <c r="G1145" t="inlineStr">
        <is>
          <t>SUNNE</t>
        </is>
      </c>
      <c r="I1145" t="n">
        <v>14.4</v>
      </c>
      <c r="J1145" t="n">
        <v>0</v>
      </c>
      <c r="K1145" t="n">
        <v>0</v>
      </c>
      <c r="L1145" t="n">
        <v>0</v>
      </c>
      <c r="M1145" t="n">
        <v>0</v>
      </c>
      <c r="N1145" t="n">
        <v>0</v>
      </c>
      <c r="O1145" t="n">
        <v>0</v>
      </c>
      <c r="P1145" t="n">
        <v>0</v>
      </c>
      <c r="Q1145" t="n">
        <v>0</v>
      </c>
      <c r="R1145" t="n">
        <v>0</v>
      </c>
      <c r="S1145" t="n">
        <v>0</v>
      </c>
      <c r="T1145" t="n">
        <v>0</v>
      </c>
      <c r="U1145" t="n">
        <v>0</v>
      </c>
      <c r="V1145" s="2" t="inlineStr"/>
    </row>
    <row r="1146" ht="15" customHeight="1">
      <c r="A1146" t="inlineStr">
        <is>
          <t>A 30218-2024</t>
        </is>
      </c>
      <c r="B1146" t="inlineStr">
        <is>
          <t>avverkningsanmälan</t>
        </is>
      </c>
      <c r="C1146" t="inlineStr">
        <is>
          <t>Avverkning för annat ändamål</t>
        </is>
      </c>
      <c r="D1146" s="1" t="n">
        <v>45490</v>
      </c>
      <c r="E1146" s="1" t="n">
        <v>46313</v>
      </c>
      <c r="F1146" t="inlineStr">
        <is>
          <t>VÄRMLANDS LÄN</t>
        </is>
      </c>
      <c r="G1146" t="inlineStr">
        <is>
          <t>SUNNE</t>
        </is>
      </c>
      <c r="H1146" t="inlineStr">
        <is>
          <t>Bergvik skog väst AB</t>
        </is>
      </c>
      <c r="I1146" t="n">
        <v>1.1</v>
      </c>
      <c r="J1146" t="n">
        <v>0</v>
      </c>
      <c r="K1146" t="n">
        <v>0</v>
      </c>
      <c r="L1146" t="n">
        <v>0</v>
      </c>
      <c r="M1146" t="n">
        <v>0</v>
      </c>
      <c r="N1146" t="n">
        <v>0</v>
      </c>
      <c r="O1146" t="n">
        <v>0</v>
      </c>
      <c r="P1146" t="n">
        <v>0</v>
      </c>
      <c r="Q1146" t="n">
        <v>0</v>
      </c>
      <c r="R1146" t="n">
        <v>0</v>
      </c>
      <c r="S1146" t="n">
        <v>0</v>
      </c>
      <c r="T1146" t="n">
        <v>0</v>
      </c>
      <c r="U1146" t="n">
        <v>0</v>
      </c>
      <c r="V1146" s="2" t="inlineStr"/>
    </row>
    <row r="1147" ht="15" customHeight="1">
      <c r="A1147" t="inlineStr">
        <is>
          <t>A 27239-2025</t>
        </is>
      </c>
      <c r="B1147" t="inlineStr">
        <is>
          <t>avverkningsanmälan</t>
        </is>
      </c>
      <c r="C1147" t="inlineStr">
        <is>
          <t>Föryngringsavverkning</t>
        </is>
      </c>
      <c r="D1147" s="1" t="n">
        <v>45812</v>
      </c>
      <c r="E1147" s="1" t="n">
        <v>46313</v>
      </c>
      <c r="F1147" t="inlineStr">
        <is>
          <t>VÄRMLANDS LÄN</t>
        </is>
      </c>
      <c r="G1147" t="inlineStr">
        <is>
          <t>SUNNE</t>
        </is>
      </c>
      <c r="H1147" t="inlineStr">
        <is>
          <t>Bergvik skog väst AB</t>
        </is>
      </c>
      <c r="I1147" t="n">
        <v>3.1</v>
      </c>
      <c r="J1147" t="n">
        <v>0</v>
      </c>
      <c r="K1147" t="n">
        <v>0</v>
      </c>
      <c r="L1147" t="n">
        <v>0</v>
      </c>
      <c r="M1147" t="n">
        <v>0</v>
      </c>
      <c r="N1147" t="n">
        <v>0</v>
      </c>
      <c r="O1147" t="n">
        <v>0</v>
      </c>
      <c r="P1147" t="n">
        <v>0</v>
      </c>
      <c r="Q1147" t="n">
        <v>0</v>
      </c>
      <c r="R1147" t="n">
        <v>0</v>
      </c>
      <c r="S1147" t="n">
        <v>0</v>
      </c>
      <c r="T1147" t="n">
        <v>0</v>
      </c>
      <c r="U1147" t="n">
        <v>0</v>
      </c>
      <c r="V1147" s="2" t="inlineStr"/>
    </row>
    <row r="1148" ht="15" customHeight="1">
      <c r="A1148" t="inlineStr">
        <is>
          <t>A 42973-2026</t>
        </is>
      </c>
      <c r="B1148" t="inlineStr">
        <is>
          <t>avverkningsanmälan</t>
        </is>
      </c>
      <c r="C1148" t="inlineStr">
        <is>
          <t>Föryngringsavverkning</t>
        </is>
      </c>
      <c r="D1148" s="1" t="n">
        <v>46310</v>
      </c>
      <c r="E1148" s="1" t="n">
        <v>46313</v>
      </c>
      <c r="F1148" t="inlineStr">
        <is>
          <t>VÄRMLANDS LÄN</t>
        </is>
      </c>
      <c r="G1148" t="inlineStr">
        <is>
          <t>SUNNE</t>
        </is>
      </c>
      <c r="I1148" t="n">
        <v>1.2</v>
      </c>
      <c r="J1148" t="n">
        <v>0</v>
      </c>
      <c r="K1148" t="n">
        <v>0</v>
      </c>
      <c r="L1148" t="n">
        <v>0</v>
      </c>
      <c r="M1148" t="n">
        <v>0</v>
      </c>
      <c r="N1148" t="n">
        <v>0</v>
      </c>
      <c r="O1148" t="n">
        <v>0</v>
      </c>
      <c r="P1148" t="n">
        <v>0</v>
      </c>
      <c r="Q1148" t="n">
        <v>0</v>
      </c>
      <c r="R1148" t="n">
        <v>0</v>
      </c>
      <c r="S1148" t="n">
        <v>0</v>
      </c>
      <c r="T1148" t="n">
        <v>0</v>
      </c>
      <c r="U1148" t="n">
        <v>0</v>
      </c>
      <c r="V1148" s="2" t="inlineStr"/>
    </row>
    <row r="1149" ht="15" customHeight="1">
      <c r="A1149" t="inlineStr">
        <is>
          <t>A 27302-2025</t>
        </is>
      </c>
      <c r="B1149" t="inlineStr">
        <is>
          <t>avverkningsanmälan</t>
        </is>
      </c>
      <c r="C1149" t="inlineStr">
        <is>
          <t>Föryngringsavverkning</t>
        </is>
      </c>
      <c r="D1149" s="1" t="n">
        <v>45812</v>
      </c>
      <c r="E1149" s="1" t="n">
        <v>46313</v>
      </c>
      <c r="F1149" t="inlineStr">
        <is>
          <t>VÄRMLANDS LÄN</t>
        </is>
      </c>
      <c r="G1149" t="inlineStr">
        <is>
          <t>SUNNE</t>
        </is>
      </c>
      <c r="H1149" t="inlineStr">
        <is>
          <t>Bergvik skog väst AB</t>
        </is>
      </c>
      <c r="I1149" t="n">
        <v>1.2</v>
      </c>
      <c r="J1149" t="n">
        <v>0</v>
      </c>
      <c r="K1149" t="n">
        <v>0</v>
      </c>
      <c r="L1149" t="n">
        <v>0</v>
      </c>
      <c r="M1149" t="n">
        <v>0</v>
      </c>
      <c r="N1149" t="n">
        <v>0</v>
      </c>
      <c r="O1149" t="n">
        <v>0</v>
      </c>
      <c r="P1149" t="n">
        <v>0</v>
      </c>
      <c r="Q1149" t="n">
        <v>0</v>
      </c>
      <c r="R1149" t="n">
        <v>0</v>
      </c>
      <c r="S1149" t="n">
        <v>0</v>
      </c>
      <c r="T1149" t="n">
        <v>0</v>
      </c>
      <c r="U1149" t="n">
        <v>0</v>
      </c>
      <c r="V1149" s="2" t="inlineStr"/>
    </row>
    <row r="1150" ht="15" customHeight="1">
      <c r="A1150" t="inlineStr">
        <is>
          <t>A 3637-2025</t>
        </is>
      </c>
      <c r="B1150" t="inlineStr">
        <is>
          <t>avverkningsanmälan</t>
        </is>
      </c>
      <c r="C1150" t="inlineStr">
        <is>
          <t>Föryngringsavverkning</t>
        </is>
      </c>
      <c r="D1150" s="1" t="n">
        <v>45681</v>
      </c>
      <c r="E1150" s="1" t="n">
        <v>46313</v>
      </c>
      <c r="F1150" t="inlineStr">
        <is>
          <t>VÄRMLANDS LÄN</t>
        </is>
      </c>
      <c r="G1150" t="inlineStr">
        <is>
          <t>SUNNE</t>
        </is>
      </c>
      <c r="I1150" t="n">
        <v>1.5</v>
      </c>
      <c r="J1150" t="n">
        <v>0</v>
      </c>
      <c r="K1150" t="n">
        <v>0</v>
      </c>
      <c r="L1150" t="n">
        <v>0</v>
      </c>
      <c r="M1150" t="n">
        <v>0</v>
      </c>
      <c r="N1150" t="n">
        <v>0</v>
      </c>
      <c r="O1150" t="n">
        <v>0</v>
      </c>
      <c r="P1150" t="n">
        <v>0</v>
      </c>
      <c r="Q1150" t="n">
        <v>0</v>
      </c>
      <c r="R1150" t="n">
        <v>0</v>
      </c>
      <c r="S1150" t="n">
        <v>0</v>
      </c>
      <c r="T1150" t="n">
        <v>0</v>
      </c>
      <c r="U1150" t="n">
        <v>0</v>
      </c>
      <c r="V1150" s="2" t="inlineStr"/>
    </row>
    <row r="1151" ht="15" customHeight="1">
      <c r="A1151" t="inlineStr">
        <is>
          <t>A 36213-2026</t>
        </is>
      </c>
      <c r="B1151" t="inlineStr">
        <is>
          <t>avverkningsanmälan</t>
        </is>
      </c>
      <c r="C1151" t="inlineStr">
        <is>
          <t>Föryngringsavverkning</t>
        </is>
      </c>
      <c r="D1151" s="1" t="n">
        <v>46267</v>
      </c>
      <c r="E1151" s="1" t="n">
        <v>46313</v>
      </c>
      <c r="F1151" t="inlineStr">
        <is>
          <t>VÄRMLANDS LÄN</t>
        </is>
      </c>
      <c r="G1151" t="inlineStr">
        <is>
          <t>SUNNE</t>
        </is>
      </c>
      <c r="H1151" t="inlineStr">
        <is>
          <t>Bergvik skog väst AB</t>
        </is>
      </c>
      <c r="I1151" t="n">
        <v>7.2</v>
      </c>
      <c r="J1151" t="n">
        <v>0</v>
      </c>
      <c r="K1151" t="n">
        <v>0</v>
      </c>
      <c r="L1151" t="n">
        <v>0</v>
      </c>
      <c r="M1151" t="n">
        <v>0</v>
      </c>
      <c r="N1151" t="n">
        <v>0</v>
      </c>
      <c r="O1151" t="n">
        <v>0</v>
      </c>
      <c r="P1151" t="n">
        <v>0</v>
      </c>
      <c r="Q1151" t="n">
        <v>0</v>
      </c>
      <c r="R1151" t="n">
        <v>0</v>
      </c>
      <c r="S1151" t="n">
        <v>0</v>
      </c>
      <c r="T1151" t="n">
        <v>0</v>
      </c>
      <c r="U1151" t="n">
        <v>0</v>
      </c>
      <c r="V1151" s="2" t="inlineStr"/>
    </row>
    <row r="1152" ht="15" customHeight="1">
      <c r="A1152" t="inlineStr">
        <is>
          <t>A 28525-2025</t>
        </is>
      </c>
      <c r="B1152" t="inlineStr">
        <is>
          <t>avverkningsanmälan</t>
        </is>
      </c>
      <c r="C1152" t="inlineStr">
        <is>
          <t>Föryngringsavverkning</t>
        </is>
      </c>
      <c r="D1152" s="1" t="n">
        <v>45819</v>
      </c>
      <c r="E1152" s="1" t="n">
        <v>46313</v>
      </c>
      <c r="F1152" t="inlineStr">
        <is>
          <t>VÄRMLANDS LÄN</t>
        </is>
      </c>
      <c r="G1152" t="inlineStr">
        <is>
          <t>SUNNE</t>
        </is>
      </c>
      <c r="I1152" t="n">
        <v>0.4</v>
      </c>
      <c r="J1152" t="n">
        <v>0</v>
      </c>
      <c r="K1152" t="n">
        <v>0</v>
      </c>
      <c r="L1152" t="n">
        <v>0</v>
      </c>
      <c r="M1152" t="n">
        <v>0</v>
      </c>
      <c r="N1152" t="n">
        <v>0</v>
      </c>
      <c r="O1152" t="n">
        <v>0</v>
      </c>
      <c r="P1152" t="n">
        <v>0</v>
      </c>
      <c r="Q1152" t="n">
        <v>0</v>
      </c>
      <c r="R1152" t="n">
        <v>0</v>
      </c>
      <c r="S1152" t="n">
        <v>0</v>
      </c>
      <c r="T1152" t="n">
        <v>0</v>
      </c>
      <c r="U1152" t="n">
        <v>0</v>
      </c>
      <c r="V1152" s="2" t="inlineStr"/>
    </row>
    <row r="1153" ht="15" customHeight="1">
      <c r="A1153" t="inlineStr">
        <is>
          <t>A 36608-2026</t>
        </is>
      </c>
      <c r="B1153" t="inlineStr">
        <is>
          <t>avverkningsanmälan</t>
        </is>
      </c>
      <c r="C1153" t="inlineStr">
        <is>
          <t>Föryngringsavverkning</t>
        </is>
      </c>
      <c r="D1153" s="1" t="n">
        <v>46269</v>
      </c>
      <c r="E1153" s="1" t="n">
        <v>46313</v>
      </c>
      <c r="F1153" t="inlineStr">
        <is>
          <t>VÄRMLANDS LÄN</t>
        </is>
      </c>
      <c r="G1153" t="inlineStr">
        <is>
          <t>SUNNE</t>
        </is>
      </c>
      <c r="H1153" t="inlineStr">
        <is>
          <t>Bergvik skog väst AB</t>
        </is>
      </c>
      <c r="I1153" t="n">
        <v>1.9</v>
      </c>
      <c r="J1153" t="n">
        <v>0</v>
      </c>
      <c r="K1153" t="n">
        <v>0</v>
      </c>
      <c r="L1153" t="n">
        <v>0</v>
      </c>
      <c r="M1153" t="n">
        <v>0</v>
      </c>
      <c r="N1153" t="n">
        <v>0</v>
      </c>
      <c r="O1153" t="n">
        <v>0</v>
      </c>
      <c r="P1153" t="n">
        <v>0</v>
      </c>
      <c r="Q1153" t="n">
        <v>0</v>
      </c>
      <c r="R1153" t="n">
        <v>0</v>
      </c>
      <c r="S1153" t="n">
        <v>0</v>
      </c>
      <c r="T1153" t="n">
        <v>0</v>
      </c>
      <c r="U1153" t="n">
        <v>0</v>
      </c>
      <c r="V1153" s="2" t="inlineStr"/>
    </row>
    <row r="1154" ht="15" customHeight="1">
      <c r="A1154" t="inlineStr">
        <is>
          <t>A 28834-2025</t>
        </is>
      </c>
      <c r="B1154" t="inlineStr">
        <is>
          <t>avverkningsanmälan</t>
        </is>
      </c>
      <c r="C1154" t="inlineStr">
        <is>
          <t>Föryngringsavverkning</t>
        </is>
      </c>
      <c r="D1154" s="1" t="n">
        <v>45820</v>
      </c>
      <c r="E1154" s="1" t="n">
        <v>46313</v>
      </c>
      <c r="F1154" t="inlineStr">
        <is>
          <t>VÄRMLANDS LÄN</t>
        </is>
      </c>
      <c r="G1154" t="inlineStr">
        <is>
          <t>SUNNE</t>
        </is>
      </c>
      <c r="H1154" t="inlineStr">
        <is>
          <t>Kyrkan</t>
        </is>
      </c>
      <c r="I1154" t="n">
        <v>4.7</v>
      </c>
      <c r="J1154" t="n">
        <v>0</v>
      </c>
      <c r="K1154" t="n">
        <v>0</v>
      </c>
      <c r="L1154" t="n">
        <v>0</v>
      </c>
      <c r="M1154" t="n">
        <v>0</v>
      </c>
      <c r="N1154" t="n">
        <v>0</v>
      </c>
      <c r="O1154" t="n">
        <v>0</v>
      </c>
      <c r="P1154" t="n">
        <v>0</v>
      </c>
      <c r="Q1154" t="n">
        <v>0</v>
      </c>
      <c r="R1154" t="n">
        <v>0</v>
      </c>
      <c r="S1154" t="n">
        <v>0</v>
      </c>
      <c r="T1154" t="n">
        <v>0</v>
      </c>
      <c r="U1154" t="n">
        <v>0</v>
      </c>
      <c r="V1154" s="2" t="inlineStr"/>
    </row>
    <row r="1155" ht="15" customHeight="1">
      <c r="A1155" t="inlineStr">
        <is>
          <t>A 42389-2026</t>
        </is>
      </c>
      <c r="B1155" t="inlineStr">
        <is>
          <t>avverkningsanmälan</t>
        </is>
      </c>
      <c r="C1155" t="inlineStr">
        <is>
          <t>Föryngringsavverkning</t>
        </is>
      </c>
      <c r="D1155" s="1" t="n">
        <v>46307</v>
      </c>
      <c r="E1155" s="1" t="n">
        <v>46313</v>
      </c>
      <c r="F1155" t="inlineStr">
        <is>
          <t>VÄRMLANDS LÄN</t>
        </is>
      </c>
      <c r="G1155" t="inlineStr">
        <is>
          <t>SUNNE</t>
        </is>
      </c>
      <c r="H1155" t="inlineStr">
        <is>
          <t>Övriga Aktiebolag</t>
        </is>
      </c>
      <c r="I1155" t="n">
        <v>4.8</v>
      </c>
      <c r="J1155" t="n">
        <v>0</v>
      </c>
      <c r="K1155" t="n">
        <v>0</v>
      </c>
      <c r="L1155" t="n">
        <v>0</v>
      </c>
      <c r="M1155" t="n">
        <v>0</v>
      </c>
      <c r="N1155" t="n">
        <v>0</v>
      </c>
      <c r="O1155" t="n">
        <v>0</v>
      </c>
      <c r="P1155" t="n">
        <v>0</v>
      </c>
      <c r="Q1155" t="n">
        <v>0</v>
      </c>
      <c r="R1155" t="n">
        <v>0</v>
      </c>
      <c r="S1155" t="n">
        <v>0</v>
      </c>
      <c r="T1155" t="n">
        <v>0</v>
      </c>
      <c r="U1155" t="n">
        <v>0</v>
      </c>
      <c r="V1155" s="2" t="inlineStr"/>
    </row>
    <row r="1156" ht="15" customHeight="1">
      <c r="A1156" t="inlineStr">
        <is>
          <t>A 43138-2026</t>
        </is>
      </c>
      <c r="B1156" t="inlineStr">
        <is>
          <t>avverkningsanmälan</t>
        </is>
      </c>
      <c r="C1156" t="inlineStr">
        <is>
          <t>Föryngringsavverkning</t>
        </is>
      </c>
      <c r="D1156" s="1" t="n">
        <v>46310</v>
      </c>
      <c r="E1156" s="1" t="n">
        <v>46313</v>
      </c>
      <c r="F1156" t="inlineStr">
        <is>
          <t>VÄRMLANDS LÄN</t>
        </is>
      </c>
      <c r="G1156" t="inlineStr">
        <is>
          <t>SUNNE</t>
        </is>
      </c>
      <c r="I1156" t="n">
        <v>3.5</v>
      </c>
      <c r="J1156" t="n">
        <v>0</v>
      </c>
      <c r="K1156" t="n">
        <v>0</v>
      </c>
      <c r="L1156" t="n">
        <v>0</v>
      </c>
      <c r="M1156" t="n">
        <v>0</v>
      </c>
      <c r="N1156" t="n">
        <v>0</v>
      </c>
      <c r="O1156" t="n">
        <v>0</v>
      </c>
      <c r="P1156" t="n">
        <v>0</v>
      </c>
      <c r="Q1156" t="n">
        <v>0</v>
      </c>
      <c r="R1156" t="n">
        <v>0</v>
      </c>
      <c r="S1156" t="n">
        <v>0</v>
      </c>
      <c r="T1156" t="n">
        <v>0</v>
      </c>
      <c r="U1156" t="n">
        <v>0</v>
      </c>
      <c r="V1156" s="2" t="inlineStr"/>
    </row>
    <row r="1157" ht="15" customHeight="1">
      <c r="A1157" t="inlineStr">
        <is>
          <t>A 43171-2026</t>
        </is>
      </c>
      <c r="B1157" t="inlineStr">
        <is>
          <t>avverkningsanmälan</t>
        </is>
      </c>
      <c r="C1157" t="inlineStr">
        <is>
          <t>Föryngringsavverkning</t>
        </is>
      </c>
      <c r="D1157" s="1" t="n">
        <v>46311</v>
      </c>
      <c r="E1157" s="1" t="n">
        <v>46313</v>
      </c>
      <c r="F1157" t="inlineStr">
        <is>
          <t>VÄRMLANDS LÄN</t>
        </is>
      </c>
      <c r="G1157" t="inlineStr">
        <is>
          <t>SUNNE</t>
        </is>
      </c>
      <c r="I1157" t="n">
        <v>0.8</v>
      </c>
      <c r="J1157" t="n">
        <v>0</v>
      </c>
      <c r="K1157" t="n">
        <v>0</v>
      </c>
      <c r="L1157" t="n">
        <v>0</v>
      </c>
      <c r="M1157" t="n">
        <v>0</v>
      </c>
      <c r="N1157" t="n">
        <v>0</v>
      </c>
      <c r="O1157" t="n">
        <v>0</v>
      </c>
      <c r="P1157" t="n">
        <v>0</v>
      </c>
      <c r="Q1157" t="n">
        <v>0</v>
      </c>
      <c r="R1157" t="n">
        <v>0</v>
      </c>
      <c r="S1157" t="n">
        <v>0</v>
      </c>
      <c r="T1157" t="n">
        <v>0</v>
      </c>
      <c r="U1157" t="n">
        <v>0</v>
      </c>
      <c r="V1157" s="2" t="inlineStr"/>
    </row>
    <row r="1158" ht="15" customHeight="1">
      <c r="A1158" t="inlineStr">
        <is>
          <t>A 29178-2025</t>
        </is>
      </c>
      <c r="B1158" t="inlineStr">
        <is>
          <t>avverkningsanmälan</t>
        </is>
      </c>
      <c r="C1158" t="inlineStr">
        <is>
          <t>Föryngringsavverkning</t>
        </is>
      </c>
      <c r="D1158" s="1" t="n">
        <v>45821</v>
      </c>
      <c r="E1158" s="1" t="n">
        <v>46313</v>
      </c>
      <c r="F1158" t="inlineStr">
        <is>
          <t>VÄRMLANDS LÄN</t>
        </is>
      </c>
      <c r="G1158" t="inlineStr">
        <is>
          <t>SUNNE</t>
        </is>
      </c>
      <c r="I1158" t="n">
        <v>2.5</v>
      </c>
      <c r="J1158" t="n">
        <v>0</v>
      </c>
      <c r="K1158" t="n">
        <v>0</v>
      </c>
      <c r="L1158" t="n">
        <v>0</v>
      </c>
      <c r="M1158" t="n">
        <v>0</v>
      </c>
      <c r="N1158" t="n">
        <v>0</v>
      </c>
      <c r="O1158" t="n">
        <v>0</v>
      </c>
      <c r="P1158" t="n">
        <v>0</v>
      </c>
      <c r="Q1158" t="n">
        <v>0</v>
      </c>
      <c r="R1158" t="n">
        <v>0</v>
      </c>
      <c r="S1158" t="n">
        <v>0</v>
      </c>
      <c r="T1158" t="n">
        <v>0</v>
      </c>
      <c r="U1158" t="n">
        <v>0</v>
      </c>
      <c r="V1158" s="2" t="inlineStr"/>
    </row>
    <row r="1159" ht="15" customHeight="1">
      <c r="A1159" t="inlineStr">
        <is>
          <t>A 28771-2025</t>
        </is>
      </c>
      <c r="B1159" t="inlineStr">
        <is>
          <t>avverkningsanmälan</t>
        </is>
      </c>
      <c r="C1159" t="inlineStr">
        <is>
          <t>Föryngringsavverkning</t>
        </is>
      </c>
      <c r="D1159" s="1" t="n">
        <v>45820</v>
      </c>
      <c r="E1159" s="1" t="n">
        <v>46313</v>
      </c>
      <c r="F1159" t="inlineStr">
        <is>
          <t>VÄRMLANDS LÄN</t>
        </is>
      </c>
      <c r="G1159" t="inlineStr">
        <is>
          <t>SUNNE</t>
        </is>
      </c>
      <c r="I1159" t="n">
        <v>0.9</v>
      </c>
      <c r="J1159" t="n">
        <v>0</v>
      </c>
      <c r="K1159" t="n">
        <v>0</v>
      </c>
      <c r="L1159" t="n">
        <v>0</v>
      </c>
      <c r="M1159" t="n">
        <v>0</v>
      </c>
      <c r="N1159" t="n">
        <v>0</v>
      </c>
      <c r="O1159" t="n">
        <v>0</v>
      </c>
      <c r="P1159" t="n">
        <v>0</v>
      </c>
      <c r="Q1159" t="n">
        <v>0</v>
      </c>
      <c r="R1159" t="n">
        <v>0</v>
      </c>
      <c r="S1159" t="n">
        <v>0</v>
      </c>
      <c r="T1159" t="n">
        <v>0</v>
      </c>
      <c r="U1159" t="n">
        <v>0</v>
      </c>
      <c r="V1159" s="2" t="inlineStr"/>
    </row>
    <row r="1160" ht="15" customHeight="1">
      <c r="A1160" t="inlineStr">
        <is>
          <t>A 28772-2025</t>
        </is>
      </c>
      <c r="B1160" t="inlineStr">
        <is>
          <t>avverkningsanmälan</t>
        </is>
      </c>
      <c r="C1160" t="inlineStr">
        <is>
          <t>Föryngringsavverkning</t>
        </is>
      </c>
      <c r="D1160" s="1" t="n">
        <v>45820</v>
      </c>
      <c r="E1160" s="1" t="n">
        <v>46313</v>
      </c>
      <c r="F1160" t="inlineStr">
        <is>
          <t>VÄRMLANDS LÄN</t>
        </is>
      </c>
      <c r="G1160" t="inlineStr">
        <is>
          <t>SUNNE</t>
        </is>
      </c>
      <c r="I1160" t="n">
        <v>0.5</v>
      </c>
      <c r="J1160" t="n">
        <v>0</v>
      </c>
      <c r="K1160" t="n">
        <v>0</v>
      </c>
      <c r="L1160" t="n">
        <v>0</v>
      </c>
      <c r="M1160" t="n">
        <v>0</v>
      </c>
      <c r="N1160" t="n">
        <v>0</v>
      </c>
      <c r="O1160" t="n">
        <v>0</v>
      </c>
      <c r="P1160" t="n">
        <v>0</v>
      </c>
      <c r="Q1160" t="n">
        <v>0</v>
      </c>
      <c r="R1160" t="n">
        <v>0</v>
      </c>
      <c r="S1160" t="n">
        <v>0</v>
      </c>
      <c r="T1160" t="n">
        <v>0</v>
      </c>
      <c r="U1160" t="n">
        <v>0</v>
      </c>
      <c r="V1160" s="2" t="inlineStr"/>
    </row>
    <row r="1161" ht="15" customHeight="1">
      <c r="A1161" t="inlineStr">
        <is>
          <t>A 36214-2026</t>
        </is>
      </c>
      <c r="B1161" t="inlineStr">
        <is>
          <t>avverkningsanmälan</t>
        </is>
      </c>
      <c r="C1161" t="inlineStr">
        <is>
          <t>Föryngringsavverkning</t>
        </is>
      </c>
      <c r="D1161" s="1" t="n">
        <v>46267</v>
      </c>
      <c r="E1161" s="1" t="n">
        <v>46313</v>
      </c>
      <c r="F1161" t="inlineStr">
        <is>
          <t>VÄRMLANDS LÄN</t>
        </is>
      </c>
      <c r="G1161" t="inlineStr">
        <is>
          <t>SUNNE</t>
        </is>
      </c>
      <c r="H1161" t="inlineStr">
        <is>
          <t>Bergvik skog väst AB</t>
        </is>
      </c>
      <c r="I1161" t="n">
        <v>7.2</v>
      </c>
      <c r="J1161" t="n">
        <v>0</v>
      </c>
      <c r="K1161" t="n">
        <v>0</v>
      </c>
      <c r="L1161" t="n">
        <v>0</v>
      </c>
      <c r="M1161" t="n">
        <v>0</v>
      </c>
      <c r="N1161" t="n">
        <v>0</v>
      </c>
      <c r="O1161" t="n">
        <v>0</v>
      </c>
      <c r="P1161" t="n">
        <v>0</v>
      </c>
      <c r="Q1161" t="n">
        <v>0</v>
      </c>
      <c r="R1161" t="n">
        <v>0</v>
      </c>
      <c r="S1161" t="n">
        <v>0</v>
      </c>
      <c r="T1161" t="n">
        <v>0</v>
      </c>
      <c r="U1161" t="n">
        <v>0</v>
      </c>
      <c r="V1161" s="2" t="inlineStr"/>
    </row>
    <row r="1162" ht="15" customHeight="1">
      <c r="A1162" t="inlineStr">
        <is>
          <t>A 30006-2025</t>
        </is>
      </c>
      <c r="B1162" t="inlineStr">
        <is>
          <t>avverkningsanmälan</t>
        </is>
      </c>
      <c r="C1162" t="inlineStr">
        <is>
          <t>Föryngringsavverkning</t>
        </is>
      </c>
      <c r="D1162" s="1" t="n">
        <v>45826</v>
      </c>
      <c r="E1162" s="1" t="n">
        <v>46313</v>
      </c>
      <c r="F1162" t="inlineStr">
        <is>
          <t>VÄRMLANDS LÄN</t>
        </is>
      </c>
      <c r="G1162" t="inlineStr">
        <is>
          <t>SUNNE</t>
        </is>
      </c>
      <c r="H1162" t="inlineStr">
        <is>
          <t>Kommuner</t>
        </is>
      </c>
      <c r="I1162" t="n">
        <v>4.7</v>
      </c>
      <c r="J1162" t="n">
        <v>0</v>
      </c>
      <c r="K1162" t="n">
        <v>0</v>
      </c>
      <c r="L1162" t="n">
        <v>0</v>
      </c>
      <c r="M1162" t="n">
        <v>0</v>
      </c>
      <c r="N1162" t="n">
        <v>0</v>
      </c>
      <c r="O1162" t="n">
        <v>0</v>
      </c>
      <c r="P1162" t="n">
        <v>0</v>
      </c>
      <c r="Q1162" t="n">
        <v>0</v>
      </c>
      <c r="R1162" t="n">
        <v>0</v>
      </c>
      <c r="S1162" t="n">
        <v>0</v>
      </c>
      <c r="T1162" t="n">
        <v>0</v>
      </c>
      <c r="U1162" t="n">
        <v>0</v>
      </c>
      <c r="V1162" s="2" t="inlineStr"/>
    </row>
    <row r="1163" ht="15" customHeight="1">
      <c r="A1163" t="inlineStr">
        <is>
          <t>A 36611-2026</t>
        </is>
      </c>
      <c r="B1163" t="inlineStr">
        <is>
          <t>avverkningsanmälan</t>
        </is>
      </c>
      <c r="C1163" t="inlineStr">
        <is>
          <t>Föryngringsavverkning</t>
        </is>
      </c>
      <c r="D1163" s="1" t="n">
        <v>46269</v>
      </c>
      <c r="E1163" s="1" t="n">
        <v>46313</v>
      </c>
      <c r="F1163" t="inlineStr">
        <is>
          <t>VÄRMLANDS LÄN</t>
        </is>
      </c>
      <c r="G1163" t="inlineStr">
        <is>
          <t>SUNNE</t>
        </is>
      </c>
      <c r="H1163" t="inlineStr">
        <is>
          <t>Bergvik skog väst AB</t>
        </is>
      </c>
      <c r="I1163" t="n">
        <v>4.3</v>
      </c>
      <c r="J1163" t="n">
        <v>0</v>
      </c>
      <c r="K1163" t="n">
        <v>0</v>
      </c>
      <c r="L1163" t="n">
        <v>0</v>
      </c>
      <c r="M1163" t="n">
        <v>0</v>
      </c>
      <c r="N1163" t="n">
        <v>0</v>
      </c>
      <c r="O1163" t="n">
        <v>0</v>
      </c>
      <c r="P1163" t="n">
        <v>0</v>
      </c>
      <c r="Q1163" t="n">
        <v>0</v>
      </c>
      <c r="R1163" t="n">
        <v>0</v>
      </c>
      <c r="S1163" t="n">
        <v>0</v>
      </c>
      <c r="T1163" t="n">
        <v>0</v>
      </c>
      <c r="U1163" t="n">
        <v>0</v>
      </c>
      <c r="V1163" s="2" t="inlineStr"/>
    </row>
    <row r="1164" ht="15" customHeight="1">
      <c r="A1164" t="inlineStr">
        <is>
          <t>A 29948-2025</t>
        </is>
      </c>
      <c r="B1164" t="inlineStr">
        <is>
          <t>avverkningsanmälan</t>
        </is>
      </c>
      <c r="C1164" t="inlineStr">
        <is>
          <t>Föryngringsavverkning</t>
        </is>
      </c>
      <c r="D1164" s="1" t="n">
        <v>45826</v>
      </c>
      <c r="E1164" s="1" t="n">
        <v>46313</v>
      </c>
      <c r="F1164" t="inlineStr">
        <is>
          <t>VÄRMLANDS LÄN</t>
        </is>
      </c>
      <c r="G1164" t="inlineStr">
        <is>
          <t>SUNNE</t>
        </is>
      </c>
      <c r="H1164" t="inlineStr">
        <is>
          <t>Kyrkan</t>
        </is>
      </c>
      <c r="I1164" t="n">
        <v>2.4</v>
      </c>
      <c r="J1164" t="n">
        <v>0</v>
      </c>
      <c r="K1164" t="n">
        <v>0</v>
      </c>
      <c r="L1164" t="n">
        <v>0</v>
      </c>
      <c r="M1164" t="n">
        <v>0</v>
      </c>
      <c r="N1164" t="n">
        <v>0</v>
      </c>
      <c r="O1164" t="n">
        <v>0</v>
      </c>
      <c r="P1164" t="n">
        <v>0</v>
      </c>
      <c r="Q1164" t="n">
        <v>0</v>
      </c>
      <c r="R1164" t="n">
        <v>0</v>
      </c>
      <c r="S1164" t="n">
        <v>0</v>
      </c>
      <c r="T1164" t="n">
        <v>0</v>
      </c>
      <c r="U1164" t="n">
        <v>0</v>
      </c>
      <c r="V1164" s="2" t="inlineStr"/>
    </row>
    <row r="1165" ht="15" customHeight="1">
      <c r="A1165" t="inlineStr">
        <is>
          <t>A 36418-2026</t>
        </is>
      </c>
      <c r="B1165" t="inlineStr">
        <is>
          <t>avverkningsanmälan</t>
        </is>
      </c>
      <c r="C1165" t="inlineStr">
        <is>
          <t>Föryngringsavverkning</t>
        </is>
      </c>
      <c r="D1165" s="1" t="n">
        <v>46269</v>
      </c>
      <c r="E1165" s="1" t="n">
        <v>46313</v>
      </c>
      <c r="F1165" t="inlineStr">
        <is>
          <t>VÄRMLANDS LÄN</t>
        </is>
      </c>
      <c r="G1165" t="inlineStr">
        <is>
          <t>SUNNE</t>
        </is>
      </c>
      <c r="H1165" t="inlineStr">
        <is>
          <t>Kommuner</t>
        </is>
      </c>
      <c r="I1165" t="n">
        <v>1.7</v>
      </c>
      <c r="J1165" t="n">
        <v>0</v>
      </c>
      <c r="K1165" t="n">
        <v>0</v>
      </c>
      <c r="L1165" t="n">
        <v>0</v>
      </c>
      <c r="M1165" t="n">
        <v>0</v>
      </c>
      <c r="N1165" t="n">
        <v>0</v>
      </c>
      <c r="O1165" t="n">
        <v>0</v>
      </c>
      <c r="P1165" t="n">
        <v>0</v>
      </c>
      <c r="Q1165" t="n">
        <v>0</v>
      </c>
      <c r="R1165" t="n">
        <v>0</v>
      </c>
      <c r="S1165" t="n">
        <v>0</v>
      </c>
      <c r="T1165" t="n">
        <v>0</v>
      </c>
      <c r="U1165" t="n">
        <v>0</v>
      </c>
      <c r="V1165" s="2" t="inlineStr"/>
    </row>
    <row r="1166" ht="15" customHeight="1">
      <c r="A1166" t="inlineStr">
        <is>
          <t>A 29967-2025</t>
        </is>
      </c>
      <c r="B1166" t="inlineStr">
        <is>
          <t>avverkningsanmälan</t>
        </is>
      </c>
      <c r="C1166" t="inlineStr">
        <is>
          <t>Föryngringsavverkning</t>
        </is>
      </c>
      <c r="D1166" s="1" t="n">
        <v>45826</v>
      </c>
      <c r="E1166" s="1" t="n">
        <v>46313</v>
      </c>
      <c r="F1166" t="inlineStr">
        <is>
          <t>VÄRMLANDS LÄN</t>
        </is>
      </c>
      <c r="G1166" t="inlineStr">
        <is>
          <t>SUNNE</t>
        </is>
      </c>
      <c r="H1166" t="inlineStr">
        <is>
          <t>Kyrkan</t>
        </is>
      </c>
      <c r="I1166" t="n">
        <v>3.2</v>
      </c>
      <c r="J1166" t="n">
        <v>0</v>
      </c>
      <c r="K1166" t="n">
        <v>0</v>
      </c>
      <c r="L1166" t="n">
        <v>0</v>
      </c>
      <c r="M1166" t="n">
        <v>0</v>
      </c>
      <c r="N1166" t="n">
        <v>0</v>
      </c>
      <c r="O1166" t="n">
        <v>0</v>
      </c>
      <c r="P1166" t="n">
        <v>0</v>
      </c>
      <c r="Q1166" t="n">
        <v>0</v>
      </c>
      <c r="R1166" t="n">
        <v>0</v>
      </c>
      <c r="S1166" t="n">
        <v>0</v>
      </c>
      <c r="T1166" t="n">
        <v>0</v>
      </c>
      <c r="U1166" t="n">
        <v>0</v>
      </c>
      <c r="V1166" s="2" t="inlineStr"/>
    </row>
    <row r="1167" ht="15" customHeight="1">
      <c r="A1167" t="inlineStr">
        <is>
          <t>A 6403-2023</t>
        </is>
      </c>
      <c r="B1167" t="inlineStr">
        <is>
          <t>avverkningsanmälan</t>
        </is>
      </c>
      <c r="C1167" t="inlineStr">
        <is>
          <t>Föryngringsavverkning</t>
        </is>
      </c>
      <c r="D1167" s="1" t="n">
        <v>44965</v>
      </c>
      <c r="E1167" s="1" t="n">
        <v>46313</v>
      </c>
      <c r="F1167" t="inlineStr">
        <is>
          <t>VÄRMLANDS LÄN</t>
        </is>
      </c>
      <c r="G1167" t="inlineStr">
        <is>
          <t>SUNNE</t>
        </is>
      </c>
      <c r="I1167" t="n">
        <v>5.5</v>
      </c>
      <c r="J1167" t="n">
        <v>0</v>
      </c>
      <c r="K1167" t="n">
        <v>0</v>
      </c>
      <c r="L1167" t="n">
        <v>0</v>
      </c>
      <c r="M1167" t="n">
        <v>0</v>
      </c>
      <c r="N1167" t="n">
        <v>0</v>
      </c>
      <c r="O1167" t="n">
        <v>0</v>
      </c>
      <c r="P1167" t="n">
        <v>0</v>
      </c>
      <c r="Q1167" t="n">
        <v>0</v>
      </c>
      <c r="R1167" t="n">
        <v>0</v>
      </c>
      <c r="S1167" t="n">
        <v>0</v>
      </c>
      <c r="T1167" t="n">
        <v>0</v>
      </c>
      <c r="U1167" t="n">
        <v>0</v>
      </c>
      <c r="V1167" s="2" t="inlineStr"/>
    </row>
    <row r="1168" ht="15" customHeight="1">
      <c r="A1168" t="inlineStr">
        <is>
          <t>A 24521-2024</t>
        </is>
      </c>
      <c r="B1168" t="inlineStr">
        <is>
          <t>avverkningsanmälan</t>
        </is>
      </c>
      <c r="C1168" t="inlineStr">
        <is>
          <t>Föryngringsavverkning</t>
        </is>
      </c>
      <c r="D1168" s="1" t="n">
        <v>45460</v>
      </c>
      <c r="E1168" s="1" t="n">
        <v>46313</v>
      </c>
      <c r="F1168" t="inlineStr">
        <is>
          <t>VÄRMLANDS LÄN</t>
        </is>
      </c>
      <c r="G1168" t="inlineStr">
        <is>
          <t>SUNNE</t>
        </is>
      </c>
      <c r="I1168" t="n">
        <v>1.8</v>
      </c>
      <c r="J1168" t="n">
        <v>0</v>
      </c>
      <c r="K1168" t="n">
        <v>0</v>
      </c>
      <c r="L1168" t="n">
        <v>0</v>
      </c>
      <c r="M1168" t="n">
        <v>0</v>
      </c>
      <c r="N1168" t="n">
        <v>0</v>
      </c>
      <c r="O1168" t="n">
        <v>0</v>
      </c>
      <c r="P1168" t="n">
        <v>0</v>
      </c>
      <c r="Q1168" t="n">
        <v>0</v>
      </c>
      <c r="R1168" t="n">
        <v>0</v>
      </c>
      <c r="S1168" t="n">
        <v>0</v>
      </c>
      <c r="T1168" t="n">
        <v>0</v>
      </c>
      <c r="U1168" t="n">
        <v>0</v>
      </c>
      <c r="V1168" s="2" t="inlineStr"/>
    </row>
    <row r="1169" ht="15" customHeight="1">
      <c r="A1169" t="inlineStr">
        <is>
          <t>A 30942-2025</t>
        </is>
      </c>
      <c r="B1169" t="inlineStr">
        <is>
          <t>avverkningsanmälan</t>
        </is>
      </c>
      <c r="C1169" t="inlineStr">
        <is>
          <t>Föryngringsavverkning</t>
        </is>
      </c>
      <c r="D1169" s="1" t="n">
        <v>45832</v>
      </c>
      <c r="E1169" s="1" t="n">
        <v>46313</v>
      </c>
      <c r="F1169" t="inlineStr">
        <is>
          <t>VÄRMLANDS LÄN</t>
        </is>
      </c>
      <c r="G1169" t="inlineStr">
        <is>
          <t>SUNNE</t>
        </is>
      </c>
      <c r="H1169" t="inlineStr">
        <is>
          <t>Kyrkan</t>
        </is>
      </c>
      <c r="I1169" t="n">
        <v>9.199999999999999</v>
      </c>
      <c r="J1169" t="n">
        <v>0</v>
      </c>
      <c r="K1169" t="n">
        <v>0</v>
      </c>
      <c r="L1169" t="n">
        <v>0</v>
      </c>
      <c r="M1169" t="n">
        <v>0</v>
      </c>
      <c r="N1169" t="n">
        <v>0</v>
      </c>
      <c r="O1169" t="n">
        <v>0</v>
      </c>
      <c r="P1169" t="n">
        <v>0</v>
      </c>
      <c r="Q1169" t="n">
        <v>0</v>
      </c>
      <c r="R1169" t="n">
        <v>0</v>
      </c>
      <c r="S1169" t="n">
        <v>0</v>
      </c>
      <c r="T1169" t="n">
        <v>0</v>
      </c>
      <c r="U1169" t="n">
        <v>0</v>
      </c>
      <c r="V1169" s="2" t="inlineStr"/>
    </row>
    <row r="1170" ht="15" customHeight="1">
      <c r="A1170" t="inlineStr">
        <is>
          <t>A 31713-2025</t>
        </is>
      </c>
      <c r="B1170" t="inlineStr">
        <is>
          <t>avverkningsanmälan</t>
        </is>
      </c>
      <c r="C1170" t="inlineStr">
        <is>
          <t>Föryngringsavverkning</t>
        </is>
      </c>
      <c r="D1170" s="1" t="n">
        <v>45834</v>
      </c>
      <c r="E1170" s="1" t="n">
        <v>46313</v>
      </c>
      <c r="F1170" t="inlineStr">
        <is>
          <t>VÄRMLANDS LÄN</t>
        </is>
      </c>
      <c r="G1170" t="inlineStr">
        <is>
          <t>SUNNE</t>
        </is>
      </c>
      <c r="I1170" t="n">
        <v>2</v>
      </c>
      <c r="J1170" t="n">
        <v>0</v>
      </c>
      <c r="K1170" t="n">
        <v>0</v>
      </c>
      <c r="L1170" t="n">
        <v>0</v>
      </c>
      <c r="M1170" t="n">
        <v>0</v>
      </c>
      <c r="N1170" t="n">
        <v>0</v>
      </c>
      <c r="O1170" t="n">
        <v>0</v>
      </c>
      <c r="P1170" t="n">
        <v>0</v>
      </c>
      <c r="Q1170" t="n">
        <v>0</v>
      </c>
      <c r="R1170" t="n">
        <v>0</v>
      </c>
      <c r="S1170" t="n">
        <v>0</v>
      </c>
      <c r="T1170" t="n">
        <v>0</v>
      </c>
      <c r="U1170" t="n">
        <v>0</v>
      </c>
      <c r="V1170" s="2" t="inlineStr"/>
    </row>
    <row r="1171" ht="15" customHeight="1">
      <c r="A1171" t="inlineStr">
        <is>
          <t>A 7654-2025</t>
        </is>
      </c>
      <c r="B1171" t="inlineStr">
        <is>
          <t>avverkningsanmälan</t>
        </is>
      </c>
      <c r="C1171" t="inlineStr">
        <is>
          <t>Föryngringsavverkning</t>
        </is>
      </c>
      <c r="D1171" s="1" t="n">
        <v>45705</v>
      </c>
      <c r="E1171" s="1" t="n">
        <v>46313</v>
      </c>
      <c r="F1171" t="inlineStr">
        <is>
          <t>VÄRMLANDS LÄN</t>
        </is>
      </c>
      <c r="G1171" t="inlineStr">
        <is>
          <t>SUNNE</t>
        </is>
      </c>
      <c r="I1171" t="n">
        <v>11.7</v>
      </c>
      <c r="J1171" t="n">
        <v>0</v>
      </c>
      <c r="K1171" t="n">
        <v>0</v>
      </c>
      <c r="L1171" t="n">
        <v>0</v>
      </c>
      <c r="M1171" t="n">
        <v>0</v>
      </c>
      <c r="N1171" t="n">
        <v>0</v>
      </c>
      <c r="O1171" t="n">
        <v>0</v>
      </c>
      <c r="P1171" t="n">
        <v>0</v>
      </c>
      <c r="Q1171" t="n">
        <v>0</v>
      </c>
      <c r="R1171" t="n">
        <v>0</v>
      </c>
      <c r="S1171" t="n">
        <v>0</v>
      </c>
      <c r="T1171" t="n">
        <v>0</v>
      </c>
      <c r="U1171" t="n">
        <v>0</v>
      </c>
      <c r="V1171" s="2" t="inlineStr"/>
    </row>
    <row r="1172" ht="15" customHeight="1">
      <c r="A1172" t="inlineStr">
        <is>
          <t>A 32616-2025</t>
        </is>
      </c>
      <c r="B1172" t="inlineStr">
        <is>
          <t>avverkningsanmälan</t>
        </is>
      </c>
      <c r="C1172" t="inlineStr">
        <is>
          <t>Föryngringsavverkning</t>
        </is>
      </c>
      <c r="D1172" s="1" t="n">
        <v>45838</v>
      </c>
      <c r="E1172" s="1" t="n">
        <v>46313</v>
      </c>
      <c r="F1172" t="inlineStr">
        <is>
          <t>VÄRMLANDS LÄN</t>
        </is>
      </c>
      <c r="G1172" t="inlineStr">
        <is>
          <t>SUNNE</t>
        </is>
      </c>
      <c r="I1172" t="n">
        <v>2.5</v>
      </c>
      <c r="J1172" t="n">
        <v>0</v>
      </c>
      <c r="K1172" t="n">
        <v>0</v>
      </c>
      <c r="L1172" t="n">
        <v>0</v>
      </c>
      <c r="M1172" t="n">
        <v>0</v>
      </c>
      <c r="N1172" t="n">
        <v>0</v>
      </c>
      <c r="O1172" t="n">
        <v>0</v>
      </c>
      <c r="P1172" t="n">
        <v>0</v>
      </c>
      <c r="Q1172" t="n">
        <v>0</v>
      </c>
      <c r="R1172" t="n">
        <v>0</v>
      </c>
      <c r="S1172" t="n">
        <v>0</v>
      </c>
      <c r="T1172" t="n">
        <v>0</v>
      </c>
      <c r="U1172" t="n">
        <v>0</v>
      </c>
      <c r="V1172" s="2" t="inlineStr"/>
    </row>
    <row r="1173" ht="15" customHeight="1">
      <c r="A1173" t="inlineStr">
        <is>
          <t>A 32994-2025</t>
        </is>
      </c>
      <c r="B1173" t="inlineStr">
        <is>
          <t>avverkningsanmälan</t>
        </is>
      </c>
      <c r="C1173" t="inlineStr">
        <is>
          <t>Föryngringsavverkning</t>
        </is>
      </c>
      <c r="D1173" s="1" t="n">
        <v>45839</v>
      </c>
      <c r="E1173" s="1" t="n">
        <v>46313</v>
      </c>
      <c r="F1173" t="inlineStr">
        <is>
          <t>VÄRMLANDS LÄN</t>
        </is>
      </c>
      <c r="G1173" t="inlineStr">
        <is>
          <t>SUNNE</t>
        </is>
      </c>
      <c r="I1173" t="n">
        <v>4.9</v>
      </c>
      <c r="J1173" t="n">
        <v>0</v>
      </c>
      <c r="K1173" t="n">
        <v>0</v>
      </c>
      <c r="L1173" t="n">
        <v>0</v>
      </c>
      <c r="M1173" t="n">
        <v>0</v>
      </c>
      <c r="N1173" t="n">
        <v>0</v>
      </c>
      <c r="O1173" t="n">
        <v>0</v>
      </c>
      <c r="P1173" t="n">
        <v>0</v>
      </c>
      <c r="Q1173" t="n">
        <v>0</v>
      </c>
      <c r="R1173" t="n">
        <v>0</v>
      </c>
      <c r="S1173" t="n">
        <v>0</v>
      </c>
      <c r="T1173" t="n">
        <v>0</v>
      </c>
      <c r="U1173" t="n">
        <v>0</v>
      </c>
      <c r="V1173" s="2" t="inlineStr"/>
    </row>
    <row r="1174" ht="15" customHeight="1">
      <c r="A1174" t="inlineStr">
        <is>
          <t>A 33478-2025</t>
        </is>
      </c>
      <c r="B1174" t="inlineStr">
        <is>
          <t>avverkningsanmälan</t>
        </is>
      </c>
      <c r="C1174" t="inlineStr">
        <is>
          <t>Föryngringsavverkning</t>
        </is>
      </c>
      <c r="D1174" s="1" t="n">
        <v>45841</v>
      </c>
      <c r="E1174" s="1" t="n">
        <v>46313</v>
      </c>
      <c r="F1174" t="inlineStr">
        <is>
          <t>VÄRMLANDS LÄN</t>
        </is>
      </c>
      <c r="G1174" t="inlineStr">
        <is>
          <t>SUNNE</t>
        </is>
      </c>
      <c r="I1174" t="n">
        <v>1.9</v>
      </c>
      <c r="J1174" t="n">
        <v>0</v>
      </c>
      <c r="K1174" t="n">
        <v>0</v>
      </c>
      <c r="L1174" t="n">
        <v>0</v>
      </c>
      <c r="M1174" t="n">
        <v>0</v>
      </c>
      <c r="N1174" t="n">
        <v>0</v>
      </c>
      <c r="O1174" t="n">
        <v>0</v>
      </c>
      <c r="P1174" t="n">
        <v>0</v>
      </c>
      <c r="Q1174" t="n">
        <v>0</v>
      </c>
      <c r="R1174" t="n">
        <v>0</v>
      </c>
      <c r="S1174" t="n">
        <v>0</v>
      </c>
      <c r="T1174" t="n">
        <v>0</v>
      </c>
      <c r="U1174" t="n">
        <v>0</v>
      </c>
      <c r="V1174" s="2" t="inlineStr"/>
    </row>
    <row r="1175" ht="15" customHeight="1">
      <c r="A1175" t="inlineStr">
        <is>
          <t>A 33516-2025</t>
        </is>
      </c>
      <c r="B1175" t="inlineStr">
        <is>
          <t>avverkningsanmälan</t>
        </is>
      </c>
      <c r="C1175" t="inlineStr">
        <is>
          <t>Föryngringsavverkning</t>
        </is>
      </c>
      <c r="D1175" s="1" t="n">
        <v>45841</v>
      </c>
      <c r="E1175" s="1" t="n">
        <v>46313</v>
      </c>
      <c r="F1175" t="inlineStr">
        <is>
          <t>VÄRMLANDS LÄN</t>
        </is>
      </c>
      <c r="G1175" t="inlineStr">
        <is>
          <t>SUNNE</t>
        </is>
      </c>
      <c r="I1175" t="n">
        <v>0.9</v>
      </c>
      <c r="J1175" t="n">
        <v>0</v>
      </c>
      <c r="K1175" t="n">
        <v>0</v>
      </c>
      <c r="L1175" t="n">
        <v>0</v>
      </c>
      <c r="M1175" t="n">
        <v>0</v>
      </c>
      <c r="N1175" t="n">
        <v>0</v>
      </c>
      <c r="O1175" t="n">
        <v>0</v>
      </c>
      <c r="P1175" t="n">
        <v>0</v>
      </c>
      <c r="Q1175" t="n">
        <v>0</v>
      </c>
      <c r="R1175" t="n">
        <v>0</v>
      </c>
      <c r="S1175" t="n">
        <v>0</v>
      </c>
      <c r="T1175" t="n">
        <v>0</v>
      </c>
      <c r="U1175" t="n">
        <v>0</v>
      </c>
      <c r="V1175" s="2" t="inlineStr"/>
    </row>
    <row r="1176" ht="15" customHeight="1">
      <c r="A1176" t="inlineStr">
        <is>
          <t>A 33027-2025</t>
        </is>
      </c>
      <c r="B1176" t="inlineStr">
        <is>
          <t>avverkningsanmälan</t>
        </is>
      </c>
      <c r="C1176" t="inlineStr">
        <is>
          <t>Föryngringsavverkning</t>
        </is>
      </c>
      <c r="D1176" s="1" t="n">
        <v>45840</v>
      </c>
      <c r="E1176" s="1" t="n">
        <v>46313</v>
      </c>
      <c r="F1176" t="inlineStr">
        <is>
          <t>VÄRMLANDS LÄN</t>
        </is>
      </c>
      <c r="G1176" t="inlineStr">
        <is>
          <t>SUNNE</t>
        </is>
      </c>
      <c r="H1176" t="inlineStr">
        <is>
          <t>Bergvik skog väst AB</t>
        </is>
      </c>
      <c r="I1176" t="n">
        <v>1</v>
      </c>
      <c r="J1176" t="n">
        <v>0</v>
      </c>
      <c r="K1176" t="n">
        <v>0</v>
      </c>
      <c r="L1176" t="n">
        <v>0</v>
      </c>
      <c r="M1176" t="n">
        <v>0</v>
      </c>
      <c r="N1176" t="n">
        <v>0</v>
      </c>
      <c r="O1176" t="n">
        <v>0</v>
      </c>
      <c r="P1176" t="n">
        <v>0</v>
      </c>
      <c r="Q1176" t="n">
        <v>0</v>
      </c>
      <c r="R1176" t="n">
        <v>0</v>
      </c>
      <c r="S1176" t="n">
        <v>0</v>
      </c>
      <c r="T1176" t="n">
        <v>0</v>
      </c>
      <c r="U1176" t="n">
        <v>0</v>
      </c>
      <c r="V1176" s="2" t="inlineStr"/>
    </row>
    <row r="1177" ht="15" customHeight="1">
      <c r="A1177" t="inlineStr">
        <is>
          <t>A 34164-2025</t>
        </is>
      </c>
      <c r="B1177" t="inlineStr">
        <is>
          <t>avverkningsanmälan</t>
        </is>
      </c>
      <c r="C1177" t="inlineStr">
        <is>
          <t>Föryngringsavverkning</t>
        </is>
      </c>
      <c r="D1177" s="1" t="n">
        <v>45845</v>
      </c>
      <c r="E1177" s="1" t="n">
        <v>46313</v>
      </c>
      <c r="F1177" t="inlineStr">
        <is>
          <t>VÄRMLANDS LÄN</t>
        </is>
      </c>
      <c r="G1177" t="inlineStr">
        <is>
          <t>SUNNE</t>
        </is>
      </c>
      <c r="I1177" t="n">
        <v>0.8</v>
      </c>
      <c r="J1177" t="n">
        <v>0</v>
      </c>
      <c r="K1177" t="n">
        <v>0</v>
      </c>
      <c r="L1177" t="n">
        <v>0</v>
      </c>
      <c r="M1177" t="n">
        <v>0</v>
      </c>
      <c r="N1177" t="n">
        <v>0</v>
      </c>
      <c r="O1177" t="n">
        <v>0</v>
      </c>
      <c r="P1177" t="n">
        <v>0</v>
      </c>
      <c r="Q1177" t="n">
        <v>0</v>
      </c>
      <c r="R1177" t="n">
        <v>0</v>
      </c>
      <c r="S1177" t="n">
        <v>0</v>
      </c>
      <c r="T1177" t="n">
        <v>0</v>
      </c>
      <c r="U1177" t="n">
        <v>0</v>
      </c>
      <c r="V1177" s="2" t="inlineStr"/>
    </row>
    <row r="1178" ht="15" customHeight="1">
      <c r="A1178" t="inlineStr">
        <is>
          <t>A 34249-2025</t>
        </is>
      </c>
      <c r="B1178" t="inlineStr">
        <is>
          <t>avverkningsanmälan</t>
        </is>
      </c>
      <c r="C1178" t="inlineStr">
        <is>
          <t>Avverkning för annat ändamål</t>
        </is>
      </c>
      <c r="D1178" s="1" t="n">
        <v>45845</v>
      </c>
      <c r="E1178" s="1" t="n">
        <v>46313</v>
      </c>
      <c r="F1178" t="inlineStr">
        <is>
          <t>VÄRMLANDS LÄN</t>
        </is>
      </c>
      <c r="G1178" t="inlineStr">
        <is>
          <t>SUNNE</t>
        </is>
      </c>
      <c r="I1178" t="n">
        <v>0.3</v>
      </c>
      <c r="J1178" t="n">
        <v>0</v>
      </c>
      <c r="K1178" t="n">
        <v>0</v>
      </c>
      <c r="L1178" t="n">
        <v>0</v>
      </c>
      <c r="M1178" t="n">
        <v>0</v>
      </c>
      <c r="N1178" t="n">
        <v>0</v>
      </c>
      <c r="O1178" t="n">
        <v>0</v>
      </c>
      <c r="P1178" t="n">
        <v>0</v>
      </c>
      <c r="Q1178" t="n">
        <v>0</v>
      </c>
      <c r="R1178" t="n">
        <v>0</v>
      </c>
      <c r="S1178" t="n">
        <v>0</v>
      </c>
      <c r="T1178" t="n">
        <v>0</v>
      </c>
      <c r="U1178" t="n">
        <v>0</v>
      </c>
      <c r="V1178" s="2" t="inlineStr"/>
    </row>
    <row r="1179" ht="15" customHeight="1">
      <c r="A1179" t="inlineStr">
        <is>
          <t>A 33768-2025</t>
        </is>
      </c>
      <c r="B1179" t="inlineStr">
        <is>
          <t>avverkningsanmälan</t>
        </is>
      </c>
      <c r="C1179" t="inlineStr">
        <is>
          <t>Föryngringsavverkning</t>
        </is>
      </c>
      <c r="D1179" s="1" t="n">
        <v>45842</v>
      </c>
      <c r="E1179" s="1" t="n">
        <v>46313</v>
      </c>
      <c r="F1179" t="inlineStr">
        <is>
          <t>VÄRMLANDS LÄN</t>
        </is>
      </c>
      <c r="G1179" t="inlineStr">
        <is>
          <t>SUNNE</t>
        </is>
      </c>
      <c r="I1179" t="n">
        <v>0.6</v>
      </c>
      <c r="J1179" t="n">
        <v>0</v>
      </c>
      <c r="K1179" t="n">
        <v>0</v>
      </c>
      <c r="L1179" t="n">
        <v>0</v>
      </c>
      <c r="M1179" t="n">
        <v>0</v>
      </c>
      <c r="N1179" t="n">
        <v>0</v>
      </c>
      <c r="O1179" t="n">
        <v>0</v>
      </c>
      <c r="P1179" t="n">
        <v>0</v>
      </c>
      <c r="Q1179" t="n">
        <v>0</v>
      </c>
      <c r="R1179" t="n">
        <v>0</v>
      </c>
      <c r="S1179" t="n">
        <v>0</v>
      </c>
      <c r="T1179" t="n">
        <v>0</v>
      </c>
      <c r="U1179" t="n">
        <v>0</v>
      </c>
      <c r="V1179" s="2" t="inlineStr"/>
    </row>
    <row r="1180" ht="15" customHeight="1">
      <c r="A1180" t="inlineStr">
        <is>
          <t>A 34008-2025</t>
        </is>
      </c>
      <c r="B1180" t="inlineStr">
        <is>
          <t>avverkningsanmälan</t>
        </is>
      </c>
      <c r="C1180" t="inlineStr">
        <is>
          <t>Avverkning för annat ändamål</t>
        </is>
      </c>
      <c r="D1180" s="1" t="n">
        <v>45844</v>
      </c>
      <c r="E1180" s="1" t="n">
        <v>46313</v>
      </c>
      <c r="F1180" t="inlineStr">
        <is>
          <t>VÄRMLANDS LÄN</t>
        </is>
      </c>
      <c r="G1180" t="inlineStr">
        <is>
          <t>SUNNE</t>
        </is>
      </c>
      <c r="I1180" t="n">
        <v>0.4</v>
      </c>
      <c r="J1180" t="n">
        <v>0</v>
      </c>
      <c r="K1180" t="n">
        <v>0</v>
      </c>
      <c r="L1180" t="n">
        <v>0</v>
      </c>
      <c r="M1180" t="n">
        <v>0</v>
      </c>
      <c r="N1180" t="n">
        <v>0</v>
      </c>
      <c r="O1180" t="n">
        <v>0</v>
      </c>
      <c r="P1180" t="n">
        <v>0</v>
      </c>
      <c r="Q1180" t="n">
        <v>0</v>
      </c>
      <c r="R1180" t="n">
        <v>0</v>
      </c>
      <c r="S1180" t="n">
        <v>0</v>
      </c>
      <c r="T1180" t="n">
        <v>0</v>
      </c>
      <c r="U1180" t="n">
        <v>0</v>
      </c>
      <c r="V1180" s="2" t="inlineStr"/>
    </row>
    <row r="1181" ht="15" customHeight="1">
      <c r="A1181" t="inlineStr">
        <is>
          <t>A 34009-2025</t>
        </is>
      </c>
      <c r="B1181" t="inlineStr">
        <is>
          <t>avverkningsanmälan</t>
        </is>
      </c>
      <c r="C1181" t="inlineStr">
        <is>
          <t>Avverkning för annat ändamål</t>
        </is>
      </c>
      <c r="D1181" s="1" t="n">
        <v>45844</v>
      </c>
      <c r="E1181" s="1" t="n">
        <v>46313</v>
      </c>
      <c r="F1181" t="inlineStr">
        <is>
          <t>VÄRMLANDS LÄN</t>
        </is>
      </c>
      <c r="G1181" t="inlineStr">
        <is>
          <t>SUNNE</t>
        </is>
      </c>
      <c r="I1181" t="n">
        <v>0.2</v>
      </c>
      <c r="J1181" t="n">
        <v>0</v>
      </c>
      <c r="K1181" t="n">
        <v>0</v>
      </c>
      <c r="L1181" t="n">
        <v>0</v>
      </c>
      <c r="M1181" t="n">
        <v>0</v>
      </c>
      <c r="N1181" t="n">
        <v>0</v>
      </c>
      <c r="O1181" t="n">
        <v>0</v>
      </c>
      <c r="P1181" t="n">
        <v>0</v>
      </c>
      <c r="Q1181" t="n">
        <v>0</v>
      </c>
      <c r="R1181" t="n">
        <v>0</v>
      </c>
      <c r="S1181" t="n">
        <v>0</v>
      </c>
      <c r="T1181" t="n">
        <v>0</v>
      </c>
      <c r="U1181" t="n">
        <v>0</v>
      </c>
      <c r="V1181" s="2" t="inlineStr"/>
    </row>
    <row r="1182" ht="15" customHeight="1">
      <c r="A1182" t="inlineStr">
        <is>
          <t>A 6703-2025</t>
        </is>
      </c>
      <c r="B1182" t="inlineStr">
        <is>
          <t>avverkningsanmälan</t>
        </is>
      </c>
      <c r="C1182" t="inlineStr">
        <is>
          <t>Föryngringsavverkning</t>
        </is>
      </c>
      <c r="D1182" s="1" t="n">
        <v>45700</v>
      </c>
      <c r="E1182" s="1" t="n">
        <v>46313</v>
      </c>
      <c r="F1182" t="inlineStr">
        <is>
          <t>VÄRMLANDS LÄN</t>
        </is>
      </c>
      <c r="G1182" t="inlineStr">
        <is>
          <t>SUNNE</t>
        </is>
      </c>
      <c r="I1182" t="n">
        <v>2.6</v>
      </c>
      <c r="J1182" t="n">
        <v>0</v>
      </c>
      <c r="K1182" t="n">
        <v>0</v>
      </c>
      <c r="L1182" t="n">
        <v>0</v>
      </c>
      <c r="M1182" t="n">
        <v>0</v>
      </c>
      <c r="N1182" t="n">
        <v>0</v>
      </c>
      <c r="O1182" t="n">
        <v>0</v>
      </c>
      <c r="P1182" t="n">
        <v>0</v>
      </c>
      <c r="Q1182" t="n">
        <v>0</v>
      </c>
      <c r="R1182" t="n">
        <v>0</v>
      </c>
      <c r="S1182" t="n">
        <v>0</v>
      </c>
      <c r="T1182" t="n">
        <v>0</v>
      </c>
      <c r="U1182" t="n">
        <v>0</v>
      </c>
      <c r="V1182" s="2" t="inlineStr"/>
    </row>
    <row r="1183" ht="15" customHeight="1">
      <c r="A1183" t="inlineStr">
        <is>
          <t>A 17604-2025</t>
        </is>
      </c>
      <c r="B1183" t="inlineStr">
        <is>
          <t>avverkningsanmälan</t>
        </is>
      </c>
      <c r="C1183" t="inlineStr">
        <is>
          <t>Föryngringsavverkning</t>
        </is>
      </c>
      <c r="D1183" s="1" t="n">
        <v>45757</v>
      </c>
      <c r="E1183" s="1" t="n">
        <v>46313</v>
      </c>
      <c r="F1183" t="inlineStr">
        <is>
          <t>VÄRMLANDS LÄN</t>
        </is>
      </c>
      <c r="G1183" t="inlineStr">
        <is>
          <t>SUNNE</t>
        </is>
      </c>
      <c r="H1183" t="inlineStr">
        <is>
          <t>Övriga Aktiebolag</t>
        </is>
      </c>
      <c r="I1183" t="n">
        <v>12.3</v>
      </c>
      <c r="J1183" t="n">
        <v>0</v>
      </c>
      <c r="K1183" t="n">
        <v>0</v>
      </c>
      <c r="L1183" t="n">
        <v>0</v>
      </c>
      <c r="M1183" t="n">
        <v>0</v>
      </c>
      <c r="N1183" t="n">
        <v>0</v>
      </c>
      <c r="O1183" t="n">
        <v>0</v>
      </c>
      <c r="P1183" t="n">
        <v>0</v>
      </c>
      <c r="Q1183" t="n">
        <v>0</v>
      </c>
      <c r="R1183" t="n">
        <v>0</v>
      </c>
      <c r="S1183" t="n">
        <v>0</v>
      </c>
      <c r="T1183" t="n">
        <v>0</v>
      </c>
      <c r="U1183" t="n">
        <v>0</v>
      </c>
      <c r="V1183" s="2" t="inlineStr"/>
    </row>
    <row r="1184" ht="15" customHeight="1">
      <c r="A1184" t="inlineStr">
        <is>
          <t>A 19198-2025</t>
        </is>
      </c>
      <c r="B1184" t="inlineStr">
        <is>
          <t>avverkningsanmälan</t>
        </is>
      </c>
      <c r="C1184" t="inlineStr">
        <is>
          <t>Föryngringsavverkning</t>
        </is>
      </c>
      <c r="D1184" s="1" t="n">
        <v>45769</v>
      </c>
      <c r="E1184" s="1" t="n">
        <v>46313</v>
      </c>
      <c r="F1184" t="inlineStr">
        <is>
          <t>VÄRMLANDS LÄN</t>
        </is>
      </c>
      <c r="G1184" t="inlineStr">
        <is>
          <t>SUNNE</t>
        </is>
      </c>
      <c r="I1184" t="n">
        <v>3.6</v>
      </c>
      <c r="J1184" t="n">
        <v>0</v>
      </c>
      <c r="K1184" t="n">
        <v>0</v>
      </c>
      <c r="L1184" t="n">
        <v>0</v>
      </c>
      <c r="M1184" t="n">
        <v>0</v>
      </c>
      <c r="N1184" t="n">
        <v>0</v>
      </c>
      <c r="O1184" t="n">
        <v>0</v>
      </c>
      <c r="P1184" t="n">
        <v>0</v>
      </c>
      <c r="Q1184" t="n">
        <v>0</v>
      </c>
      <c r="R1184" t="n">
        <v>0</v>
      </c>
      <c r="S1184" t="n">
        <v>0</v>
      </c>
      <c r="T1184" t="n">
        <v>0</v>
      </c>
      <c r="U1184" t="n">
        <v>0</v>
      </c>
      <c r="V1184" s="2" t="inlineStr"/>
    </row>
    <row r="1185" ht="15" customHeight="1">
      <c r="A1185" t="inlineStr">
        <is>
          <t>A 51009-2024</t>
        </is>
      </c>
      <c r="B1185" t="inlineStr">
        <is>
          <t>avverkningsanmälan</t>
        </is>
      </c>
      <c r="C1185" t="inlineStr">
        <is>
          <t>Föryngringsavverkning</t>
        </is>
      </c>
      <c r="D1185" s="1" t="n">
        <v>45603</v>
      </c>
      <c r="E1185" s="1" t="n">
        <v>46313</v>
      </c>
      <c r="F1185" t="inlineStr">
        <is>
          <t>VÄRMLANDS LÄN</t>
        </is>
      </c>
      <c r="G1185" t="inlineStr">
        <is>
          <t>SUNNE</t>
        </is>
      </c>
      <c r="I1185" t="n">
        <v>2.8</v>
      </c>
      <c r="J1185" t="n">
        <v>0</v>
      </c>
      <c r="K1185" t="n">
        <v>0</v>
      </c>
      <c r="L1185" t="n">
        <v>0</v>
      </c>
      <c r="M1185" t="n">
        <v>0</v>
      </c>
      <c r="N1185" t="n">
        <v>0</v>
      </c>
      <c r="O1185" t="n">
        <v>0</v>
      </c>
      <c r="P1185" t="n">
        <v>0</v>
      </c>
      <c r="Q1185" t="n">
        <v>0</v>
      </c>
      <c r="R1185" t="n">
        <v>0</v>
      </c>
      <c r="S1185" t="n">
        <v>0</v>
      </c>
      <c r="T1185" t="n">
        <v>0</v>
      </c>
      <c r="U1185" t="n">
        <v>0</v>
      </c>
      <c r="V1185" s="2" t="inlineStr"/>
    </row>
    <row r="1186" ht="15" customHeight="1">
      <c r="A1186" t="inlineStr">
        <is>
          <t>A 35063-2025</t>
        </is>
      </c>
      <c r="B1186" t="inlineStr">
        <is>
          <t>avverkningsanmälan</t>
        </is>
      </c>
      <c r="C1186" t="inlineStr">
        <is>
          <t>Föryngringsavverkning</t>
        </is>
      </c>
      <c r="D1186" s="1" t="n">
        <v>45852</v>
      </c>
      <c r="E1186" s="1" t="n">
        <v>46313</v>
      </c>
      <c r="F1186" t="inlineStr">
        <is>
          <t>VÄRMLANDS LÄN</t>
        </is>
      </c>
      <c r="G1186" t="inlineStr">
        <is>
          <t>SUNNE</t>
        </is>
      </c>
      <c r="H1186" t="inlineStr">
        <is>
          <t>Kyrkan</t>
        </is>
      </c>
      <c r="I1186" t="n">
        <v>3</v>
      </c>
      <c r="J1186" t="n">
        <v>0</v>
      </c>
      <c r="K1186" t="n">
        <v>0</v>
      </c>
      <c r="L1186" t="n">
        <v>0</v>
      </c>
      <c r="M1186" t="n">
        <v>0</v>
      </c>
      <c r="N1186" t="n">
        <v>0</v>
      </c>
      <c r="O1186" t="n">
        <v>0</v>
      </c>
      <c r="P1186" t="n">
        <v>0</v>
      </c>
      <c r="Q1186" t="n">
        <v>0</v>
      </c>
      <c r="R1186" t="n">
        <v>0</v>
      </c>
      <c r="S1186" t="n">
        <v>0</v>
      </c>
      <c r="T1186" t="n">
        <v>0</v>
      </c>
      <c r="U1186" t="n">
        <v>0</v>
      </c>
      <c r="V1186" s="2" t="inlineStr"/>
    </row>
    <row r="1187" ht="15" customHeight="1">
      <c r="A1187" t="inlineStr">
        <is>
          <t>A 35077-2025</t>
        </is>
      </c>
      <c r="B1187" t="inlineStr">
        <is>
          <t>avverkningsanmälan</t>
        </is>
      </c>
      <c r="C1187" t="inlineStr">
        <is>
          <t>Föryngringsavverkning</t>
        </is>
      </c>
      <c r="D1187" s="1" t="n">
        <v>45852</v>
      </c>
      <c r="E1187" s="1" t="n">
        <v>46313</v>
      </c>
      <c r="F1187" t="inlineStr">
        <is>
          <t>VÄRMLANDS LÄN</t>
        </is>
      </c>
      <c r="G1187" t="inlineStr">
        <is>
          <t>SUNNE</t>
        </is>
      </c>
      <c r="H1187" t="inlineStr">
        <is>
          <t>Bergvik skog väst AB</t>
        </is>
      </c>
      <c r="I1187" t="n">
        <v>5.3</v>
      </c>
      <c r="J1187" t="n">
        <v>0</v>
      </c>
      <c r="K1187" t="n">
        <v>0</v>
      </c>
      <c r="L1187" t="n">
        <v>0</v>
      </c>
      <c r="M1187" t="n">
        <v>0</v>
      </c>
      <c r="N1187" t="n">
        <v>0</v>
      </c>
      <c r="O1187" t="n">
        <v>0</v>
      </c>
      <c r="P1187" t="n">
        <v>0</v>
      </c>
      <c r="Q1187" t="n">
        <v>0</v>
      </c>
      <c r="R1187" t="n">
        <v>0</v>
      </c>
      <c r="S1187" t="n">
        <v>0</v>
      </c>
      <c r="T1187" t="n">
        <v>0</v>
      </c>
      <c r="U1187" t="n">
        <v>0</v>
      </c>
      <c r="V1187" s="2" t="inlineStr"/>
    </row>
    <row r="1188" ht="15" customHeight="1">
      <c r="A1188" t="inlineStr">
        <is>
          <t>A 51281-2024</t>
        </is>
      </c>
      <c r="B1188" t="inlineStr">
        <is>
          <t>avverkningsanmälan</t>
        </is>
      </c>
      <c r="C1188" t="inlineStr">
        <is>
          <t>Föryngringsavverkning</t>
        </is>
      </c>
      <c r="D1188" s="1" t="n">
        <v>45603</v>
      </c>
      <c r="E1188" s="1" t="n">
        <v>46313</v>
      </c>
      <c r="F1188" t="inlineStr">
        <is>
          <t>VÄRMLANDS LÄN</t>
        </is>
      </c>
      <c r="G1188" t="inlineStr">
        <is>
          <t>SUNNE</t>
        </is>
      </c>
      <c r="I1188" t="n">
        <v>1</v>
      </c>
      <c r="J1188" t="n">
        <v>0</v>
      </c>
      <c r="K1188" t="n">
        <v>0</v>
      </c>
      <c r="L1188" t="n">
        <v>0</v>
      </c>
      <c r="M1188" t="n">
        <v>0</v>
      </c>
      <c r="N1188" t="n">
        <v>0</v>
      </c>
      <c r="O1188" t="n">
        <v>0</v>
      </c>
      <c r="P1188" t="n">
        <v>0</v>
      </c>
      <c r="Q1188" t="n">
        <v>0</v>
      </c>
      <c r="R1188" t="n">
        <v>0</v>
      </c>
      <c r="S1188" t="n">
        <v>0</v>
      </c>
      <c r="T1188" t="n">
        <v>0</v>
      </c>
      <c r="U1188" t="n">
        <v>0</v>
      </c>
      <c r="V1188" s="2" t="inlineStr"/>
    </row>
    <row r="1189" ht="15" customHeight="1">
      <c r="A1189" t="inlineStr">
        <is>
          <t>A 45752-2024</t>
        </is>
      </c>
      <c r="B1189" t="inlineStr">
        <is>
          <t>avverkningsanmälan</t>
        </is>
      </c>
      <c r="C1189" t="inlineStr">
        <is>
          <t>Föryngringsavverkning</t>
        </is>
      </c>
      <c r="D1189" s="1" t="n">
        <v>45579</v>
      </c>
      <c r="E1189" s="1" t="n">
        <v>46313</v>
      </c>
      <c r="F1189" t="inlineStr">
        <is>
          <t>VÄRMLANDS LÄN</t>
        </is>
      </c>
      <c r="G1189" t="inlineStr">
        <is>
          <t>SUNNE</t>
        </is>
      </c>
      <c r="I1189" t="n">
        <v>2.6</v>
      </c>
      <c r="J1189" t="n">
        <v>0</v>
      </c>
      <c r="K1189" t="n">
        <v>0</v>
      </c>
      <c r="L1189" t="n">
        <v>0</v>
      </c>
      <c r="M1189" t="n">
        <v>0</v>
      </c>
      <c r="N1189" t="n">
        <v>0</v>
      </c>
      <c r="O1189" t="n">
        <v>0</v>
      </c>
      <c r="P1189" t="n">
        <v>0</v>
      </c>
      <c r="Q1189" t="n">
        <v>0</v>
      </c>
      <c r="R1189" t="n">
        <v>0</v>
      </c>
      <c r="S1189" t="n">
        <v>0</v>
      </c>
      <c r="T1189" t="n">
        <v>0</v>
      </c>
      <c r="U1189" t="n">
        <v>0</v>
      </c>
      <c r="V1189" s="2" t="inlineStr"/>
    </row>
    <row r="1190" ht="15" customHeight="1">
      <c r="A1190" t="inlineStr">
        <is>
          <t>A 35064-2025</t>
        </is>
      </c>
      <c r="B1190" t="inlineStr">
        <is>
          <t>avverkningsanmälan</t>
        </is>
      </c>
      <c r="C1190" t="inlineStr">
        <is>
          <t>Föryngringsavverkning</t>
        </is>
      </c>
      <c r="D1190" s="1" t="n">
        <v>45852</v>
      </c>
      <c r="E1190" s="1" t="n">
        <v>46313</v>
      </c>
      <c r="F1190" t="inlineStr">
        <is>
          <t>VÄRMLANDS LÄN</t>
        </is>
      </c>
      <c r="G1190" t="inlineStr">
        <is>
          <t>SUNNE</t>
        </is>
      </c>
      <c r="H1190" t="inlineStr">
        <is>
          <t>Kyrkan</t>
        </is>
      </c>
      <c r="I1190" t="n">
        <v>0.6</v>
      </c>
      <c r="J1190" t="n">
        <v>0</v>
      </c>
      <c r="K1190" t="n">
        <v>0</v>
      </c>
      <c r="L1190" t="n">
        <v>0</v>
      </c>
      <c r="M1190" t="n">
        <v>0</v>
      </c>
      <c r="N1190" t="n">
        <v>0</v>
      </c>
      <c r="O1190" t="n">
        <v>0</v>
      </c>
      <c r="P1190" t="n">
        <v>0</v>
      </c>
      <c r="Q1190" t="n">
        <v>0</v>
      </c>
      <c r="R1190" t="n">
        <v>0</v>
      </c>
      <c r="S1190" t="n">
        <v>0</v>
      </c>
      <c r="T1190" t="n">
        <v>0</v>
      </c>
      <c r="U1190" t="n">
        <v>0</v>
      </c>
      <c r="V1190" s="2" t="inlineStr"/>
    </row>
    <row r="1191" ht="15" customHeight="1">
      <c r="A1191" t="inlineStr">
        <is>
          <t>A 20032-2025</t>
        </is>
      </c>
      <c r="B1191" t="inlineStr">
        <is>
          <t>avverkningsanmälan</t>
        </is>
      </c>
      <c r="C1191" t="inlineStr">
        <is>
          <t>Föryngringsavverkning</t>
        </is>
      </c>
      <c r="D1191" s="1" t="n">
        <v>45772</v>
      </c>
      <c r="E1191" s="1" t="n">
        <v>46313</v>
      </c>
      <c r="F1191" t="inlineStr">
        <is>
          <t>VÄRMLANDS LÄN</t>
        </is>
      </c>
      <c r="G1191" t="inlineStr">
        <is>
          <t>SUNNE</t>
        </is>
      </c>
      <c r="I1191" t="n">
        <v>1.2</v>
      </c>
      <c r="J1191" t="n">
        <v>0</v>
      </c>
      <c r="K1191" t="n">
        <v>0</v>
      </c>
      <c r="L1191" t="n">
        <v>0</v>
      </c>
      <c r="M1191" t="n">
        <v>0</v>
      </c>
      <c r="N1191" t="n">
        <v>0</v>
      </c>
      <c r="O1191" t="n">
        <v>0</v>
      </c>
      <c r="P1191" t="n">
        <v>0</v>
      </c>
      <c r="Q1191" t="n">
        <v>0</v>
      </c>
      <c r="R1191" t="n">
        <v>0</v>
      </c>
      <c r="S1191" t="n">
        <v>0</v>
      </c>
      <c r="T1191" t="n">
        <v>0</v>
      </c>
      <c r="U1191" t="n">
        <v>0</v>
      </c>
      <c r="V1191" s="2" t="inlineStr"/>
    </row>
    <row r="1192" ht="15" customHeight="1">
      <c r="A1192" t="inlineStr">
        <is>
          <t>A 35218-2025</t>
        </is>
      </c>
      <c r="B1192" t="inlineStr">
        <is>
          <t>avverkningsanmälan</t>
        </is>
      </c>
      <c r="C1192" t="inlineStr">
        <is>
          <t>Föryngringsavverkning</t>
        </is>
      </c>
      <c r="D1192" s="1" t="n">
        <v>45853</v>
      </c>
      <c r="E1192" s="1" t="n">
        <v>46313</v>
      </c>
      <c r="F1192" t="inlineStr">
        <is>
          <t>VÄRMLANDS LÄN</t>
        </is>
      </c>
      <c r="G1192" t="inlineStr">
        <is>
          <t>SUNNE</t>
        </is>
      </c>
      <c r="I1192" t="n">
        <v>0.7</v>
      </c>
      <c r="J1192" t="n">
        <v>0</v>
      </c>
      <c r="K1192" t="n">
        <v>0</v>
      </c>
      <c r="L1192" t="n">
        <v>0</v>
      </c>
      <c r="M1192" t="n">
        <v>0</v>
      </c>
      <c r="N1192" t="n">
        <v>0</v>
      </c>
      <c r="O1192" t="n">
        <v>0</v>
      </c>
      <c r="P1192" t="n">
        <v>0</v>
      </c>
      <c r="Q1192" t="n">
        <v>0</v>
      </c>
      <c r="R1192" t="n">
        <v>0</v>
      </c>
      <c r="S1192" t="n">
        <v>0</v>
      </c>
      <c r="T1192" t="n">
        <v>0</v>
      </c>
      <c r="U1192" t="n">
        <v>0</v>
      </c>
      <c r="V1192" s="2" t="inlineStr"/>
    </row>
    <row r="1193" ht="15" customHeight="1">
      <c r="A1193" t="inlineStr">
        <is>
          <t>A 24506-2024</t>
        </is>
      </c>
      <c r="B1193" t="inlineStr">
        <is>
          <t>avverkningsanmälan</t>
        </is>
      </c>
      <c r="C1193" t="inlineStr">
        <is>
          <t>Föryngringsavverkning</t>
        </is>
      </c>
      <c r="D1193" s="1" t="n">
        <v>45460</v>
      </c>
      <c r="E1193" s="1" t="n">
        <v>46313</v>
      </c>
      <c r="F1193" t="inlineStr">
        <is>
          <t>VÄRMLANDS LÄN</t>
        </is>
      </c>
      <c r="G1193" t="inlineStr">
        <is>
          <t>SUNNE</t>
        </is>
      </c>
      <c r="I1193" t="n">
        <v>5</v>
      </c>
      <c r="J1193" t="n">
        <v>0</v>
      </c>
      <c r="K1193" t="n">
        <v>0</v>
      </c>
      <c r="L1193" t="n">
        <v>0</v>
      </c>
      <c r="M1193" t="n">
        <v>0</v>
      </c>
      <c r="N1193" t="n">
        <v>0</v>
      </c>
      <c r="O1193" t="n">
        <v>0</v>
      </c>
      <c r="P1193" t="n">
        <v>0</v>
      </c>
      <c r="Q1193" t="n">
        <v>0</v>
      </c>
      <c r="R1193" t="n">
        <v>0</v>
      </c>
      <c r="S1193" t="n">
        <v>0</v>
      </c>
      <c r="T1193" t="n">
        <v>0</v>
      </c>
      <c r="U1193" t="n">
        <v>0</v>
      </c>
      <c r="V1193" s="2" t="inlineStr"/>
    </row>
    <row r="1194" ht="15" customHeight="1">
      <c r="A1194" t="inlineStr">
        <is>
          <t>A 35558-2025</t>
        </is>
      </c>
      <c r="B1194" t="inlineStr">
        <is>
          <t>avverkningsanmälan</t>
        </is>
      </c>
      <c r="C1194" t="inlineStr">
        <is>
          <t>Föryngringsavverkning</t>
        </is>
      </c>
      <c r="D1194" s="1" t="n">
        <v>45856</v>
      </c>
      <c r="E1194" s="1" t="n">
        <v>46313</v>
      </c>
      <c r="F1194" t="inlineStr">
        <is>
          <t>VÄRMLANDS LÄN</t>
        </is>
      </c>
      <c r="G1194" t="inlineStr">
        <is>
          <t>SUNNE</t>
        </is>
      </c>
      <c r="H1194" t="inlineStr">
        <is>
          <t>Bergvik skog väst AB</t>
        </is>
      </c>
      <c r="I1194" t="n">
        <v>0.7</v>
      </c>
      <c r="J1194" t="n">
        <v>0</v>
      </c>
      <c r="K1194" t="n">
        <v>0</v>
      </c>
      <c r="L1194" t="n">
        <v>0</v>
      </c>
      <c r="M1194" t="n">
        <v>0</v>
      </c>
      <c r="N1194" t="n">
        <v>0</v>
      </c>
      <c r="O1194" t="n">
        <v>0</v>
      </c>
      <c r="P1194" t="n">
        <v>0</v>
      </c>
      <c r="Q1194" t="n">
        <v>0</v>
      </c>
      <c r="R1194" t="n">
        <v>0</v>
      </c>
      <c r="S1194" t="n">
        <v>0</v>
      </c>
      <c r="T1194" t="n">
        <v>0</v>
      </c>
      <c r="U1194" t="n">
        <v>0</v>
      </c>
      <c r="V1194" s="2" t="inlineStr"/>
    </row>
    <row r="1195" ht="15" customHeight="1">
      <c r="A1195" t="inlineStr">
        <is>
          <t>A 35574-2025</t>
        </is>
      </c>
      <c r="B1195" t="inlineStr">
        <is>
          <t>avverkningsanmälan</t>
        </is>
      </c>
      <c r="C1195" t="inlineStr">
        <is>
          <t>Föryngringsavverkning</t>
        </is>
      </c>
      <c r="D1195" s="1" t="n">
        <v>45856</v>
      </c>
      <c r="E1195" s="1" t="n">
        <v>46313</v>
      </c>
      <c r="F1195" t="inlineStr">
        <is>
          <t>VÄRMLANDS LÄN</t>
        </is>
      </c>
      <c r="G1195" t="inlineStr">
        <is>
          <t>SUNNE</t>
        </is>
      </c>
      <c r="H1195" t="inlineStr">
        <is>
          <t>Kyrkan</t>
        </is>
      </c>
      <c r="I1195" t="n">
        <v>1.9</v>
      </c>
      <c r="J1195" t="n">
        <v>0</v>
      </c>
      <c r="K1195" t="n">
        <v>0</v>
      </c>
      <c r="L1195" t="n">
        <v>0</v>
      </c>
      <c r="M1195" t="n">
        <v>0</v>
      </c>
      <c r="N1195" t="n">
        <v>0</v>
      </c>
      <c r="O1195" t="n">
        <v>0</v>
      </c>
      <c r="P1195" t="n">
        <v>0</v>
      </c>
      <c r="Q1195" t="n">
        <v>0</v>
      </c>
      <c r="R1195" t="n">
        <v>0</v>
      </c>
      <c r="S1195" t="n">
        <v>0</v>
      </c>
      <c r="T1195" t="n">
        <v>0</v>
      </c>
      <c r="U1195" t="n">
        <v>0</v>
      </c>
      <c r="V1195" s="2" t="inlineStr"/>
    </row>
    <row r="1196" ht="15" customHeight="1">
      <c r="A1196" t="inlineStr">
        <is>
          <t>A 35609-2025</t>
        </is>
      </c>
      <c r="B1196" t="inlineStr">
        <is>
          <t>avverkningsanmälan</t>
        </is>
      </c>
      <c r="C1196" t="inlineStr">
        <is>
          <t>Föryngringsavverkning</t>
        </is>
      </c>
      <c r="D1196" s="1" t="n">
        <v>45859</v>
      </c>
      <c r="E1196" s="1" t="n">
        <v>46313</v>
      </c>
      <c r="F1196" t="inlineStr">
        <is>
          <t>VÄRMLANDS LÄN</t>
        </is>
      </c>
      <c r="G1196" t="inlineStr">
        <is>
          <t>SUNNE</t>
        </is>
      </c>
      <c r="H1196" t="inlineStr">
        <is>
          <t>Bergvik skog väst AB</t>
        </is>
      </c>
      <c r="I1196" t="n">
        <v>0.8</v>
      </c>
      <c r="J1196" t="n">
        <v>0</v>
      </c>
      <c r="K1196" t="n">
        <v>0</v>
      </c>
      <c r="L1196" t="n">
        <v>0</v>
      </c>
      <c r="M1196" t="n">
        <v>0</v>
      </c>
      <c r="N1196" t="n">
        <v>0</v>
      </c>
      <c r="O1196" t="n">
        <v>0</v>
      </c>
      <c r="P1196" t="n">
        <v>0</v>
      </c>
      <c r="Q1196" t="n">
        <v>0</v>
      </c>
      <c r="R1196" t="n">
        <v>0</v>
      </c>
      <c r="S1196" t="n">
        <v>0</v>
      </c>
      <c r="T1196" t="n">
        <v>0</v>
      </c>
      <c r="U1196" t="n">
        <v>0</v>
      </c>
      <c r="V1196" s="2" t="inlineStr"/>
    </row>
    <row r="1197" ht="15" customHeight="1">
      <c r="A1197" t="inlineStr">
        <is>
          <t>A 35564-2025</t>
        </is>
      </c>
      <c r="B1197" t="inlineStr">
        <is>
          <t>avverkningsanmälan</t>
        </is>
      </c>
      <c r="C1197" t="inlineStr">
        <is>
          <t>Föryngringsavverkning</t>
        </is>
      </c>
      <c r="D1197" s="1" t="n">
        <v>45856</v>
      </c>
      <c r="E1197" s="1" t="n">
        <v>46313</v>
      </c>
      <c r="F1197" t="inlineStr">
        <is>
          <t>VÄRMLANDS LÄN</t>
        </is>
      </c>
      <c r="G1197" t="inlineStr">
        <is>
          <t>SUNNE</t>
        </is>
      </c>
      <c r="H1197" t="inlineStr">
        <is>
          <t>Bergvik skog väst AB</t>
        </is>
      </c>
      <c r="I1197" t="n">
        <v>2.3</v>
      </c>
      <c r="J1197" t="n">
        <v>0</v>
      </c>
      <c r="K1197" t="n">
        <v>0</v>
      </c>
      <c r="L1197" t="n">
        <v>0</v>
      </c>
      <c r="M1197" t="n">
        <v>0</v>
      </c>
      <c r="N1197" t="n">
        <v>0</v>
      </c>
      <c r="O1197" t="n">
        <v>0</v>
      </c>
      <c r="P1197" t="n">
        <v>0</v>
      </c>
      <c r="Q1197" t="n">
        <v>0</v>
      </c>
      <c r="R1197" t="n">
        <v>0</v>
      </c>
      <c r="S1197" t="n">
        <v>0</v>
      </c>
      <c r="T1197" t="n">
        <v>0</v>
      </c>
      <c r="U1197" t="n">
        <v>0</v>
      </c>
      <c r="V1197" s="2" t="inlineStr"/>
    </row>
    <row r="1198" ht="15" customHeight="1">
      <c r="A1198" t="inlineStr">
        <is>
          <t>A 35612-2025</t>
        </is>
      </c>
      <c r="B1198" t="inlineStr">
        <is>
          <t>avverkningsanmälan</t>
        </is>
      </c>
      <c r="C1198" t="inlineStr">
        <is>
          <t>Föryngringsavverkning</t>
        </is>
      </c>
      <c r="D1198" s="1" t="n">
        <v>45859</v>
      </c>
      <c r="E1198" s="1" t="n">
        <v>46313</v>
      </c>
      <c r="F1198" t="inlineStr">
        <is>
          <t>VÄRMLANDS LÄN</t>
        </is>
      </c>
      <c r="G1198" t="inlineStr">
        <is>
          <t>SUNNE</t>
        </is>
      </c>
      <c r="H1198" t="inlineStr">
        <is>
          <t>Bergvik skog väst AB</t>
        </is>
      </c>
      <c r="I1198" t="n">
        <v>0.7</v>
      </c>
      <c r="J1198" t="n">
        <v>0</v>
      </c>
      <c r="K1198" t="n">
        <v>0</v>
      </c>
      <c r="L1198" t="n">
        <v>0</v>
      </c>
      <c r="M1198" t="n">
        <v>0</v>
      </c>
      <c r="N1198" t="n">
        <v>0</v>
      </c>
      <c r="O1198" t="n">
        <v>0</v>
      </c>
      <c r="P1198" t="n">
        <v>0</v>
      </c>
      <c r="Q1198" t="n">
        <v>0</v>
      </c>
      <c r="R1198" t="n">
        <v>0</v>
      </c>
      <c r="S1198" t="n">
        <v>0</v>
      </c>
      <c r="T1198" t="n">
        <v>0</v>
      </c>
      <c r="U1198" t="n">
        <v>0</v>
      </c>
      <c r="V1198" s="2" t="inlineStr"/>
    </row>
    <row r="1199" ht="15" customHeight="1">
      <c r="A1199" t="inlineStr">
        <is>
          <t>A 35756-2025</t>
        </is>
      </c>
      <c r="B1199" t="inlineStr">
        <is>
          <t>avverkningsanmälan</t>
        </is>
      </c>
      <c r="C1199" t="inlineStr">
        <is>
          <t>Föryngringsavverkning</t>
        </is>
      </c>
      <c r="D1199" s="1" t="n">
        <v>45860</v>
      </c>
      <c r="E1199" s="1" t="n">
        <v>46313</v>
      </c>
      <c r="F1199" t="inlineStr">
        <is>
          <t>VÄRMLANDS LÄN</t>
        </is>
      </c>
      <c r="G1199" t="inlineStr">
        <is>
          <t>SUNNE</t>
        </is>
      </c>
      <c r="I1199" t="n">
        <v>7.5</v>
      </c>
      <c r="J1199" t="n">
        <v>0</v>
      </c>
      <c r="K1199" t="n">
        <v>0</v>
      </c>
      <c r="L1199" t="n">
        <v>0</v>
      </c>
      <c r="M1199" t="n">
        <v>0</v>
      </c>
      <c r="N1199" t="n">
        <v>0</v>
      </c>
      <c r="O1199" t="n">
        <v>0</v>
      </c>
      <c r="P1199" t="n">
        <v>0</v>
      </c>
      <c r="Q1199" t="n">
        <v>0</v>
      </c>
      <c r="R1199" t="n">
        <v>0</v>
      </c>
      <c r="S1199" t="n">
        <v>0</v>
      </c>
      <c r="T1199" t="n">
        <v>0</v>
      </c>
      <c r="U1199" t="n">
        <v>0</v>
      </c>
      <c r="V1199" s="2" t="inlineStr"/>
    </row>
    <row r="1200" ht="15" customHeight="1">
      <c r="A1200" t="inlineStr">
        <is>
          <t>A 35613-2025</t>
        </is>
      </c>
      <c r="B1200" t="inlineStr">
        <is>
          <t>avverkningsanmälan</t>
        </is>
      </c>
      <c r="C1200" t="inlineStr">
        <is>
          <t>Föryngringsavverkning</t>
        </is>
      </c>
      <c r="D1200" s="1" t="n">
        <v>45859</v>
      </c>
      <c r="E1200" s="1" t="n">
        <v>46313</v>
      </c>
      <c r="F1200" t="inlineStr">
        <is>
          <t>VÄRMLANDS LÄN</t>
        </is>
      </c>
      <c r="G1200" t="inlineStr">
        <is>
          <t>SUNNE</t>
        </is>
      </c>
      <c r="H1200" t="inlineStr">
        <is>
          <t>Bergvik skog väst AB</t>
        </is>
      </c>
      <c r="I1200" t="n">
        <v>1.4</v>
      </c>
      <c r="J1200" t="n">
        <v>0</v>
      </c>
      <c r="K1200" t="n">
        <v>0</v>
      </c>
      <c r="L1200" t="n">
        <v>0</v>
      </c>
      <c r="M1200" t="n">
        <v>0</v>
      </c>
      <c r="N1200" t="n">
        <v>0</v>
      </c>
      <c r="O1200" t="n">
        <v>0</v>
      </c>
      <c r="P1200" t="n">
        <v>0</v>
      </c>
      <c r="Q1200" t="n">
        <v>0</v>
      </c>
      <c r="R1200" t="n">
        <v>0</v>
      </c>
      <c r="S1200" t="n">
        <v>0</v>
      </c>
      <c r="T1200" t="n">
        <v>0</v>
      </c>
      <c r="U1200" t="n">
        <v>0</v>
      </c>
      <c r="V1200" s="2" t="inlineStr"/>
    </row>
    <row r="1201" ht="15" customHeight="1">
      <c r="A1201" t="inlineStr">
        <is>
          <t>A 13275-2025</t>
        </is>
      </c>
      <c r="B1201" t="inlineStr">
        <is>
          <t>avverkningsanmälan</t>
        </is>
      </c>
      <c r="C1201" t="inlineStr">
        <is>
          <t>Föryngringsavverkning</t>
        </is>
      </c>
      <c r="D1201" s="1" t="n">
        <v>45735</v>
      </c>
      <c r="E1201" s="1" t="n">
        <v>46313</v>
      </c>
      <c r="F1201" t="inlineStr">
        <is>
          <t>VÄRMLANDS LÄN</t>
        </is>
      </c>
      <c r="G1201" t="inlineStr">
        <is>
          <t>SUNNE</t>
        </is>
      </c>
      <c r="H1201" t="inlineStr">
        <is>
          <t>Bergvik skog väst AB</t>
        </is>
      </c>
      <c r="I1201" t="n">
        <v>1.3</v>
      </c>
      <c r="J1201" t="n">
        <v>0</v>
      </c>
      <c r="K1201" t="n">
        <v>0</v>
      </c>
      <c r="L1201" t="n">
        <v>0</v>
      </c>
      <c r="M1201" t="n">
        <v>0</v>
      </c>
      <c r="N1201" t="n">
        <v>0</v>
      </c>
      <c r="O1201" t="n">
        <v>0</v>
      </c>
      <c r="P1201" t="n">
        <v>0</v>
      </c>
      <c r="Q1201" t="n">
        <v>0</v>
      </c>
      <c r="R1201" t="n">
        <v>0</v>
      </c>
      <c r="S1201" t="n">
        <v>0</v>
      </c>
      <c r="T1201" t="n">
        <v>0</v>
      </c>
      <c r="U1201" t="n">
        <v>0</v>
      </c>
      <c r="V1201" s="2" t="inlineStr"/>
    </row>
    <row r="1202" ht="15" customHeight="1">
      <c r="A1202" t="inlineStr">
        <is>
          <t>A 36822-2025</t>
        </is>
      </c>
      <c r="B1202" t="inlineStr">
        <is>
          <t>avverkningsanmälan</t>
        </is>
      </c>
      <c r="C1202" t="inlineStr">
        <is>
          <t>Föryngringsavverkning</t>
        </is>
      </c>
      <c r="D1202" s="1" t="n">
        <v>45873</v>
      </c>
      <c r="E1202" s="1" t="n">
        <v>46313</v>
      </c>
      <c r="F1202" t="inlineStr">
        <is>
          <t>VÄRMLANDS LÄN</t>
        </is>
      </c>
      <c r="G1202" t="inlineStr">
        <is>
          <t>SUNNE</t>
        </is>
      </c>
      <c r="I1202" t="n">
        <v>1.6</v>
      </c>
      <c r="J1202" t="n">
        <v>0</v>
      </c>
      <c r="K1202" t="n">
        <v>0</v>
      </c>
      <c r="L1202" t="n">
        <v>0</v>
      </c>
      <c r="M1202" t="n">
        <v>0</v>
      </c>
      <c r="N1202" t="n">
        <v>0</v>
      </c>
      <c r="O1202" t="n">
        <v>0</v>
      </c>
      <c r="P1202" t="n">
        <v>0</v>
      </c>
      <c r="Q1202" t="n">
        <v>0</v>
      </c>
      <c r="R1202" t="n">
        <v>0</v>
      </c>
      <c r="S1202" t="n">
        <v>0</v>
      </c>
      <c r="T1202" t="n">
        <v>0</v>
      </c>
      <c r="U1202" t="n">
        <v>0</v>
      </c>
      <c r="V1202" s="2" t="inlineStr"/>
    </row>
    <row r="1203" ht="15" customHeight="1">
      <c r="A1203" t="inlineStr">
        <is>
          <t>A 37006-2025</t>
        </is>
      </c>
      <c r="B1203" t="inlineStr">
        <is>
          <t>avverkningsanmälan</t>
        </is>
      </c>
      <c r="C1203" t="inlineStr">
        <is>
          <t>Föryngringsavverkning</t>
        </is>
      </c>
      <c r="D1203" s="1" t="n">
        <v>45874</v>
      </c>
      <c r="E1203" s="1" t="n">
        <v>46313</v>
      </c>
      <c r="F1203" t="inlineStr">
        <is>
          <t>VÄRMLANDS LÄN</t>
        </is>
      </c>
      <c r="G1203" t="inlineStr">
        <is>
          <t>SUNNE</t>
        </is>
      </c>
      <c r="I1203" t="n">
        <v>1</v>
      </c>
      <c r="J1203" t="n">
        <v>0</v>
      </c>
      <c r="K1203" t="n">
        <v>0</v>
      </c>
      <c r="L1203" t="n">
        <v>0</v>
      </c>
      <c r="M1203" t="n">
        <v>0</v>
      </c>
      <c r="N1203" t="n">
        <v>0</v>
      </c>
      <c r="O1203" t="n">
        <v>0</v>
      </c>
      <c r="P1203" t="n">
        <v>0</v>
      </c>
      <c r="Q1203" t="n">
        <v>0</v>
      </c>
      <c r="R1203" t="n">
        <v>0</v>
      </c>
      <c r="S1203" t="n">
        <v>0</v>
      </c>
      <c r="T1203" t="n">
        <v>0</v>
      </c>
      <c r="U1203" t="n">
        <v>0</v>
      </c>
      <c r="V1203" s="2" t="inlineStr"/>
    </row>
    <row r="1204" ht="15" customHeight="1">
      <c r="A1204" t="inlineStr">
        <is>
          <t>A 36885-2025</t>
        </is>
      </c>
      <c r="B1204" t="inlineStr">
        <is>
          <t>avverkningsanmälan</t>
        </is>
      </c>
      <c r="C1204" t="inlineStr">
        <is>
          <t>Föryngringsavverkning</t>
        </is>
      </c>
      <c r="D1204" s="1" t="n">
        <v>45874</v>
      </c>
      <c r="E1204" s="1" t="n">
        <v>46313</v>
      </c>
      <c r="F1204" t="inlineStr">
        <is>
          <t>VÄRMLANDS LÄN</t>
        </is>
      </c>
      <c r="G1204" t="inlineStr">
        <is>
          <t>SUNNE</t>
        </is>
      </c>
      <c r="H1204" t="inlineStr">
        <is>
          <t>Bergvik skog väst AB</t>
        </is>
      </c>
      <c r="I1204" t="n">
        <v>3.6</v>
      </c>
      <c r="J1204" t="n">
        <v>0</v>
      </c>
      <c r="K1204" t="n">
        <v>0</v>
      </c>
      <c r="L1204" t="n">
        <v>0</v>
      </c>
      <c r="M1204" t="n">
        <v>0</v>
      </c>
      <c r="N1204" t="n">
        <v>0</v>
      </c>
      <c r="O1204" t="n">
        <v>0</v>
      </c>
      <c r="P1204" t="n">
        <v>0</v>
      </c>
      <c r="Q1204" t="n">
        <v>0</v>
      </c>
      <c r="R1204" t="n">
        <v>0</v>
      </c>
      <c r="S1204" t="n">
        <v>0</v>
      </c>
      <c r="T1204" t="n">
        <v>0</v>
      </c>
      <c r="U1204" t="n">
        <v>0</v>
      </c>
      <c r="V1204" s="2" t="inlineStr"/>
    </row>
    <row r="1205" ht="15" customHeight="1">
      <c r="A1205" t="inlineStr">
        <is>
          <t>A 36923-2025</t>
        </is>
      </c>
      <c r="B1205" t="inlineStr">
        <is>
          <t>avverkningsanmälan</t>
        </is>
      </c>
      <c r="C1205" t="inlineStr">
        <is>
          <t>Föryngringsavverkning</t>
        </is>
      </c>
      <c r="D1205" s="1" t="n">
        <v>45874</v>
      </c>
      <c r="E1205" s="1" t="n">
        <v>46313</v>
      </c>
      <c r="F1205" t="inlineStr">
        <is>
          <t>VÄRMLANDS LÄN</t>
        </is>
      </c>
      <c r="G1205" t="inlineStr">
        <is>
          <t>SUNNE</t>
        </is>
      </c>
      <c r="H1205" t="inlineStr">
        <is>
          <t>Bergvik skog väst AB</t>
        </is>
      </c>
      <c r="I1205" t="n">
        <v>6</v>
      </c>
      <c r="J1205" t="n">
        <v>0</v>
      </c>
      <c r="K1205" t="n">
        <v>0</v>
      </c>
      <c r="L1205" t="n">
        <v>0</v>
      </c>
      <c r="M1205" t="n">
        <v>0</v>
      </c>
      <c r="N1205" t="n">
        <v>0</v>
      </c>
      <c r="O1205" t="n">
        <v>0</v>
      </c>
      <c r="P1205" t="n">
        <v>0</v>
      </c>
      <c r="Q1205" t="n">
        <v>0</v>
      </c>
      <c r="R1205" t="n">
        <v>0</v>
      </c>
      <c r="S1205" t="n">
        <v>0</v>
      </c>
      <c r="T1205" t="n">
        <v>0</v>
      </c>
      <c r="U1205" t="n">
        <v>0</v>
      </c>
      <c r="V1205" s="2" t="inlineStr"/>
    </row>
    <row r="1206" ht="15" customHeight="1">
      <c r="A1206" t="inlineStr">
        <is>
          <t>A 36898-2025</t>
        </is>
      </c>
      <c r="B1206" t="inlineStr">
        <is>
          <t>avverkningsanmälan</t>
        </is>
      </c>
      <c r="C1206" t="inlineStr">
        <is>
          <t>Föryngringsavverkning</t>
        </is>
      </c>
      <c r="D1206" s="1" t="n">
        <v>45874</v>
      </c>
      <c r="E1206" s="1" t="n">
        <v>46313</v>
      </c>
      <c r="F1206" t="inlineStr">
        <is>
          <t>VÄRMLANDS LÄN</t>
        </is>
      </c>
      <c r="G1206" t="inlineStr">
        <is>
          <t>SUNNE</t>
        </is>
      </c>
      <c r="H1206" t="inlineStr">
        <is>
          <t>Bergvik skog väst AB</t>
        </is>
      </c>
      <c r="I1206" t="n">
        <v>0.9</v>
      </c>
      <c r="J1206" t="n">
        <v>0</v>
      </c>
      <c r="K1206" t="n">
        <v>0</v>
      </c>
      <c r="L1206" t="n">
        <v>0</v>
      </c>
      <c r="M1206" t="n">
        <v>0</v>
      </c>
      <c r="N1206" t="n">
        <v>0</v>
      </c>
      <c r="O1206" t="n">
        <v>0</v>
      </c>
      <c r="P1206" t="n">
        <v>0</v>
      </c>
      <c r="Q1206" t="n">
        <v>0</v>
      </c>
      <c r="R1206" t="n">
        <v>0</v>
      </c>
      <c r="S1206" t="n">
        <v>0</v>
      </c>
      <c r="T1206" t="n">
        <v>0</v>
      </c>
      <c r="U1206" t="n">
        <v>0</v>
      </c>
      <c r="V1206" s="2" t="inlineStr"/>
    </row>
    <row r="1207" ht="15" customHeight="1">
      <c r="A1207" t="inlineStr">
        <is>
          <t>A 17579-2024</t>
        </is>
      </c>
      <c r="B1207" t="inlineStr">
        <is>
          <t>avverkningsanmälan</t>
        </is>
      </c>
      <c r="C1207" t="inlineStr">
        <is>
          <t>Föryngringsavverkning</t>
        </is>
      </c>
      <c r="D1207" s="1" t="n">
        <v>45415</v>
      </c>
      <c r="E1207" s="1" t="n">
        <v>46313</v>
      </c>
      <c r="F1207" t="inlineStr">
        <is>
          <t>VÄRMLANDS LÄN</t>
        </is>
      </c>
      <c r="G1207" t="inlineStr">
        <is>
          <t>SUNNE</t>
        </is>
      </c>
      <c r="I1207" t="n">
        <v>1.1</v>
      </c>
      <c r="J1207" t="n">
        <v>0</v>
      </c>
      <c r="K1207" t="n">
        <v>0</v>
      </c>
      <c r="L1207" t="n">
        <v>0</v>
      </c>
      <c r="M1207" t="n">
        <v>0</v>
      </c>
      <c r="N1207" t="n">
        <v>0</v>
      </c>
      <c r="O1207" t="n">
        <v>0</v>
      </c>
      <c r="P1207" t="n">
        <v>0</v>
      </c>
      <c r="Q1207" t="n">
        <v>0</v>
      </c>
      <c r="R1207" t="n">
        <v>0</v>
      </c>
      <c r="S1207" t="n">
        <v>0</v>
      </c>
      <c r="T1207" t="n">
        <v>0</v>
      </c>
      <c r="U1207" t="n">
        <v>0</v>
      </c>
      <c r="V1207" s="2" t="inlineStr"/>
    </row>
    <row r="1208" ht="15" customHeight="1">
      <c r="A1208" t="inlineStr">
        <is>
          <t>A 20269-2025</t>
        </is>
      </c>
      <c r="B1208" t="inlineStr">
        <is>
          <t>avverkningsanmälan</t>
        </is>
      </c>
      <c r="C1208" t="inlineStr">
        <is>
          <t>Föryngringsavverkning</t>
        </is>
      </c>
      <c r="D1208" s="1" t="n">
        <v>45773</v>
      </c>
      <c r="E1208" s="1" t="n">
        <v>46313</v>
      </c>
      <c r="F1208" t="inlineStr">
        <is>
          <t>VÄRMLANDS LÄN</t>
        </is>
      </c>
      <c r="G1208" t="inlineStr">
        <is>
          <t>SUNNE</t>
        </is>
      </c>
      <c r="I1208" t="n">
        <v>0.9</v>
      </c>
      <c r="J1208" t="n">
        <v>0</v>
      </c>
      <c r="K1208" t="n">
        <v>0</v>
      </c>
      <c r="L1208" t="n">
        <v>0</v>
      </c>
      <c r="M1208" t="n">
        <v>0</v>
      </c>
      <c r="N1208" t="n">
        <v>0</v>
      </c>
      <c r="O1208" t="n">
        <v>0</v>
      </c>
      <c r="P1208" t="n">
        <v>0</v>
      </c>
      <c r="Q1208" t="n">
        <v>0</v>
      </c>
      <c r="R1208" t="n">
        <v>0</v>
      </c>
      <c r="S1208" t="n">
        <v>0</v>
      </c>
      <c r="T1208" t="n">
        <v>0</v>
      </c>
      <c r="U1208" t="n">
        <v>0</v>
      </c>
      <c r="V1208" s="2" t="inlineStr"/>
    </row>
    <row r="1209" ht="15" customHeight="1">
      <c r="A1209" t="inlineStr">
        <is>
          <t>A 16826-2024</t>
        </is>
      </c>
      <c r="B1209" t="inlineStr">
        <is>
          <t>avverkningsanmälan</t>
        </is>
      </c>
      <c r="C1209" t="inlineStr">
        <is>
          <t>Föryngringsavverkning</t>
        </is>
      </c>
      <c r="D1209" s="1" t="n">
        <v>45411</v>
      </c>
      <c r="E1209" s="1" t="n">
        <v>46313</v>
      </c>
      <c r="F1209" t="inlineStr">
        <is>
          <t>VÄRMLANDS LÄN</t>
        </is>
      </c>
      <c r="G1209" t="inlineStr">
        <is>
          <t>SUNNE</t>
        </is>
      </c>
      <c r="I1209" t="n">
        <v>0.6</v>
      </c>
      <c r="J1209" t="n">
        <v>0</v>
      </c>
      <c r="K1209" t="n">
        <v>0</v>
      </c>
      <c r="L1209" t="n">
        <v>0</v>
      </c>
      <c r="M1209" t="n">
        <v>0</v>
      </c>
      <c r="N1209" t="n">
        <v>0</v>
      </c>
      <c r="O1209" t="n">
        <v>0</v>
      </c>
      <c r="P1209" t="n">
        <v>0</v>
      </c>
      <c r="Q1209" t="n">
        <v>0</v>
      </c>
      <c r="R1209" t="n">
        <v>0</v>
      </c>
      <c r="S1209" t="n">
        <v>0</v>
      </c>
      <c r="T1209" t="n">
        <v>0</v>
      </c>
      <c r="U1209" t="n">
        <v>0</v>
      </c>
      <c r="V1209" s="2" t="inlineStr"/>
    </row>
    <row r="1210" ht="15" customHeight="1">
      <c r="A1210" t="inlineStr">
        <is>
          <t>A 33455-2022</t>
        </is>
      </c>
      <c r="B1210" t="inlineStr">
        <is>
          <t>avverkningsanmälan</t>
        </is>
      </c>
      <c r="C1210" t="inlineStr">
        <is>
          <t>Föryngringsavverkning</t>
        </is>
      </c>
      <c r="D1210" s="1" t="n">
        <v>44788</v>
      </c>
      <c r="E1210" s="1" t="n">
        <v>46313</v>
      </c>
      <c r="F1210" t="inlineStr">
        <is>
          <t>VÄRMLANDS LÄN</t>
        </is>
      </c>
      <c r="G1210" t="inlineStr">
        <is>
          <t>SUNNE</t>
        </is>
      </c>
      <c r="I1210" t="n">
        <v>0.8</v>
      </c>
      <c r="J1210" t="n">
        <v>0</v>
      </c>
      <c r="K1210" t="n">
        <v>0</v>
      </c>
      <c r="L1210" t="n">
        <v>0</v>
      </c>
      <c r="M1210" t="n">
        <v>0</v>
      </c>
      <c r="N1210" t="n">
        <v>0</v>
      </c>
      <c r="O1210" t="n">
        <v>0</v>
      </c>
      <c r="P1210" t="n">
        <v>0</v>
      </c>
      <c r="Q1210" t="n">
        <v>0</v>
      </c>
      <c r="R1210" t="n">
        <v>0</v>
      </c>
      <c r="S1210" t="n">
        <v>0</v>
      </c>
      <c r="T1210" t="n">
        <v>0</v>
      </c>
      <c r="U1210" t="n">
        <v>0</v>
      </c>
      <c r="V1210" s="2" t="inlineStr"/>
    </row>
    <row r="1211" ht="15" customHeight="1">
      <c r="A1211" t="inlineStr">
        <is>
          <t>A 49244-2022</t>
        </is>
      </c>
      <c r="B1211" t="inlineStr">
        <is>
          <t>avverkningsanmälan</t>
        </is>
      </c>
      <c r="C1211" t="inlineStr">
        <is>
          <t>Föryngringsavverkning</t>
        </is>
      </c>
      <c r="D1211" s="1" t="n">
        <v>44861</v>
      </c>
      <c r="E1211" s="1" t="n">
        <v>46313</v>
      </c>
      <c r="F1211" t="inlineStr">
        <is>
          <t>VÄRMLANDS LÄN</t>
        </is>
      </c>
      <c r="G1211" t="inlineStr">
        <is>
          <t>SUNNE</t>
        </is>
      </c>
      <c r="I1211" t="n">
        <v>2.2</v>
      </c>
      <c r="J1211" t="n">
        <v>0</v>
      </c>
      <c r="K1211" t="n">
        <v>0</v>
      </c>
      <c r="L1211" t="n">
        <v>0</v>
      </c>
      <c r="M1211" t="n">
        <v>0</v>
      </c>
      <c r="N1211" t="n">
        <v>0</v>
      </c>
      <c r="O1211" t="n">
        <v>0</v>
      </c>
      <c r="P1211" t="n">
        <v>0</v>
      </c>
      <c r="Q1211" t="n">
        <v>0</v>
      </c>
      <c r="R1211" t="n">
        <v>0</v>
      </c>
      <c r="S1211" t="n">
        <v>0</v>
      </c>
      <c r="T1211" t="n">
        <v>0</v>
      </c>
      <c r="U1211" t="n">
        <v>0</v>
      </c>
      <c r="V1211" s="2" t="inlineStr"/>
    </row>
    <row r="1212" ht="15" customHeight="1">
      <c r="A1212" t="inlineStr">
        <is>
          <t>A 44284-2023</t>
        </is>
      </c>
      <c r="B1212" t="inlineStr">
        <is>
          <t>avverkningsanmälan</t>
        </is>
      </c>
      <c r="C1212" t="inlineStr">
        <is>
          <t>Föryngringsavverkning</t>
        </is>
      </c>
      <c r="D1212" s="1" t="n">
        <v>45188</v>
      </c>
      <c r="E1212" s="1" t="n">
        <v>46313</v>
      </c>
      <c r="F1212" t="inlineStr">
        <is>
          <t>VÄRMLANDS LÄN</t>
        </is>
      </c>
      <c r="G1212" t="inlineStr">
        <is>
          <t>SUNNE</t>
        </is>
      </c>
      <c r="I1212" t="n">
        <v>2.5</v>
      </c>
      <c r="J1212" t="n">
        <v>0</v>
      </c>
      <c r="K1212" t="n">
        <v>0</v>
      </c>
      <c r="L1212" t="n">
        <v>0</v>
      </c>
      <c r="M1212" t="n">
        <v>0</v>
      </c>
      <c r="N1212" t="n">
        <v>0</v>
      </c>
      <c r="O1212" t="n">
        <v>0</v>
      </c>
      <c r="P1212" t="n">
        <v>0</v>
      </c>
      <c r="Q1212" t="n">
        <v>0</v>
      </c>
      <c r="R1212" t="n">
        <v>0</v>
      </c>
      <c r="S1212" t="n">
        <v>0</v>
      </c>
      <c r="T1212" t="n">
        <v>0</v>
      </c>
      <c r="U1212" t="n">
        <v>0</v>
      </c>
      <c r="V1212" s="2" t="inlineStr"/>
    </row>
    <row r="1213" ht="15" customHeight="1">
      <c r="A1213" t="inlineStr">
        <is>
          <t>A 9900-2023</t>
        </is>
      </c>
      <c r="B1213" t="inlineStr">
        <is>
          <t>avverkningsanmälan</t>
        </is>
      </c>
      <c r="C1213" t="inlineStr">
        <is>
          <t>Föryngringsavverkning</t>
        </is>
      </c>
      <c r="D1213" s="1" t="n">
        <v>44985</v>
      </c>
      <c r="E1213" s="1" t="n">
        <v>46313</v>
      </c>
      <c r="F1213" t="inlineStr">
        <is>
          <t>VÄRMLANDS LÄN</t>
        </is>
      </c>
      <c r="G1213" t="inlineStr">
        <is>
          <t>SUNNE</t>
        </is>
      </c>
      <c r="I1213" t="n">
        <v>2.4</v>
      </c>
      <c r="J1213" t="n">
        <v>0</v>
      </c>
      <c r="K1213" t="n">
        <v>0</v>
      </c>
      <c r="L1213" t="n">
        <v>0</v>
      </c>
      <c r="M1213" t="n">
        <v>0</v>
      </c>
      <c r="N1213" t="n">
        <v>0</v>
      </c>
      <c r="O1213" t="n">
        <v>0</v>
      </c>
      <c r="P1213" t="n">
        <v>0</v>
      </c>
      <c r="Q1213" t="n">
        <v>0</v>
      </c>
      <c r="R1213" t="n">
        <v>0</v>
      </c>
      <c r="S1213" t="n">
        <v>0</v>
      </c>
      <c r="T1213" t="n">
        <v>0</v>
      </c>
      <c r="U1213" t="n">
        <v>0</v>
      </c>
      <c r="V1213" s="2" t="inlineStr"/>
    </row>
    <row r="1214" ht="15" customHeight="1">
      <c r="A1214" t="inlineStr">
        <is>
          <t>A 3582-2022</t>
        </is>
      </c>
      <c r="B1214" t="inlineStr">
        <is>
          <t>avverkningsanmälan</t>
        </is>
      </c>
      <c r="C1214" t="inlineStr">
        <is>
          <t>Föryngringsavverkning</t>
        </is>
      </c>
      <c r="D1214" s="1" t="n">
        <v>44586</v>
      </c>
      <c r="E1214" s="1" t="n">
        <v>46313</v>
      </c>
      <c r="F1214" t="inlineStr">
        <is>
          <t>VÄRMLANDS LÄN</t>
        </is>
      </c>
      <c r="G1214" t="inlineStr">
        <is>
          <t>SUNNE</t>
        </is>
      </c>
      <c r="I1214" t="n">
        <v>1</v>
      </c>
      <c r="J1214" t="n">
        <v>0</v>
      </c>
      <c r="K1214" t="n">
        <v>0</v>
      </c>
      <c r="L1214" t="n">
        <v>0</v>
      </c>
      <c r="M1214" t="n">
        <v>0</v>
      </c>
      <c r="N1214" t="n">
        <v>0</v>
      </c>
      <c r="O1214" t="n">
        <v>0</v>
      </c>
      <c r="P1214" t="n">
        <v>0</v>
      </c>
      <c r="Q1214" t="n">
        <v>0</v>
      </c>
      <c r="R1214" t="n">
        <v>0</v>
      </c>
      <c r="S1214" t="n">
        <v>0</v>
      </c>
      <c r="T1214" t="n">
        <v>0</v>
      </c>
      <c r="U1214" t="n">
        <v>0</v>
      </c>
      <c r="V1214" s="2" t="inlineStr"/>
    </row>
    <row r="1215" ht="15" customHeight="1">
      <c r="A1215" t="inlineStr">
        <is>
          <t>A 4089-2022</t>
        </is>
      </c>
      <c r="B1215" t="inlineStr">
        <is>
          <t>avverkningsanmälan</t>
        </is>
      </c>
      <c r="C1215" t="inlineStr">
        <is>
          <t>Föryngringsavverkning</t>
        </is>
      </c>
      <c r="D1215" s="1" t="n">
        <v>44588</v>
      </c>
      <c r="E1215" s="1" t="n">
        <v>46313</v>
      </c>
      <c r="F1215" t="inlineStr">
        <is>
          <t>VÄRMLANDS LÄN</t>
        </is>
      </c>
      <c r="G1215" t="inlineStr">
        <is>
          <t>SUNNE</t>
        </is>
      </c>
      <c r="I1215" t="n">
        <v>0.9</v>
      </c>
      <c r="J1215" t="n">
        <v>0</v>
      </c>
      <c r="K1215" t="n">
        <v>0</v>
      </c>
      <c r="L1215" t="n">
        <v>0</v>
      </c>
      <c r="M1215" t="n">
        <v>0</v>
      </c>
      <c r="N1215" t="n">
        <v>0</v>
      </c>
      <c r="O1215" t="n">
        <v>0</v>
      </c>
      <c r="P1215" t="n">
        <v>0</v>
      </c>
      <c r="Q1215" t="n">
        <v>0</v>
      </c>
      <c r="R1215" t="n">
        <v>0</v>
      </c>
      <c r="S1215" t="n">
        <v>0</v>
      </c>
      <c r="T1215" t="n">
        <v>0</v>
      </c>
      <c r="U1215" t="n">
        <v>0</v>
      </c>
      <c r="V1215" s="2" t="inlineStr"/>
    </row>
    <row r="1216" ht="15" customHeight="1">
      <c r="A1216" t="inlineStr">
        <is>
          <t>A 19523-2022</t>
        </is>
      </c>
      <c r="B1216" t="inlineStr">
        <is>
          <t>avverkningsanmälan</t>
        </is>
      </c>
      <c r="C1216" t="inlineStr">
        <is>
          <t>Föryngringsavverkning</t>
        </is>
      </c>
      <c r="D1216" s="1" t="n">
        <v>44693</v>
      </c>
      <c r="E1216" s="1" t="n">
        <v>46313</v>
      </c>
      <c r="F1216" t="inlineStr">
        <is>
          <t>VÄRMLANDS LÄN</t>
        </is>
      </c>
      <c r="G1216" t="inlineStr">
        <is>
          <t>SUNNE</t>
        </is>
      </c>
      <c r="I1216" t="n">
        <v>1</v>
      </c>
      <c r="J1216" t="n">
        <v>0</v>
      </c>
      <c r="K1216" t="n">
        <v>0</v>
      </c>
      <c r="L1216" t="n">
        <v>0</v>
      </c>
      <c r="M1216" t="n">
        <v>0</v>
      </c>
      <c r="N1216" t="n">
        <v>0</v>
      </c>
      <c r="O1216" t="n">
        <v>0</v>
      </c>
      <c r="P1216" t="n">
        <v>0</v>
      </c>
      <c r="Q1216" t="n">
        <v>0</v>
      </c>
      <c r="R1216" t="n">
        <v>0</v>
      </c>
      <c r="S1216" t="n">
        <v>0</v>
      </c>
      <c r="T1216" t="n">
        <v>0</v>
      </c>
      <c r="U1216" t="n">
        <v>0</v>
      </c>
      <c r="V1216" s="2" t="inlineStr"/>
    </row>
    <row r="1217" ht="15" customHeight="1">
      <c r="A1217" t="inlineStr">
        <is>
          <t>A 19526-2022</t>
        </is>
      </c>
      <c r="B1217" t="inlineStr">
        <is>
          <t>avverkningsanmälan</t>
        </is>
      </c>
      <c r="C1217" t="inlineStr">
        <is>
          <t>Föryngringsavverkning</t>
        </is>
      </c>
      <c r="D1217" s="1" t="n">
        <v>44693</v>
      </c>
      <c r="E1217" s="1" t="n">
        <v>46313</v>
      </c>
      <c r="F1217" t="inlineStr">
        <is>
          <t>VÄRMLANDS LÄN</t>
        </is>
      </c>
      <c r="G1217" t="inlineStr">
        <is>
          <t>SUNNE</t>
        </is>
      </c>
      <c r="I1217" t="n">
        <v>2.4</v>
      </c>
      <c r="J1217" t="n">
        <v>0</v>
      </c>
      <c r="K1217" t="n">
        <v>0</v>
      </c>
      <c r="L1217" t="n">
        <v>0</v>
      </c>
      <c r="M1217" t="n">
        <v>0</v>
      </c>
      <c r="N1217" t="n">
        <v>0</v>
      </c>
      <c r="O1217" t="n">
        <v>0</v>
      </c>
      <c r="P1217" t="n">
        <v>0</v>
      </c>
      <c r="Q1217" t="n">
        <v>0</v>
      </c>
      <c r="R1217" t="n">
        <v>0</v>
      </c>
      <c r="S1217" t="n">
        <v>0</v>
      </c>
      <c r="T1217" t="n">
        <v>0</v>
      </c>
      <c r="U1217" t="n">
        <v>0</v>
      </c>
      <c r="V1217" s="2" t="inlineStr"/>
    </row>
    <row r="1218" ht="15" customHeight="1">
      <c r="A1218" t="inlineStr">
        <is>
          <t>A 26901-2023</t>
        </is>
      </c>
      <c r="B1218" t="inlineStr">
        <is>
          <t>avverkningsanmälan</t>
        </is>
      </c>
      <c r="C1218" t="inlineStr">
        <is>
          <t>Föryngringsavverkning</t>
        </is>
      </c>
      <c r="D1218" s="1" t="n">
        <v>45093</v>
      </c>
      <c r="E1218" s="1" t="n">
        <v>46313</v>
      </c>
      <c r="F1218" t="inlineStr">
        <is>
          <t>VÄRMLANDS LÄN</t>
        </is>
      </c>
      <c r="G1218" t="inlineStr">
        <is>
          <t>SUNNE</t>
        </is>
      </c>
      <c r="I1218" t="n">
        <v>1.4</v>
      </c>
      <c r="J1218" t="n">
        <v>0</v>
      </c>
      <c r="K1218" t="n">
        <v>0</v>
      </c>
      <c r="L1218" t="n">
        <v>0</v>
      </c>
      <c r="M1218" t="n">
        <v>0</v>
      </c>
      <c r="N1218" t="n">
        <v>0</v>
      </c>
      <c r="O1218" t="n">
        <v>0</v>
      </c>
      <c r="P1218" t="n">
        <v>0</v>
      </c>
      <c r="Q1218" t="n">
        <v>0</v>
      </c>
      <c r="R1218" t="n">
        <v>0</v>
      </c>
      <c r="S1218" t="n">
        <v>0</v>
      </c>
      <c r="T1218" t="n">
        <v>0</v>
      </c>
      <c r="U1218" t="n">
        <v>0</v>
      </c>
      <c r="V1218" s="2" t="inlineStr"/>
    </row>
    <row r="1219" ht="15" customHeight="1">
      <c r="A1219" t="inlineStr">
        <is>
          <t>A 33756-2022</t>
        </is>
      </c>
      <c r="B1219" t="inlineStr">
        <is>
          <t>avverkningsanmälan</t>
        </is>
      </c>
      <c r="C1219" t="inlineStr">
        <is>
          <t>Föryngringsavverkning</t>
        </is>
      </c>
      <c r="D1219" s="1" t="n">
        <v>44790</v>
      </c>
      <c r="E1219" s="1" t="n">
        <v>46313</v>
      </c>
      <c r="F1219" t="inlineStr">
        <is>
          <t>VÄRMLANDS LÄN</t>
        </is>
      </c>
      <c r="G1219" t="inlineStr">
        <is>
          <t>SUNNE</t>
        </is>
      </c>
      <c r="I1219" t="n">
        <v>3.3</v>
      </c>
      <c r="J1219" t="n">
        <v>0</v>
      </c>
      <c r="K1219" t="n">
        <v>0</v>
      </c>
      <c r="L1219" t="n">
        <v>0</v>
      </c>
      <c r="M1219" t="n">
        <v>0</v>
      </c>
      <c r="N1219" t="n">
        <v>0</v>
      </c>
      <c r="O1219" t="n">
        <v>0</v>
      </c>
      <c r="P1219" t="n">
        <v>0</v>
      </c>
      <c r="Q1219" t="n">
        <v>0</v>
      </c>
      <c r="R1219" t="n">
        <v>0</v>
      </c>
      <c r="S1219" t="n">
        <v>0</v>
      </c>
      <c r="T1219" t="n">
        <v>0</v>
      </c>
      <c r="U1219" t="n">
        <v>0</v>
      </c>
      <c r="V1219" s="2" t="inlineStr"/>
    </row>
    <row r="1220" ht="15" customHeight="1">
      <c r="A1220" t="inlineStr">
        <is>
          <t>A 18392-2023</t>
        </is>
      </c>
      <c r="B1220" t="inlineStr">
        <is>
          <t>avverkningsanmälan</t>
        </is>
      </c>
      <c r="C1220" t="inlineStr">
        <is>
          <t>Föryngringsavverkning</t>
        </is>
      </c>
      <c r="D1220" s="1" t="n">
        <v>45042</v>
      </c>
      <c r="E1220" s="1" t="n">
        <v>46313</v>
      </c>
      <c r="F1220" t="inlineStr">
        <is>
          <t>VÄRMLANDS LÄN</t>
        </is>
      </c>
      <c r="G1220" t="inlineStr">
        <is>
          <t>SUNNE</t>
        </is>
      </c>
      <c r="I1220" t="n">
        <v>3.8</v>
      </c>
      <c r="J1220" t="n">
        <v>0</v>
      </c>
      <c r="K1220" t="n">
        <v>0</v>
      </c>
      <c r="L1220" t="n">
        <v>0</v>
      </c>
      <c r="M1220" t="n">
        <v>0</v>
      </c>
      <c r="N1220" t="n">
        <v>0</v>
      </c>
      <c r="O1220" t="n">
        <v>0</v>
      </c>
      <c r="P1220" t="n">
        <v>0</v>
      </c>
      <c r="Q1220" t="n">
        <v>0</v>
      </c>
      <c r="R1220" t="n">
        <v>0</v>
      </c>
      <c r="S1220" t="n">
        <v>0</v>
      </c>
      <c r="T1220" t="n">
        <v>0</v>
      </c>
      <c r="U1220" t="n">
        <v>0</v>
      </c>
      <c r="V1220" s="2" t="inlineStr"/>
    </row>
    <row r="1221" ht="15" customHeight="1">
      <c r="A1221" t="inlineStr">
        <is>
          <t>A 44815-2024</t>
        </is>
      </c>
      <c r="B1221" t="inlineStr">
        <is>
          <t>avverkningsanmälan</t>
        </is>
      </c>
      <c r="C1221" t="inlineStr">
        <is>
          <t>Föryngringsavverkning</t>
        </is>
      </c>
      <c r="D1221" s="1" t="n">
        <v>45574</v>
      </c>
      <c r="E1221" s="1" t="n">
        <v>46313</v>
      </c>
      <c r="F1221" t="inlineStr">
        <is>
          <t>VÄRMLANDS LÄN</t>
        </is>
      </c>
      <c r="G1221" t="inlineStr">
        <is>
          <t>SUNNE</t>
        </is>
      </c>
      <c r="I1221" t="n">
        <v>1</v>
      </c>
      <c r="J1221" t="n">
        <v>0</v>
      </c>
      <c r="K1221" t="n">
        <v>0</v>
      </c>
      <c r="L1221" t="n">
        <v>0</v>
      </c>
      <c r="M1221" t="n">
        <v>0</v>
      </c>
      <c r="N1221" t="n">
        <v>0</v>
      </c>
      <c r="O1221" t="n">
        <v>0</v>
      </c>
      <c r="P1221" t="n">
        <v>0</v>
      </c>
      <c r="Q1221" t="n">
        <v>0</v>
      </c>
      <c r="R1221" t="n">
        <v>0</v>
      </c>
      <c r="S1221" t="n">
        <v>0</v>
      </c>
      <c r="T1221" t="n">
        <v>0</v>
      </c>
      <c r="U1221" t="n">
        <v>0</v>
      </c>
      <c r="V1221" s="2" t="inlineStr"/>
    </row>
    <row r="1222" ht="15" customHeight="1">
      <c r="A1222" t="inlineStr">
        <is>
          <t>A 37312-2025</t>
        </is>
      </c>
      <c r="B1222" t="inlineStr">
        <is>
          <t>avverkningsanmälan</t>
        </is>
      </c>
      <c r="C1222" t="inlineStr">
        <is>
          <t>Föryngringsavverkning</t>
        </is>
      </c>
      <c r="D1222" s="1" t="n">
        <v>45876</v>
      </c>
      <c r="E1222" s="1" t="n">
        <v>46313</v>
      </c>
      <c r="F1222" t="inlineStr">
        <is>
          <t>VÄRMLANDS LÄN</t>
        </is>
      </c>
      <c r="G1222" t="inlineStr">
        <is>
          <t>SUNNE</t>
        </is>
      </c>
      <c r="I1222" t="n">
        <v>1.1</v>
      </c>
      <c r="J1222" t="n">
        <v>0</v>
      </c>
      <c r="K1222" t="n">
        <v>0</v>
      </c>
      <c r="L1222" t="n">
        <v>0</v>
      </c>
      <c r="M1222" t="n">
        <v>0</v>
      </c>
      <c r="N1222" t="n">
        <v>0</v>
      </c>
      <c r="O1222" t="n">
        <v>0</v>
      </c>
      <c r="P1222" t="n">
        <v>0</v>
      </c>
      <c r="Q1222" t="n">
        <v>0</v>
      </c>
      <c r="R1222" t="n">
        <v>0</v>
      </c>
      <c r="S1222" t="n">
        <v>0</v>
      </c>
      <c r="T1222" t="n">
        <v>0</v>
      </c>
      <c r="U1222" t="n">
        <v>0</v>
      </c>
      <c r="V1222" s="2" t="inlineStr"/>
    </row>
    <row r="1223" ht="15" customHeight="1">
      <c r="A1223" t="inlineStr">
        <is>
          <t>A 37314-2025</t>
        </is>
      </c>
      <c r="B1223" t="inlineStr">
        <is>
          <t>avverkningsanmälan</t>
        </is>
      </c>
      <c r="C1223" t="inlineStr">
        <is>
          <t>Föryngringsavverkning</t>
        </is>
      </c>
      <c r="D1223" s="1" t="n">
        <v>45876</v>
      </c>
      <c r="E1223" s="1" t="n">
        <v>46313</v>
      </c>
      <c r="F1223" t="inlineStr">
        <is>
          <t>VÄRMLANDS LÄN</t>
        </is>
      </c>
      <c r="G1223" t="inlineStr">
        <is>
          <t>SUNNE</t>
        </is>
      </c>
      <c r="I1223" t="n">
        <v>5.1</v>
      </c>
      <c r="J1223" t="n">
        <v>0</v>
      </c>
      <c r="K1223" t="n">
        <v>0</v>
      </c>
      <c r="L1223" t="n">
        <v>0</v>
      </c>
      <c r="M1223" t="n">
        <v>0</v>
      </c>
      <c r="N1223" t="n">
        <v>0</v>
      </c>
      <c r="O1223" t="n">
        <v>0</v>
      </c>
      <c r="P1223" t="n">
        <v>0</v>
      </c>
      <c r="Q1223" t="n">
        <v>0</v>
      </c>
      <c r="R1223" t="n">
        <v>0</v>
      </c>
      <c r="S1223" t="n">
        <v>0</v>
      </c>
      <c r="T1223" t="n">
        <v>0</v>
      </c>
      <c r="U1223" t="n">
        <v>0</v>
      </c>
      <c r="V1223" s="2" t="inlineStr"/>
    </row>
    <row r="1224" ht="15" customHeight="1">
      <c r="A1224" t="inlineStr">
        <is>
          <t>A 67193-2021</t>
        </is>
      </c>
      <c r="B1224" t="inlineStr">
        <is>
          <t>avverkningsanmälan</t>
        </is>
      </c>
      <c r="C1224" t="inlineStr">
        <is>
          <t>Föryngringsavverkning</t>
        </is>
      </c>
      <c r="D1224" s="1" t="n">
        <v>44523</v>
      </c>
      <c r="E1224" s="1" t="n">
        <v>46313</v>
      </c>
      <c r="F1224" t="inlineStr">
        <is>
          <t>VÄRMLANDS LÄN</t>
        </is>
      </c>
      <c r="G1224" t="inlineStr">
        <is>
          <t>SUNNE</t>
        </is>
      </c>
      <c r="I1224" t="n">
        <v>3.5</v>
      </c>
      <c r="J1224" t="n">
        <v>0</v>
      </c>
      <c r="K1224" t="n">
        <v>0</v>
      </c>
      <c r="L1224" t="n">
        <v>0</v>
      </c>
      <c r="M1224" t="n">
        <v>0</v>
      </c>
      <c r="N1224" t="n">
        <v>0</v>
      </c>
      <c r="O1224" t="n">
        <v>0</v>
      </c>
      <c r="P1224" t="n">
        <v>0</v>
      </c>
      <c r="Q1224" t="n">
        <v>0</v>
      </c>
      <c r="R1224" t="n">
        <v>0</v>
      </c>
      <c r="S1224" t="n">
        <v>0</v>
      </c>
      <c r="T1224" t="n">
        <v>0</v>
      </c>
      <c r="U1224" t="n">
        <v>0</v>
      </c>
      <c r="V1224" s="2" t="inlineStr"/>
    </row>
    <row r="1225" ht="15" customHeight="1">
      <c r="A1225" t="inlineStr">
        <is>
          <t>A 47068-2022</t>
        </is>
      </c>
      <c r="B1225" t="inlineStr">
        <is>
          <t>avverkningsanmälan</t>
        </is>
      </c>
      <c r="C1225" t="inlineStr">
        <is>
          <t>Föryngringsavverkning</t>
        </is>
      </c>
      <c r="D1225" s="1" t="n">
        <v>44852</v>
      </c>
      <c r="E1225" s="1" t="n">
        <v>46313</v>
      </c>
      <c r="F1225" t="inlineStr">
        <is>
          <t>VÄRMLANDS LÄN</t>
        </is>
      </c>
      <c r="G1225" t="inlineStr">
        <is>
          <t>SUNNE</t>
        </is>
      </c>
      <c r="I1225" t="n">
        <v>7.9</v>
      </c>
      <c r="J1225" t="n">
        <v>0</v>
      </c>
      <c r="K1225" t="n">
        <v>0</v>
      </c>
      <c r="L1225" t="n">
        <v>0</v>
      </c>
      <c r="M1225" t="n">
        <v>0</v>
      </c>
      <c r="N1225" t="n">
        <v>0</v>
      </c>
      <c r="O1225" t="n">
        <v>0</v>
      </c>
      <c r="P1225" t="n">
        <v>0</v>
      </c>
      <c r="Q1225" t="n">
        <v>0</v>
      </c>
      <c r="R1225" t="n">
        <v>0</v>
      </c>
      <c r="S1225" t="n">
        <v>0</v>
      </c>
      <c r="T1225" t="n">
        <v>0</v>
      </c>
      <c r="U1225" t="n">
        <v>0</v>
      </c>
      <c r="V1225" s="2" t="inlineStr"/>
    </row>
    <row r="1226" ht="15" customHeight="1">
      <c r="A1226" t="inlineStr">
        <is>
          <t>A 42537-2022</t>
        </is>
      </c>
      <c r="B1226" t="inlineStr">
        <is>
          <t>avverkningsanmälan</t>
        </is>
      </c>
      <c r="C1226" t="inlineStr">
        <is>
          <t>Föryngringsavverkning</t>
        </is>
      </c>
      <c r="D1226" s="1" t="n">
        <v>44831</v>
      </c>
      <c r="E1226" s="1" t="n">
        <v>46313</v>
      </c>
      <c r="F1226" t="inlineStr">
        <is>
          <t>VÄRMLANDS LÄN</t>
        </is>
      </c>
      <c r="G1226" t="inlineStr">
        <is>
          <t>SUNNE</t>
        </is>
      </c>
      <c r="I1226" t="n">
        <v>1.9</v>
      </c>
      <c r="J1226" t="n">
        <v>0</v>
      </c>
      <c r="K1226" t="n">
        <v>0</v>
      </c>
      <c r="L1226" t="n">
        <v>0</v>
      </c>
      <c r="M1226" t="n">
        <v>0</v>
      </c>
      <c r="N1226" t="n">
        <v>0</v>
      </c>
      <c r="O1226" t="n">
        <v>0</v>
      </c>
      <c r="P1226" t="n">
        <v>0</v>
      </c>
      <c r="Q1226" t="n">
        <v>0</v>
      </c>
      <c r="R1226" t="n">
        <v>0</v>
      </c>
      <c r="S1226" t="n">
        <v>0</v>
      </c>
      <c r="T1226" t="n">
        <v>0</v>
      </c>
      <c r="U1226" t="n">
        <v>0</v>
      </c>
      <c r="V1226" s="2" t="inlineStr"/>
    </row>
    <row r="1227" ht="15" customHeight="1">
      <c r="A1227" t="inlineStr">
        <is>
          <t>A 8692-2023</t>
        </is>
      </c>
      <c r="B1227" t="inlineStr">
        <is>
          <t>avverkningsanmälan</t>
        </is>
      </c>
      <c r="C1227" t="inlineStr">
        <is>
          <t>Föryngringsavverkning</t>
        </is>
      </c>
      <c r="D1227" s="1" t="n">
        <v>44978</v>
      </c>
      <c r="E1227" s="1" t="n">
        <v>46313</v>
      </c>
      <c r="F1227" t="inlineStr">
        <is>
          <t>VÄRMLANDS LÄN</t>
        </is>
      </c>
      <c r="G1227" t="inlineStr">
        <is>
          <t>SUNNE</t>
        </is>
      </c>
      <c r="I1227" t="n">
        <v>1.6</v>
      </c>
      <c r="J1227" t="n">
        <v>0</v>
      </c>
      <c r="K1227" t="n">
        <v>0</v>
      </c>
      <c r="L1227" t="n">
        <v>0</v>
      </c>
      <c r="M1227" t="n">
        <v>0</v>
      </c>
      <c r="N1227" t="n">
        <v>0</v>
      </c>
      <c r="O1227" t="n">
        <v>0</v>
      </c>
      <c r="P1227" t="n">
        <v>0</v>
      </c>
      <c r="Q1227" t="n">
        <v>0</v>
      </c>
      <c r="R1227" t="n">
        <v>0</v>
      </c>
      <c r="S1227" t="n">
        <v>0</v>
      </c>
      <c r="T1227" t="n">
        <v>0</v>
      </c>
      <c r="U1227" t="n">
        <v>0</v>
      </c>
      <c r="V1227" s="2" t="inlineStr"/>
    </row>
    <row r="1228" ht="15" customHeight="1">
      <c r="A1228" t="inlineStr">
        <is>
          <t>A 9133-2023</t>
        </is>
      </c>
      <c r="B1228" t="inlineStr">
        <is>
          <t>avverkningsanmälan</t>
        </is>
      </c>
      <c r="C1228" t="inlineStr">
        <is>
          <t>Föryngringsavverkning</t>
        </is>
      </c>
      <c r="D1228" s="1" t="n">
        <v>44980</v>
      </c>
      <c r="E1228" s="1" t="n">
        <v>46313</v>
      </c>
      <c r="F1228" t="inlineStr">
        <is>
          <t>VÄRMLANDS LÄN</t>
        </is>
      </c>
      <c r="G1228" t="inlineStr">
        <is>
          <t>SUNNE</t>
        </is>
      </c>
      <c r="I1228" t="n">
        <v>1</v>
      </c>
      <c r="J1228" t="n">
        <v>0</v>
      </c>
      <c r="K1228" t="n">
        <v>0</v>
      </c>
      <c r="L1228" t="n">
        <v>0</v>
      </c>
      <c r="M1228" t="n">
        <v>0</v>
      </c>
      <c r="N1228" t="n">
        <v>0</v>
      </c>
      <c r="O1228" t="n">
        <v>0</v>
      </c>
      <c r="P1228" t="n">
        <v>0</v>
      </c>
      <c r="Q1228" t="n">
        <v>0</v>
      </c>
      <c r="R1228" t="n">
        <v>0</v>
      </c>
      <c r="S1228" t="n">
        <v>0</v>
      </c>
      <c r="T1228" t="n">
        <v>0</v>
      </c>
      <c r="U1228" t="n">
        <v>0</v>
      </c>
      <c r="V1228" s="2" t="inlineStr"/>
    </row>
    <row r="1229" ht="15" customHeight="1">
      <c r="A1229" t="inlineStr">
        <is>
          <t>A 32851-2022</t>
        </is>
      </c>
      <c r="B1229" t="inlineStr">
        <is>
          <t>avverkningsanmälan</t>
        </is>
      </c>
      <c r="C1229" t="inlineStr">
        <is>
          <t>Föryngringsavverkning</t>
        </is>
      </c>
      <c r="D1229" s="1" t="n">
        <v>44784</v>
      </c>
      <c r="E1229" s="1" t="n">
        <v>46313</v>
      </c>
      <c r="F1229" t="inlineStr">
        <is>
          <t>VÄRMLANDS LÄN</t>
        </is>
      </c>
      <c r="G1229" t="inlineStr">
        <is>
          <t>SUNNE</t>
        </is>
      </c>
      <c r="I1229" t="n">
        <v>1</v>
      </c>
      <c r="J1229" t="n">
        <v>0</v>
      </c>
      <c r="K1229" t="n">
        <v>0</v>
      </c>
      <c r="L1229" t="n">
        <v>0</v>
      </c>
      <c r="M1229" t="n">
        <v>0</v>
      </c>
      <c r="N1229" t="n">
        <v>0</v>
      </c>
      <c r="O1229" t="n">
        <v>0</v>
      </c>
      <c r="P1229" t="n">
        <v>0</v>
      </c>
      <c r="Q1229" t="n">
        <v>0</v>
      </c>
      <c r="R1229" t="n">
        <v>0</v>
      </c>
      <c r="S1229" t="n">
        <v>0</v>
      </c>
      <c r="T1229" t="n">
        <v>0</v>
      </c>
      <c r="U1229" t="n">
        <v>0</v>
      </c>
      <c r="V1229" s="2" t="inlineStr"/>
    </row>
    <row r="1230" ht="15" customHeight="1">
      <c r="A1230" t="inlineStr">
        <is>
          <t>A 45304-2023</t>
        </is>
      </c>
      <c r="B1230" t="inlineStr">
        <is>
          <t>avverkningsanmälan</t>
        </is>
      </c>
      <c r="C1230" t="inlineStr">
        <is>
          <t>Föryngringsavverkning</t>
        </is>
      </c>
      <c r="D1230" s="1" t="n">
        <v>45191</v>
      </c>
      <c r="E1230" s="1" t="n">
        <v>46313</v>
      </c>
      <c r="F1230" t="inlineStr">
        <is>
          <t>VÄRMLANDS LÄN</t>
        </is>
      </c>
      <c r="G1230" t="inlineStr">
        <is>
          <t>SUNNE</t>
        </is>
      </c>
      <c r="I1230" t="n">
        <v>4.7</v>
      </c>
      <c r="J1230" t="n">
        <v>0</v>
      </c>
      <c r="K1230" t="n">
        <v>0</v>
      </c>
      <c r="L1230" t="n">
        <v>0</v>
      </c>
      <c r="M1230" t="n">
        <v>0</v>
      </c>
      <c r="N1230" t="n">
        <v>0</v>
      </c>
      <c r="O1230" t="n">
        <v>0</v>
      </c>
      <c r="P1230" t="n">
        <v>0</v>
      </c>
      <c r="Q1230" t="n">
        <v>0</v>
      </c>
      <c r="R1230" t="n">
        <v>0</v>
      </c>
      <c r="S1230" t="n">
        <v>0</v>
      </c>
      <c r="T1230" t="n">
        <v>0</v>
      </c>
      <c r="U1230" t="n">
        <v>0</v>
      </c>
      <c r="V1230" s="2" t="inlineStr"/>
    </row>
    <row r="1231" ht="15" customHeight="1">
      <c r="A1231" t="inlineStr">
        <is>
          <t>A 37629-2025</t>
        </is>
      </c>
      <c r="B1231" t="inlineStr">
        <is>
          <t>avverkningsanmälan</t>
        </is>
      </c>
      <c r="C1231" t="inlineStr">
        <is>
          <t>Föryngringsavverkning</t>
        </is>
      </c>
      <c r="D1231" s="1" t="n">
        <v>45880</v>
      </c>
      <c r="E1231" s="1" t="n">
        <v>46313</v>
      </c>
      <c r="F1231" t="inlineStr">
        <is>
          <t>VÄRMLANDS LÄN</t>
        </is>
      </c>
      <c r="G1231" t="inlineStr">
        <is>
          <t>SUNNE</t>
        </is>
      </c>
      <c r="I1231" t="n">
        <v>2.1</v>
      </c>
      <c r="J1231" t="n">
        <v>0</v>
      </c>
      <c r="K1231" t="n">
        <v>0</v>
      </c>
      <c r="L1231" t="n">
        <v>0</v>
      </c>
      <c r="M1231" t="n">
        <v>0</v>
      </c>
      <c r="N1231" t="n">
        <v>0</v>
      </c>
      <c r="O1231" t="n">
        <v>0</v>
      </c>
      <c r="P1231" t="n">
        <v>0</v>
      </c>
      <c r="Q1231" t="n">
        <v>0</v>
      </c>
      <c r="R1231" t="n">
        <v>0</v>
      </c>
      <c r="S1231" t="n">
        <v>0</v>
      </c>
      <c r="T1231" t="n">
        <v>0</v>
      </c>
      <c r="U1231" t="n">
        <v>0</v>
      </c>
      <c r="V1231" s="2" t="inlineStr"/>
    </row>
    <row r="1232" ht="15" customHeight="1">
      <c r="A1232" t="inlineStr">
        <is>
          <t>A 37705-2025</t>
        </is>
      </c>
      <c r="B1232" t="inlineStr">
        <is>
          <t>avverkningsanmälan</t>
        </is>
      </c>
      <c r="C1232" t="inlineStr">
        <is>
          <t>Föryngringsavverkning</t>
        </is>
      </c>
      <c r="D1232" s="1" t="n">
        <v>45880</v>
      </c>
      <c r="E1232" s="1" t="n">
        <v>46313</v>
      </c>
      <c r="F1232" t="inlineStr">
        <is>
          <t>VÄRMLANDS LÄN</t>
        </is>
      </c>
      <c r="G1232" t="inlineStr">
        <is>
          <t>SUNNE</t>
        </is>
      </c>
      <c r="I1232" t="n">
        <v>2.4</v>
      </c>
      <c r="J1232" t="n">
        <v>0</v>
      </c>
      <c r="K1232" t="n">
        <v>0</v>
      </c>
      <c r="L1232" t="n">
        <v>0</v>
      </c>
      <c r="M1232" t="n">
        <v>0</v>
      </c>
      <c r="N1232" t="n">
        <v>0</v>
      </c>
      <c r="O1232" t="n">
        <v>0</v>
      </c>
      <c r="P1232" t="n">
        <v>0</v>
      </c>
      <c r="Q1232" t="n">
        <v>0</v>
      </c>
      <c r="R1232" t="n">
        <v>0</v>
      </c>
      <c r="S1232" t="n">
        <v>0</v>
      </c>
      <c r="T1232" t="n">
        <v>0</v>
      </c>
      <c r="U1232" t="n">
        <v>0</v>
      </c>
      <c r="V1232" s="2" t="inlineStr"/>
    </row>
    <row r="1233" ht="15" customHeight="1">
      <c r="A1233" t="inlineStr">
        <is>
          <t>A 37993-2025</t>
        </is>
      </c>
      <c r="B1233" t="inlineStr">
        <is>
          <t>avverkningsanmälan</t>
        </is>
      </c>
      <c r="C1233" t="inlineStr">
        <is>
          <t>Föryngringsavverkning</t>
        </is>
      </c>
      <c r="D1233" s="1" t="n">
        <v>45881</v>
      </c>
      <c r="E1233" s="1" t="n">
        <v>46313</v>
      </c>
      <c r="F1233" t="inlineStr">
        <is>
          <t>VÄRMLANDS LÄN</t>
        </is>
      </c>
      <c r="G1233" t="inlineStr">
        <is>
          <t>SUNNE</t>
        </is>
      </c>
      <c r="I1233" t="n">
        <v>3.9</v>
      </c>
      <c r="J1233" t="n">
        <v>0</v>
      </c>
      <c r="K1233" t="n">
        <v>0</v>
      </c>
      <c r="L1233" t="n">
        <v>0</v>
      </c>
      <c r="M1233" t="n">
        <v>0</v>
      </c>
      <c r="N1233" t="n">
        <v>0</v>
      </c>
      <c r="O1233" t="n">
        <v>0</v>
      </c>
      <c r="P1233" t="n">
        <v>0</v>
      </c>
      <c r="Q1233" t="n">
        <v>0</v>
      </c>
      <c r="R1233" t="n">
        <v>0</v>
      </c>
      <c r="S1233" t="n">
        <v>0</v>
      </c>
      <c r="T1233" t="n">
        <v>0</v>
      </c>
      <c r="U1233" t="n">
        <v>0</v>
      </c>
      <c r="V1233" s="2" t="inlineStr"/>
    </row>
    <row r="1234" ht="15" customHeight="1">
      <c r="A1234" t="inlineStr">
        <is>
          <t>A 37992-2025</t>
        </is>
      </c>
      <c r="B1234" t="inlineStr">
        <is>
          <t>avverkningsanmälan</t>
        </is>
      </c>
      <c r="C1234" t="inlineStr">
        <is>
          <t>Föryngringsavverkning</t>
        </is>
      </c>
      <c r="D1234" s="1" t="n">
        <v>45881</v>
      </c>
      <c r="E1234" s="1" t="n">
        <v>46313</v>
      </c>
      <c r="F1234" t="inlineStr">
        <is>
          <t>VÄRMLANDS LÄN</t>
        </is>
      </c>
      <c r="G1234" t="inlineStr">
        <is>
          <t>SUNNE</t>
        </is>
      </c>
      <c r="I1234" t="n">
        <v>1.1</v>
      </c>
      <c r="J1234" t="n">
        <v>0</v>
      </c>
      <c r="K1234" t="n">
        <v>0</v>
      </c>
      <c r="L1234" t="n">
        <v>0</v>
      </c>
      <c r="M1234" t="n">
        <v>0</v>
      </c>
      <c r="N1234" t="n">
        <v>0</v>
      </c>
      <c r="O1234" t="n">
        <v>0</v>
      </c>
      <c r="P1234" t="n">
        <v>0</v>
      </c>
      <c r="Q1234" t="n">
        <v>0</v>
      </c>
      <c r="R1234" t="n">
        <v>0</v>
      </c>
      <c r="S1234" t="n">
        <v>0</v>
      </c>
      <c r="T1234" t="n">
        <v>0</v>
      </c>
      <c r="U1234" t="n">
        <v>0</v>
      </c>
      <c r="V1234" s="2" t="inlineStr"/>
    </row>
    <row r="1235" ht="15" customHeight="1">
      <c r="A1235" t="inlineStr">
        <is>
          <t>A 37990-2025</t>
        </is>
      </c>
      <c r="B1235" t="inlineStr">
        <is>
          <t>avverkningsanmälan</t>
        </is>
      </c>
      <c r="C1235" t="inlineStr">
        <is>
          <t>Föryngringsavverkning</t>
        </is>
      </c>
      <c r="D1235" s="1" t="n">
        <v>45881</v>
      </c>
      <c r="E1235" s="1" t="n">
        <v>46313</v>
      </c>
      <c r="F1235" t="inlineStr">
        <is>
          <t>VÄRMLANDS LÄN</t>
        </is>
      </c>
      <c r="G1235" t="inlineStr">
        <is>
          <t>SUNNE</t>
        </is>
      </c>
      <c r="I1235" t="n">
        <v>2</v>
      </c>
      <c r="J1235" t="n">
        <v>0</v>
      </c>
      <c r="K1235" t="n">
        <v>0</v>
      </c>
      <c r="L1235" t="n">
        <v>0</v>
      </c>
      <c r="M1235" t="n">
        <v>0</v>
      </c>
      <c r="N1235" t="n">
        <v>0</v>
      </c>
      <c r="O1235" t="n">
        <v>0</v>
      </c>
      <c r="P1235" t="n">
        <v>0</v>
      </c>
      <c r="Q1235" t="n">
        <v>0</v>
      </c>
      <c r="R1235" t="n">
        <v>0</v>
      </c>
      <c r="S1235" t="n">
        <v>0</v>
      </c>
      <c r="T1235" t="n">
        <v>0</v>
      </c>
      <c r="U1235" t="n">
        <v>0</v>
      </c>
      <c r="V1235" s="2" t="inlineStr"/>
    </row>
    <row r="1236" ht="15" customHeight="1">
      <c r="A1236" t="inlineStr">
        <is>
          <t>A 17580-2024</t>
        </is>
      </c>
      <c r="B1236" t="inlineStr">
        <is>
          <t>avverkningsanmälan</t>
        </is>
      </c>
      <c r="C1236" t="inlineStr">
        <is>
          <t>Föryngringsavverkning</t>
        </is>
      </c>
      <c r="D1236" s="1" t="n">
        <v>45415</v>
      </c>
      <c r="E1236" s="1" t="n">
        <v>46313</v>
      </c>
      <c r="F1236" t="inlineStr">
        <is>
          <t>VÄRMLANDS LÄN</t>
        </is>
      </c>
      <c r="G1236" t="inlineStr">
        <is>
          <t>SUNNE</t>
        </is>
      </c>
      <c r="I1236" t="n">
        <v>1</v>
      </c>
      <c r="J1236" t="n">
        <v>0</v>
      </c>
      <c r="K1236" t="n">
        <v>0</v>
      </c>
      <c r="L1236" t="n">
        <v>0</v>
      </c>
      <c r="M1236" t="n">
        <v>0</v>
      </c>
      <c r="N1236" t="n">
        <v>0</v>
      </c>
      <c r="O1236" t="n">
        <v>0</v>
      </c>
      <c r="P1236" t="n">
        <v>0</v>
      </c>
      <c r="Q1236" t="n">
        <v>0</v>
      </c>
      <c r="R1236" t="n">
        <v>0</v>
      </c>
      <c r="S1236" t="n">
        <v>0</v>
      </c>
      <c r="T1236" t="n">
        <v>0</v>
      </c>
      <c r="U1236" t="n">
        <v>0</v>
      </c>
      <c r="V1236" s="2" t="inlineStr"/>
    </row>
    <row r="1237" ht="15" customHeight="1">
      <c r="A1237" t="inlineStr">
        <is>
          <t>A 38011-2025</t>
        </is>
      </c>
      <c r="B1237" t="inlineStr">
        <is>
          <t>avverkningsanmälan</t>
        </is>
      </c>
      <c r="C1237" t="inlineStr">
        <is>
          <t>Föryngringsavverkning</t>
        </is>
      </c>
      <c r="D1237" s="1" t="n">
        <v>45882</v>
      </c>
      <c r="E1237" s="1" t="n">
        <v>46313</v>
      </c>
      <c r="F1237" t="inlineStr">
        <is>
          <t>VÄRMLANDS LÄN</t>
        </is>
      </c>
      <c r="G1237" t="inlineStr">
        <is>
          <t>SUNNE</t>
        </is>
      </c>
      <c r="I1237" t="n">
        <v>2.2</v>
      </c>
      <c r="J1237" t="n">
        <v>0</v>
      </c>
      <c r="K1237" t="n">
        <v>0</v>
      </c>
      <c r="L1237" t="n">
        <v>0</v>
      </c>
      <c r="M1237" t="n">
        <v>0</v>
      </c>
      <c r="N1237" t="n">
        <v>0</v>
      </c>
      <c r="O1237" t="n">
        <v>0</v>
      </c>
      <c r="P1237" t="n">
        <v>0</v>
      </c>
      <c r="Q1237" t="n">
        <v>0</v>
      </c>
      <c r="R1237" t="n">
        <v>0</v>
      </c>
      <c r="S1237" t="n">
        <v>0</v>
      </c>
      <c r="T1237" t="n">
        <v>0</v>
      </c>
      <c r="U1237" t="n">
        <v>0</v>
      </c>
      <c r="V1237" s="2" t="inlineStr"/>
    </row>
    <row r="1238" ht="15" customHeight="1">
      <c r="A1238" t="inlineStr">
        <is>
          <t>A 38289-2025</t>
        </is>
      </c>
      <c r="B1238" t="inlineStr">
        <is>
          <t>avverkningsanmälan</t>
        </is>
      </c>
      <c r="C1238" t="inlineStr">
        <is>
          <t>Föryngringsavverkning</t>
        </is>
      </c>
      <c r="D1238" s="1" t="n">
        <v>45883</v>
      </c>
      <c r="E1238" s="1" t="n">
        <v>46313</v>
      </c>
      <c r="F1238" t="inlineStr">
        <is>
          <t>VÄRMLANDS LÄN</t>
        </is>
      </c>
      <c r="G1238" t="inlineStr">
        <is>
          <t>SUNNE</t>
        </is>
      </c>
      <c r="I1238" t="n">
        <v>14</v>
      </c>
      <c r="J1238" t="n">
        <v>0</v>
      </c>
      <c r="K1238" t="n">
        <v>0</v>
      </c>
      <c r="L1238" t="n">
        <v>0</v>
      </c>
      <c r="M1238" t="n">
        <v>0</v>
      </c>
      <c r="N1238" t="n">
        <v>0</v>
      </c>
      <c r="O1238" t="n">
        <v>0</v>
      </c>
      <c r="P1238" t="n">
        <v>0</v>
      </c>
      <c r="Q1238" t="n">
        <v>0</v>
      </c>
      <c r="R1238" t="n">
        <v>0</v>
      </c>
      <c r="S1238" t="n">
        <v>0</v>
      </c>
      <c r="T1238" t="n">
        <v>0</v>
      </c>
      <c r="U1238" t="n">
        <v>0</v>
      </c>
      <c r="V1238" s="2" t="inlineStr"/>
    </row>
    <row r="1239" ht="15" customHeight="1">
      <c r="A1239" t="inlineStr">
        <is>
          <t>A 37832-2025</t>
        </is>
      </c>
      <c r="B1239" t="inlineStr">
        <is>
          <t>avverkningsanmälan</t>
        </is>
      </c>
      <c r="C1239" t="inlineStr">
        <is>
          <t>Föryngringsavverkning</t>
        </is>
      </c>
      <c r="D1239" s="1" t="n">
        <v>45881</v>
      </c>
      <c r="E1239" s="1" t="n">
        <v>46313</v>
      </c>
      <c r="F1239" t="inlineStr">
        <is>
          <t>VÄRMLANDS LÄN</t>
        </is>
      </c>
      <c r="G1239" t="inlineStr">
        <is>
          <t>SUNNE</t>
        </is>
      </c>
      <c r="H1239" t="inlineStr">
        <is>
          <t>Bergvik skog väst AB</t>
        </is>
      </c>
      <c r="I1239" t="n">
        <v>15.7</v>
      </c>
      <c r="J1239" t="n">
        <v>0</v>
      </c>
      <c r="K1239" t="n">
        <v>0</v>
      </c>
      <c r="L1239" t="n">
        <v>0</v>
      </c>
      <c r="M1239" t="n">
        <v>0</v>
      </c>
      <c r="N1239" t="n">
        <v>0</v>
      </c>
      <c r="O1239" t="n">
        <v>0</v>
      </c>
      <c r="P1239" t="n">
        <v>0</v>
      </c>
      <c r="Q1239" t="n">
        <v>0</v>
      </c>
      <c r="R1239" t="n">
        <v>0</v>
      </c>
      <c r="S1239" t="n">
        <v>0</v>
      </c>
      <c r="T1239" t="n">
        <v>0</v>
      </c>
      <c r="U1239" t="n">
        <v>0</v>
      </c>
      <c r="V1239" s="2" t="inlineStr"/>
    </row>
    <row r="1240" ht="15" customHeight="1">
      <c r="A1240" t="inlineStr">
        <is>
          <t>S 4471-2022</t>
        </is>
      </c>
      <c r="B1240" t="inlineStr">
        <is>
          <t>samrådsanmälan</t>
        </is>
      </c>
      <c r="C1240" t="inlineStr">
        <is>
          <t>Annan skogsbruksåtgärd</t>
        </is>
      </c>
      <c r="D1240" s="1" t="n">
        <v>44741</v>
      </c>
      <c r="E1240" s="1" t="n">
        <v>46313</v>
      </c>
      <c r="F1240" t="inlineStr">
        <is>
          <t>VÄRMLANDS LÄN</t>
        </is>
      </c>
      <c r="G1240" t="inlineStr">
        <is>
          <t>SUNNE</t>
        </is>
      </c>
      <c r="I1240" t="n">
        <v>5.2</v>
      </c>
      <c r="J1240" t="n">
        <v>0</v>
      </c>
      <c r="K1240" t="n">
        <v>0</v>
      </c>
      <c r="L1240" t="n">
        <v>0</v>
      </c>
      <c r="M1240" t="n">
        <v>0</v>
      </c>
      <c r="N1240" t="n">
        <v>0</v>
      </c>
      <c r="O1240" t="n">
        <v>0</v>
      </c>
      <c r="P1240" t="n">
        <v>0</v>
      </c>
      <c r="Q1240" t="n">
        <v>0</v>
      </c>
      <c r="R1240" t="n">
        <v>0</v>
      </c>
      <c r="S1240" t="n">
        <v>0</v>
      </c>
      <c r="T1240" t="n">
        <v>0</v>
      </c>
      <c r="U1240" t="n">
        <v>0</v>
      </c>
      <c r="V1240" s="2" t="inlineStr"/>
    </row>
    <row r="1241" ht="15" customHeight="1">
      <c r="A1241" t="inlineStr">
        <is>
          <t>S 6975-2022</t>
        </is>
      </c>
      <c r="B1241" t="inlineStr">
        <is>
          <t>samrådsanmälan</t>
        </is>
      </c>
      <c r="C1241" t="inlineStr">
        <is>
          <t>Skogsgödsling</t>
        </is>
      </c>
      <c r="D1241" s="1" t="n">
        <v>44901</v>
      </c>
      <c r="E1241" s="1" t="n">
        <v>46313</v>
      </c>
      <c r="F1241" t="inlineStr">
        <is>
          <t>VÄRMLANDS LÄN</t>
        </is>
      </c>
      <c r="G1241" t="inlineStr">
        <is>
          <t>SUNNE</t>
        </is>
      </c>
      <c r="H1241" t="inlineStr">
        <is>
          <t>Bergvik skog väst AB</t>
        </is>
      </c>
      <c r="I1241" t="n">
        <v>17.7</v>
      </c>
      <c r="J1241" t="n">
        <v>0</v>
      </c>
      <c r="K1241" t="n">
        <v>0</v>
      </c>
      <c r="L1241" t="n">
        <v>0</v>
      </c>
      <c r="M1241" t="n">
        <v>0</v>
      </c>
      <c r="N1241" t="n">
        <v>0</v>
      </c>
      <c r="O1241" t="n">
        <v>0</v>
      </c>
      <c r="P1241" t="n">
        <v>0</v>
      </c>
      <c r="Q1241" t="n">
        <v>0</v>
      </c>
      <c r="R1241" t="n">
        <v>0</v>
      </c>
      <c r="S1241" t="n">
        <v>0</v>
      </c>
      <c r="T1241" t="n">
        <v>0</v>
      </c>
      <c r="U1241" t="n">
        <v>0</v>
      </c>
      <c r="V1241" s="2" t="inlineStr"/>
    </row>
    <row r="1242" ht="15" customHeight="1">
      <c r="A1242" t="inlineStr">
        <is>
          <t>S 887-2022</t>
        </is>
      </c>
      <c r="B1242" t="inlineStr">
        <is>
          <t>samrådsanmälan</t>
        </is>
      </c>
      <c r="C1242" t="inlineStr">
        <is>
          <t>Skogsgödsling</t>
        </is>
      </c>
      <c r="D1242" s="1" t="n">
        <v>44606</v>
      </c>
      <c r="E1242" s="1" t="n">
        <v>46313</v>
      </c>
      <c r="F1242" t="inlineStr">
        <is>
          <t>VÄRMLANDS LÄN</t>
        </is>
      </c>
      <c r="G1242" t="inlineStr">
        <is>
          <t>SUNNE</t>
        </is>
      </c>
      <c r="H1242" t="inlineStr">
        <is>
          <t>Bergvik skog väst AB</t>
        </is>
      </c>
      <c r="I1242" t="n">
        <v>88.3</v>
      </c>
      <c r="J1242" t="n">
        <v>0</v>
      </c>
      <c r="K1242" t="n">
        <v>0</v>
      </c>
      <c r="L1242" t="n">
        <v>0</v>
      </c>
      <c r="M1242" t="n">
        <v>0</v>
      </c>
      <c r="N1242" t="n">
        <v>0</v>
      </c>
      <c r="O1242" t="n">
        <v>0</v>
      </c>
      <c r="P1242" t="n">
        <v>0</v>
      </c>
      <c r="Q1242" t="n">
        <v>0</v>
      </c>
      <c r="R1242" t="n">
        <v>0</v>
      </c>
      <c r="S1242" t="n">
        <v>0</v>
      </c>
      <c r="T1242" t="n">
        <v>0</v>
      </c>
      <c r="U1242" t="n">
        <v>0</v>
      </c>
      <c r="V1242" s="2" t="inlineStr"/>
    </row>
    <row r="1243" ht="15" customHeight="1">
      <c r="A1243" t="inlineStr">
        <is>
          <t>S 5508-2022</t>
        </is>
      </c>
      <c r="B1243" t="inlineStr">
        <is>
          <t>samrådsanmälan</t>
        </is>
      </c>
      <c r="C1243" t="inlineStr">
        <is>
          <t>Skogsgödsling</t>
        </is>
      </c>
      <c r="D1243" s="1" t="n">
        <v>44834</v>
      </c>
      <c r="E1243" s="1" t="n">
        <v>46313</v>
      </c>
      <c r="F1243" t="inlineStr">
        <is>
          <t>VÄRMLANDS LÄN</t>
        </is>
      </c>
      <c r="G1243" t="inlineStr">
        <is>
          <t>SUNNE</t>
        </is>
      </c>
      <c r="H1243" t="inlineStr">
        <is>
          <t>Bergvik skog väst AB</t>
        </is>
      </c>
      <c r="I1243" t="n">
        <v>17.8</v>
      </c>
      <c r="J1243" t="n">
        <v>0</v>
      </c>
      <c r="K1243" t="n">
        <v>0</v>
      </c>
      <c r="L1243" t="n">
        <v>0</v>
      </c>
      <c r="M1243" t="n">
        <v>0</v>
      </c>
      <c r="N1243" t="n">
        <v>0</v>
      </c>
      <c r="O1243" t="n">
        <v>0</v>
      </c>
      <c r="P1243" t="n">
        <v>0</v>
      </c>
      <c r="Q1243" t="n">
        <v>0</v>
      </c>
      <c r="R1243" t="n">
        <v>0</v>
      </c>
      <c r="S1243" t="n">
        <v>0</v>
      </c>
      <c r="T1243" t="n">
        <v>0</v>
      </c>
      <c r="U1243" t="n">
        <v>0</v>
      </c>
      <c r="V1243" s="2" t="inlineStr"/>
    </row>
    <row r="1244" ht="15" customHeight="1">
      <c r="A1244" t="inlineStr">
        <is>
          <t>S 6978-2022</t>
        </is>
      </c>
      <c r="B1244" t="inlineStr">
        <is>
          <t>samrådsanmälan</t>
        </is>
      </c>
      <c r="C1244" t="inlineStr">
        <is>
          <t>Skogsgödsling</t>
        </is>
      </c>
      <c r="D1244" s="1" t="n">
        <v>44901</v>
      </c>
      <c r="E1244" s="1" t="n">
        <v>46313</v>
      </c>
      <c r="F1244" t="inlineStr">
        <is>
          <t>VÄRMLANDS LÄN</t>
        </is>
      </c>
      <c r="G1244" t="inlineStr">
        <is>
          <t>SUNNE</t>
        </is>
      </c>
      <c r="H1244" t="inlineStr">
        <is>
          <t>Bergvik skog väst AB</t>
        </is>
      </c>
      <c r="I1244" t="n">
        <v>20.5</v>
      </c>
      <c r="J1244" t="n">
        <v>0</v>
      </c>
      <c r="K1244" t="n">
        <v>0</v>
      </c>
      <c r="L1244" t="n">
        <v>0</v>
      </c>
      <c r="M1244" t="n">
        <v>0</v>
      </c>
      <c r="N1244" t="n">
        <v>0</v>
      </c>
      <c r="O1244" t="n">
        <v>0</v>
      </c>
      <c r="P1244" t="n">
        <v>0</v>
      </c>
      <c r="Q1244" t="n">
        <v>0</v>
      </c>
      <c r="R1244" t="n">
        <v>0</v>
      </c>
      <c r="S1244" t="n">
        <v>0</v>
      </c>
      <c r="T1244" t="n">
        <v>0</v>
      </c>
      <c r="U1244" t="n">
        <v>0</v>
      </c>
      <c r="V1244" s="2" t="inlineStr"/>
    </row>
    <row r="1245" ht="15" customHeight="1">
      <c r="A1245" t="inlineStr">
        <is>
          <t>S 4422-2023</t>
        </is>
      </c>
      <c r="B1245" t="inlineStr">
        <is>
          <t>samrådsanmälan</t>
        </is>
      </c>
      <c r="C1245" t="inlineStr">
        <is>
          <t>Skogsgödsling</t>
        </is>
      </c>
      <c r="D1245" s="1" t="n">
        <v>45266</v>
      </c>
      <c r="E1245" s="1" t="n">
        <v>46313</v>
      </c>
      <c r="F1245" t="inlineStr">
        <is>
          <t>VÄRMLANDS LÄN</t>
        </is>
      </c>
      <c r="G1245" t="inlineStr">
        <is>
          <t>SUNNE</t>
        </is>
      </c>
      <c r="H1245" t="inlineStr">
        <is>
          <t>Bergvik skog väst AB</t>
        </is>
      </c>
      <c r="I1245" t="n">
        <v>23.1</v>
      </c>
      <c r="J1245" t="n">
        <v>0</v>
      </c>
      <c r="K1245" t="n">
        <v>0</v>
      </c>
      <c r="L1245" t="n">
        <v>0</v>
      </c>
      <c r="M1245" t="n">
        <v>0</v>
      </c>
      <c r="N1245" t="n">
        <v>0</v>
      </c>
      <c r="O1245" t="n">
        <v>0</v>
      </c>
      <c r="P1245" t="n">
        <v>0</v>
      </c>
      <c r="Q1245" t="n">
        <v>0</v>
      </c>
      <c r="R1245" t="n">
        <v>0</v>
      </c>
      <c r="S1245" t="n">
        <v>0</v>
      </c>
      <c r="T1245" t="n">
        <v>0</v>
      </c>
      <c r="U1245" t="n">
        <v>0</v>
      </c>
      <c r="V1245" s="2" t="inlineStr"/>
    </row>
    <row r="1246" ht="15" customHeight="1">
      <c r="A1246" t="inlineStr">
        <is>
          <t>S 6961-2022</t>
        </is>
      </c>
      <c r="B1246" t="inlineStr">
        <is>
          <t>samrådsanmälan</t>
        </is>
      </c>
      <c r="C1246" t="inlineStr">
        <is>
          <t>Skogsgödsling</t>
        </is>
      </c>
      <c r="D1246" s="1" t="n">
        <v>44900</v>
      </c>
      <c r="E1246" s="1" t="n">
        <v>46313</v>
      </c>
      <c r="F1246" t="inlineStr">
        <is>
          <t>VÄRMLANDS LÄN</t>
        </is>
      </c>
      <c r="G1246" t="inlineStr">
        <is>
          <t>SUNNE</t>
        </is>
      </c>
      <c r="H1246" t="inlineStr">
        <is>
          <t>Bergvik skog väst AB</t>
        </is>
      </c>
      <c r="I1246" t="n">
        <v>88.7</v>
      </c>
      <c r="J1246" t="n">
        <v>0</v>
      </c>
      <c r="K1246" t="n">
        <v>0</v>
      </c>
      <c r="L1246" t="n">
        <v>0</v>
      </c>
      <c r="M1246" t="n">
        <v>0</v>
      </c>
      <c r="N1246" t="n">
        <v>0</v>
      </c>
      <c r="O1246" t="n">
        <v>0</v>
      </c>
      <c r="P1246" t="n">
        <v>0</v>
      </c>
      <c r="Q1246" t="n">
        <v>0</v>
      </c>
      <c r="R1246" t="n">
        <v>0</v>
      </c>
      <c r="S1246" t="n">
        <v>0</v>
      </c>
      <c r="T1246" t="n">
        <v>0</v>
      </c>
      <c r="U1246" t="n">
        <v>0</v>
      </c>
      <c r="V1246" s="2" t="inlineStr"/>
    </row>
    <row r="1247" ht="15" customHeight="1">
      <c r="A1247" t="inlineStr">
        <is>
          <t>S 5501-2022</t>
        </is>
      </c>
      <c r="B1247" t="inlineStr">
        <is>
          <t>samrådsanmälan</t>
        </is>
      </c>
      <c r="C1247" t="inlineStr">
        <is>
          <t>Skogsgödsling</t>
        </is>
      </c>
      <c r="D1247" s="1" t="n">
        <v>44834</v>
      </c>
      <c r="E1247" s="1" t="n">
        <v>46313</v>
      </c>
      <c r="F1247" t="inlineStr">
        <is>
          <t>VÄRMLANDS LÄN</t>
        </is>
      </c>
      <c r="G1247" t="inlineStr">
        <is>
          <t>SUNNE</t>
        </is>
      </c>
      <c r="H1247" t="inlineStr">
        <is>
          <t>Bergvik skog väst AB</t>
        </is>
      </c>
      <c r="I1247" t="n">
        <v>21.2</v>
      </c>
      <c r="J1247" t="n">
        <v>0</v>
      </c>
      <c r="K1247" t="n">
        <v>0</v>
      </c>
      <c r="L1247" t="n">
        <v>0</v>
      </c>
      <c r="M1247" t="n">
        <v>0</v>
      </c>
      <c r="N1247" t="n">
        <v>0</v>
      </c>
      <c r="O1247" t="n">
        <v>0</v>
      </c>
      <c r="P1247" t="n">
        <v>0</v>
      </c>
      <c r="Q1247" t="n">
        <v>0</v>
      </c>
      <c r="R1247" t="n">
        <v>0</v>
      </c>
      <c r="S1247" t="n">
        <v>0</v>
      </c>
      <c r="T1247" t="n">
        <v>0</v>
      </c>
      <c r="U1247" t="n">
        <v>0</v>
      </c>
      <c r="V1247" s="2" t="inlineStr"/>
    </row>
    <row r="1248" ht="15" customHeight="1">
      <c r="A1248" t="inlineStr">
        <is>
          <t>S 5221-2022</t>
        </is>
      </c>
      <c r="B1248" t="inlineStr">
        <is>
          <t>samrådsanmälan</t>
        </is>
      </c>
      <c r="C1248" t="inlineStr">
        <is>
          <t>Skogsbilväg</t>
        </is>
      </c>
      <c r="D1248" s="1" t="n">
        <v>44823</v>
      </c>
      <c r="E1248" s="1" t="n">
        <v>46313</v>
      </c>
      <c r="F1248" t="inlineStr">
        <is>
          <t>VÄRMLANDS LÄN</t>
        </is>
      </c>
      <c r="G1248" t="inlineStr">
        <is>
          <t>SUNNE</t>
        </is>
      </c>
      <c r="I1248" t="n">
        <v>1.5</v>
      </c>
      <c r="J1248" t="n">
        <v>0</v>
      </c>
      <c r="K1248" t="n">
        <v>0</v>
      </c>
      <c r="L1248" t="n">
        <v>0</v>
      </c>
      <c r="M1248" t="n">
        <v>0</v>
      </c>
      <c r="N1248" t="n">
        <v>0</v>
      </c>
      <c r="O1248" t="n">
        <v>0</v>
      </c>
      <c r="P1248" t="n">
        <v>0</v>
      </c>
      <c r="Q1248" t="n">
        <v>0</v>
      </c>
      <c r="R1248" t="n">
        <v>0</v>
      </c>
      <c r="S1248" t="n">
        <v>0</v>
      </c>
      <c r="T1248" t="n">
        <v>0</v>
      </c>
      <c r="U1248" t="n">
        <v>0</v>
      </c>
      <c r="V1248" s="2" t="inlineStr"/>
    </row>
    <row r="1249" ht="15" customHeight="1">
      <c r="A1249" t="inlineStr">
        <is>
          <t>S 3450-2024</t>
        </is>
      </c>
      <c r="B1249" t="inlineStr">
        <is>
          <t>samrådsanmälan</t>
        </is>
      </c>
      <c r="C1249" t="inlineStr">
        <is>
          <t>Annan skogsbruksåtgärd</t>
        </is>
      </c>
      <c r="D1249" s="1" t="n">
        <v>45537</v>
      </c>
      <c r="E1249" s="1" t="n">
        <v>46313</v>
      </c>
      <c r="F1249" t="inlineStr">
        <is>
          <t>VÄRMLANDS LÄN</t>
        </is>
      </c>
      <c r="G1249" t="inlineStr">
        <is>
          <t>SUNNE</t>
        </is>
      </c>
      <c r="I1249" t="n">
        <v>1</v>
      </c>
      <c r="J1249" t="n">
        <v>0</v>
      </c>
      <c r="K1249" t="n">
        <v>0</v>
      </c>
      <c r="L1249" t="n">
        <v>0</v>
      </c>
      <c r="M1249" t="n">
        <v>0</v>
      </c>
      <c r="N1249" t="n">
        <v>0</v>
      </c>
      <c r="O1249" t="n">
        <v>0</v>
      </c>
      <c r="P1249" t="n">
        <v>0</v>
      </c>
      <c r="Q1249" t="n">
        <v>0</v>
      </c>
      <c r="R1249" t="n">
        <v>0</v>
      </c>
      <c r="S1249" t="n">
        <v>0</v>
      </c>
      <c r="T1249" t="n">
        <v>0</v>
      </c>
      <c r="U1249" t="n">
        <v>0</v>
      </c>
      <c r="V1249" s="2" t="inlineStr"/>
    </row>
    <row r="1250" ht="15" customHeight="1">
      <c r="A1250" t="inlineStr">
        <is>
          <t>S 1238-2025</t>
        </is>
      </c>
      <c r="B1250" t="inlineStr">
        <is>
          <t>samrådsanmälan</t>
        </is>
      </c>
      <c r="C1250" t="inlineStr">
        <is>
          <t>Annan skogsbruksåtgärd</t>
        </is>
      </c>
      <c r="D1250" s="1" t="n">
        <v>45760</v>
      </c>
      <c r="E1250" s="1" t="n">
        <v>46313</v>
      </c>
      <c r="F1250" t="inlineStr">
        <is>
          <t>VÄRMLANDS LÄN</t>
        </is>
      </c>
      <c r="G1250" t="inlineStr">
        <is>
          <t>SUNNE</t>
        </is>
      </c>
      <c r="I1250" t="n">
        <v>2</v>
      </c>
      <c r="J1250" t="n">
        <v>0</v>
      </c>
      <c r="K1250" t="n">
        <v>0</v>
      </c>
      <c r="L1250" t="n">
        <v>0</v>
      </c>
      <c r="M1250" t="n">
        <v>0</v>
      </c>
      <c r="N1250" t="n">
        <v>0</v>
      </c>
      <c r="O1250" t="n">
        <v>0</v>
      </c>
      <c r="P1250" t="n">
        <v>0</v>
      </c>
      <c r="Q1250" t="n">
        <v>0</v>
      </c>
      <c r="R1250" t="n">
        <v>0</v>
      </c>
      <c r="S1250" t="n">
        <v>0</v>
      </c>
      <c r="T1250" t="n">
        <v>0</v>
      </c>
      <c r="U1250" t="n">
        <v>0</v>
      </c>
      <c r="V1250" s="2" t="inlineStr"/>
    </row>
    <row r="1251">
      <c r="A1251" t="inlineStr">
        <is>
          <t>S 1400-2025</t>
        </is>
      </c>
      <c r="B1251" t="inlineStr">
        <is>
          <t>samrådsanmälan</t>
        </is>
      </c>
      <c r="C1251" t="inlineStr">
        <is>
          <t>Dikesrensning</t>
        </is>
      </c>
      <c r="D1251" s="1" t="n">
        <v>45779</v>
      </c>
      <c r="E1251" s="1" t="n">
        <v>46313</v>
      </c>
      <c r="F1251" t="inlineStr">
        <is>
          <t>VÄRMLANDS LÄN</t>
        </is>
      </c>
      <c r="G1251" t="inlineStr">
        <is>
          <t>SUNNE</t>
        </is>
      </c>
      <c r="I1251" t="n">
        <v>0.5</v>
      </c>
      <c r="J1251" t="n">
        <v>0</v>
      </c>
      <c r="K1251" t="n">
        <v>0</v>
      </c>
      <c r="L1251" t="n">
        <v>0</v>
      </c>
      <c r="M1251" t="n">
        <v>0</v>
      </c>
      <c r="N1251" t="n">
        <v>0</v>
      </c>
      <c r="O1251" t="n">
        <v>0</v>
      </c>
      <c r="P1251" t="n">
        <v>0</v>
      </c>
      <c r="Q1251" t="n">
        <v>0</v>
      </c>
      <c r="R1251" t="n">
        <v>0</v>
      </c>
      <c r="S1251" t="n">
        <v>0</v>
      </c>
      <c r="T1251" t="n">
        <v>0</v>
      </c>
      <c r="U1251" t="n">
        <v>0</v>
      </c>
      <c r="V125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2026-10-18T08:06:45Z</dcterms:created>
  <dcterms:modified xmlns:dcterms="http://purl.org/dc/terms/" xmlns:xsi="http://www.w3.org/2001/XMLSchema-instance" xsi:type="dcterms:W3CDTF">2026-10-18T08:06:47Z</dcterms:modified>
</cp:coreProperties>
</file>