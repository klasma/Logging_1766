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46219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46219</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46219</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46219</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46219</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s="2" t="inlineStr">
        <is>
          <t>Barbastell
Brunlångöra
Nordfladdermus
Vattenfladdermus
Vanlig groda
Vanlig padda</t>
        </is>
      </c>
      <c r="V6">
        <f>HYPERLINK("https://klasma.github.io/Logging_1766/artfynd/A 47107-2024 artfynd.xlsx", "A 47107-2024")</f>
        <v/>
      </c>
      <c r="W6">
        <f>HYPERLINK("https://klasma.github.io/Logging_1766/kartor/A 47107-2024 karta.png", "A 47107-2024")</f>
        <v/>
      </c>
      <c r="Y6">
        <f>HYPERLINK("https://klasma.github.io/Logging_1766/klagomål/A 47107-2024 FSC-klagomål.docx", "A 47107-2024")</f>
        <v/>
      </c>
      <c r="Z6">
        <f>HYPERLINK("https://klasma.github.io/Logging_1766/klagomålsmail/A 47107-2024 FSC-klagomål mail.docx", "A 47107-2024")</f>
        <v/>
      </c>
      <c r="AA6">
        <f>HYPERLINK("https://klasma.github.io/Logging_1766/tillsyn/A 47107-2024 tillsynsbegäran.docx", "A 47107-2024")</f>
        <v/>
      </c>
      <c r="AB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46219</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s="2" t="inlineStr">
        <is>
          <t>Garnlav
Kattfotslav
Vedskivlav
Vågbandad barkbock
Spillkråka
Vanlig groda</t>
        </is>
      </c>
      <c r="V7">
        <f>HYPERLINK("https://klasma.github.io/Logging_1766/artfynd/A 21026-2026 artfynd.xlsx", "A 21026-2026")</f>
        <v/>
      </c>
      <c r="W7">
        <f>HYPERLINK("https://klasma.github.io/Logging_1766/kartor/A 21026-2026 karta.png", "A 21026-2026")</f>
        <v/>
      </c>
      <c r="Y7">
        <f>HYPERLINK("https://klasma.github.io/Logging_1766/klagomål/A 21026-2026 FSC-klagomål.docx", "A 21026-2026")</f>
        <v/>
      </c>
      <c r="Z7">
        <f>HYPERLINK("https://klasma.github.io/Logging_1766/klagomålsmail/A 21026-2026 FSC-klagomål mail.docx", "A 21026-2026")</f>
        <v/>
      </c>
      <c r="AA7">
        <f>HYPERLINK("https://klasma.github.io/Logging_1766/tillsyn/A 21026-2026 tillsynsbegäran.docx", "A 21026-2026")</f>
        <v/>
      </c>
      <c r="AB7">
        <f>HYPERLINK("https://klasma.github.io/Logging_1766/tillsynsmail/A 21026-2026 tillsynsbegäran mail.docx", "A 21026-2026")</f>
        <v/>
      </c>
      <c r="AC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46219</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46219</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46219</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46219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46219</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s="2" t="inlineStr">
        <is>
          <t>Bågpraktmossa
Dvärghäxört
Skinnlav
Svart trolldruva</t>
        </is>
      </c>
      <c r="V12">
        <f>HYPERLINK("https://klasma.github.io/Logging_1766/artfynd/A 63807-2021 artfynd.xlsx", "A 63807-2021")</f>
        <v/>
      </c>
      <c r="W12">
        <f>HYPERLINK("https://klasma.github.io/Logging_1766/kartor/A 63807-2021 karta.png", "A 63807-2021")</f>
        <v/>
      </c>
      <c r="Y12">
        <f>HYPERLINK("https://klasma.github.io/Logging_1766/klagomål/A 63807-2021 FSC-klagomål.docx", "A 63807-2021")</f>
        <v/>
      </c>
      <c r="Z12">
        <f>HYPERLINK("https://klasma.github.io/Logging_1766/klagomålsmail/A 63807-2021 FSC-klagomål mail.docx", "A 63807-2021")</f>
        <v/>
      </c>
      <c r="AA12">
        <f>HYPERLINK("https://klasma.github.io/Logging_1766/tillsyn/A 63807-2021 tillsynsbegäran.docx", "A 63807-2021")</f>
        <v/>
      </c>
      <c r="AB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46219</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s="2" t="inlineStr">
        <is>
          <t>Motaggsvamp
Mörk kolflarnlav
Violettgrå tagellav
Tjäder</t>
        </is>
      </c>
      <c r="V13">
        <f>HYPERLINK("https://klasma.github.io/Logging_1766/artfynd/A 7098-2025 artfynd.xlsx", "A 7098-2025")</f>
        <v/>
      </c>
      <c r="W13">
        <f>HYPERLINK("https://klasma.github.io/Logging_1766/kartor/A 7098-2025 karta.png", "A 7098-2025")</f>
        <v/>
      </c>
      <c r="Y13">
        <f>HYPERLINK("https://klasma.github.io/Logging_1766/klagomål/A 7098-2025 FSC-klagomål.docx", "A 7098-2025")</f>
        <v/>
      </c>
      <c r="Z13">
        <f>HYPERLINK("https://klasma.github.io/Logging_1766/klagomålsmail/A 7098-2025 FSC-klagomål mail.docx", "A 7098-2025")</f>
        <v/>
      </c>
      <c r="AA13">
        <f>HYPERLINK("https://klasma.github.io/Logging_1766/tillsyn/A 7098-2025 tillsynsbegäran.docx", "A 7098-2025")</f>
        <v/>
      </c>
      <c r="AB13">
        <f>HYPERLINK("https://klasma.github.io/Logging_1766/tillsynsmail/A 7098-2025 tillsynsbegäran mail.docx", "A 7098-2025")</f>
        <v/>
      </c>
      <c r="AC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46219</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25485-2025</t>
        </is>
      </c>
      <c r="B15" t="inlineStr">
        <is>
          <t>avverkningsanmälan</t>
        </is>
      </c>
      <c r="C15" t="inlineStr">
        <is>
          <t>Föryngringsavverkning</t>
        </is>
      </c>
      <c r="D15" s="1" t="n">
        <v>45803</v>
      </c>
      <c r="E15" s="1" t="n">
        <v>46219</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s="2" t="inlineStr">
        <is>
          <t>Garnlav
Skrovellav
Björksplintborre
Stuplav</t>
        </is>
      </c>
      <c r="V15">
        <f>HYPERLINK("https://klasma.github.io/Logging_1766/artfynd/A 25485-2025 artfynd.xlsx", "A 25485-2025")</f>
        <v/>
      </c>
      <c r="W15">
        <f>HYPERLINK("https://klasma.github.io/Logging_1766/kartor/A 25485-2025 karta.png", "A 25485-2025")</f>
        <v/>
      </c>
      <c r="Y15">
        <f>HYPERLINK("https://klasma.github.io/Logging_1766/klagomål/A 25485-2025 FSC-klagomål.docx", "A 25485-2025")</f>
        <v/>
      </c>
      <c r="Z15">
        <f>HYPERLINK("https://klasma.github.io/Logging_1766/klagomålsmail/A 25485-2025 FSC-klagomål mail.docx", "A 25485-2025")</f>
        <v/>
      </c>
      <c r="AA15">
        <f>HYPERLINK("https://klasma.github.io/Logging_1766/tillsyn/A 25485-2025 tillsynsbegäran.docx", "A 25485-2025")</f>
        <v/>
      </c>
      <c r="AB15">
        <f>HYPERLINK("https://klasma.github.io/Logging_1766/tillsynsmail/A 25485-2025 tillsynsbegäran mail.docx", "A 25485-2025")</f>
        <v/>
      </c>
    </row>
    <row r="16" ht="15" customHeight="1">
      <c r="A16" t="inlineStr">
        <is>
          <t>A 23051-2026</t>
        </is>
      </c>
      <c r="B16" t="inlineStr">
        <is>
          <t>avverkningsanmälan</t>
        </is>
      </c>
      <c r="C16" t="inlineStr">
        <is>
          <t>Föryngringsavverkning</t>
        </is>
      </c>
      <c r="D16" s="1" t="n">
        <v>46161</v>
      </c>
      <c r="E16" s="1" t="n">
        <v>46219</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s="2" t="inlineStr">
        <is>
          <t>Brunlångöra
Nordfladdermus
Mattlummer
Vattenfladdermus</t>
        </is>
      </c>
      <c r="V16">
        <f>HYPERLINK("https://klasma.github.io/Logging_1766/artfynd/A 23051-2026 artfynd.xlsx", "A 23051-2026")</f>
        <v/>
      </c>
      <c r="W16">
        <f>HYPERLINK("https://klasma.github.io/Logging_1766/kartor/A 23051-2026 karta.png", "A 23051-2026")</f>
        <v/>
      </c>
      <c r="Y16">
        <f>HYPERLINK("https://klasma.github.io/Logging_1766/klagomål/A 23051-2026 FSC-klagomål.docx", "A 23051-2026")</f>
        <v/>
      </c>
      <c r="Z16">
        <f>HYPERLINK("https://klasma.github.io/Logging_1766/klagomålsmail/A 23051-2026 FSC-klagomål mail.docx", "A 23051-2026")</f>
        <v/>
      </c>
      <c r="AA16">
        <f>HYPERLINK("https://klasma.github.io/Logging_1766/tillsyn/A 23051-2026 tillsynsbegäran.docx", "A 23051-2026")</f>
        <v/>
      </c>
      <c r="AB16">
        <f>HYPERLINK("https://klasma.github.io/Logging_1766/tillsynsmail/A 23051-2026 tillsynsbegäran mail.docx", "A 23051-2026")</f>
        <v/>
      </c>
    </row>
    <row r="17" ht="15" customHeight="1">
      <c r="A17" t="inlineStr">
        <is>
          <t>A 2525-2023</t>
        </is>
      </c>
      <c r="B17" t="inlineStr">
        <is>
          <t>avverkningsanmälan</t>
        </is>
      </c>
      <c r="C17" t="inlineStr">
        <is>
          <t>Föryngringsavverkning</t>
        </is>
      </c>
      <c r="D17" s="1" t="n">
        <v>44943</v>
      </c>
      <c r="E17" s="1" t="n">
        <v>46219</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s="2" t="inlineStr">
        <is>
          <t>Garnlav
Lunglav
Ullticka</t>
        </is>
      </c>
      <c r="V17">
        <f>HYPERLINK("https://klasma.github.io/Logging_1766/artfynd/A 2525-2023 artfynd.xlsx", "A 2525-2023")</f>
        <v/>
      </c>
      <c r="W17">
        <f>HYPERLINK("https://klasma.github.io/Logging_1766/kartor/A 2525-2023 karta.png", "A 2525-2023")</f>
        <v/>
      </c>
      <c r="Y17">
        <f>HYPERLINK("https://klasma.github.io/Logging_1766/klagomål/A 2525-2023 FSC-klagomål.docx", "A 2525-2023")</f>
        <v/>
      </c>
      <c r="Z17">
        <f>HYPERLINK("https://klasma.github.io/Logging_1766/klagomålsmail/A 2525-2023 FSC-klagomål mail.docx", "A 2525-2023")</f>
        <v/>
      </c>
      <c r="AA17">
        <f>HYPERLINK("https://klasma.github.io/Logging_1766/tillsyn/A 2525-2023 tillsynsbegäran.docx", "A 2525-2023")</f>
        <v/>
      </c>
      <c r="AB17">
        <f>HYPERLINK("https://klasma.github.io/Logging_1766/tillsynsmail/A 2525-2023 tillsynsbegäran mail.docx", "A 2525-2023")</f>
        <v/>
      </c>
    </row>
    <row r="18" ht="15" customHeight="1">
      <c r="A18" t="inlineStr">
        <is>
          <t>A 59632-2025</t>
        </is>
      </c>
      <c r="B18" t="inlineStr">
        <is>
          <t>avverkningsanmälan</t>
        </is>
      </c>
      <c r="C18" t="inlineStr">
        <is>
          <t>Föryngringsavverkning</t>
        </is>
      </c>
      <c r="D18" s="1" t="n">
        <v>45992</v>
      </c>
      <c r="E18" s="1" t="n">
        <v>46219</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s="2" t="inlineStr">
        <is>
          <t>Bårdlav
Skinnlav
Stuplav</t>
        </is>
      </c>
      <c r="V18">
        <f>HYPERLINK("https://klasma.github.io/Logging_1766/artfynd/A 59632-2025 artfynd.xlsx", "A 59632-2025")</f>
        <v/>
      </c>
      <c r="W18">
        <f>HYPERLINK("https://klasma.github.io/Logging_1766/kartor/A 59632-2025 karta.png", "A 59632-2025")</f>
        <v/>
      </c>
      <c r="Y18">
        <f>HYPERLINK("https://klasma.github.io/Logging_1766/klagomål/A 59632-2025 FSC-klagomål.docx", "A 59632-2025")</f>
        <v/>
      </c>
      <c r="Z18">
        <f>HYPERLINK("https://klasma.github.io/Logging_1766/klagomålsmail/A 59632-2025 FSC-klagomål mail.docx", "A 59632-2025")</f>
        <v/>
      </c>
      <c r="AA18">
        <f>HYPERLINK("https://klasma.github.io/Logging_1766/tillsyn/A 59632-2025 tillsynsbegäran.docx", "A 59632-2025")</f>
        <v/>
      </c>
      <c r="AB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46219</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s="2" t="inlineStr">
        <is>
          <t>Kärrviol
Skogsödla
Fläcknycklar</t>
        </is>
      </c>
      <c r="V19">
        <f>HYPERLINK("https://klasma.github.io/Logging_1766/artfynd/A 3082-2024 artfynd.xlsx", "A 3082-2024")</f>
        <v/>
      </c>
      <c r="W19">
        <f>HYPERLINK("https://klasma.github.io/Logging_1766/kartor/A 3082-2024 karta.png", "A 3082-2024")</f>
        <v/>
      </c>
      <c r="Y19">
        <f>HYPERLINK("https://klasma.github.io/Logging_1766/klagomål/A 3082-2024 FSC-klagomål.docx", "A 3082-2024")</f>
        <v/>
      </c>
      <c r="Z19">
        <f>HYPERLINK("https://klasma.github.io/Logging_1766/klagomålsmail/A 3082-2024 FSC-klagomål mail.docx", "A 3082-2024")</f>
        <v/>
      </c>
      <c r="AA19">
        <f>HYPERLINK("https://klasma.github.io/Logging_1766/tillsyn/A 3082-2024 tillsynsbegäran.docx", "A 3082-2024")</f>
        <v/>
      </c>
      <c r="AB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46219</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s="2" t="inlineStr">
        <is>
          <t>Tallticka
Talltita
Tjäder</t>
        </is>
      </c>
      <c r="V20">
        <f>HYPERLINK("https://klasma.github.io/Logging_1766/artfynd/A 5518-2026 artfynd.xlsx", "A 5518-2026")</f>
        <v/>
      </c>
      <c r="W20">
        <f>HYPERLINK("https://klasma.github.io/Logging_1766/kartor/A 5518-2026 karta.png", "A 5518-2026")</f>
        <v/>
      </c>
      <c r="Y20">
        <f>HYPERLINK("https://klasma.github.io/Logging_1766/klagomål/A 5518-2026 FSC-klagomål.docx", "A 5518-2026")</f>
        <v/>
      </c>
      <c r="Z20">
        <f>HYPERLINK("https://klasma.github.io/Logging_1766/klagomålsmail/A 5518-2026 FSC-klagomål mail.docx", "A 5518-2026")</f>
        <v/>
      </c>
      <c r="AA20">
        <f>HYPERLINK("https://klasma.github.io/Logging_1766/tillsyn/A 5518-2026 tillsynsbegäran.docx", "A 5518-2026")</f>
        <v/>
      </c>
      <c r="AB20">
        <f>HYPERLINK("https://klasma.github.io/Logging_1766/tillsynsmail/A 5518-2026 tillsynsbegäran mail.docx", "A 5518-2026")</f>
        <v/>
      </c>
      <c r="AC20">
        <f>HYPERLINK("https://klasma.github.io/Logging_1766/fåglar/A 5518-2026 prioriterade fågelarter.docx", "A 5518-2026")</f>
        <v/>
      </c>
    </row>
    <row r="21" ht="15" customHeight="1">
      <c r="A21" t="inlineStr">
        <is>
          <t>A 26757-2025</t>
        </is>
      </c>
      <c r="B21" t="inlineStr">
        <is>
          <t>avverkningsanmälan</t>
        </is>
      </c>
      <c r="C21" t="inlineStr">
        <is>
          <t>Föryngringsavverkning</t>
        </is>
      </c>
      <c r="D21" s="1" t="n">
        <v>45810</v>
      </c>
      <c r="E21" s="1" t="n">
        <v>46219</v>
      </c>
      <c r="F21" t="inlineStr">
        <is>
          <t>VÄRMLANDS LÄN</t>
        </is>
      </c>
      <c r="G21" t="inlineStr">
        <is>
          <t>SUNNE</t>
        </is>
      </c>
      <c r="I21" t="n">
        <v>2</v>
      </c>
      <c r="J21" t="n">
        <v>0</v>
      </c>
      <c r="K21" t="n">
        <v>3</v>
      </c>
      <c r="L21" t="n">
        <v>0</v>
      </c>
      <c r="M21" t="n">
        <v>0</v>
      </c>
      <c r="N21" t="n">
        <v>0</v>
      </c>
      <c r="O21" t="n">
        <v>0</v>
      </c>
      <c r="P21" t="n">
        <v>0</v>
      </c>
      <c r="Q21" t="n">
        <v>0</v>
      </c>
      <c r="R21" t="n">
        <v>0</v>
      </c>
      <c r="S21" t="n">
        <v>3</v>
      </c>
      <c r="T21" t="n">
        <v>3</v>
      </c>
      <c r="U21" s="2" t="inlineStr">
        <is>
          <t>Barkticka
Brandticka
Rävticka</t>
        </is>
      </c>
      <c r="V21">
        <f>HYPERLINK("https://klasma.github.io/Logging_1766/artfynd/A 26757-2025 artfynd.xlsx", "A 26757-2025")</f>
        <v/>
      </c>
      <c r="W21">
        <f>HYPERLINK("https://klasma.github.io/Logging_1766/kartor/A 26757-2025 karta.png", "A 26757-2025")</f>
        <v/>
      </c>
      <c r="X21">
        <f>HYPERLINK("https://klasma.github.io/Logging_1766/knärot/A 26757-2025 karta knärot.png", "A 26757-2025")</f>
        <v/>
      </c>
      <c r="Y21">
        <f>HYPERLINK("https://klasma.github.io/Logging_1766/klagomål/A 26757-2025 FSC-klagomål.docx", "A 26757-2025")</f>
        <v/>
      </c>
      <c r="Z21">
        <f>HYPERLINK("https://klasma.github.io/Logging_1766/klagomålsmail/A 26757-2025 FSC-klagomål mail.docx", "A 26757-2025")</f>
        <v/>
      </c>
      <c r="AA21">
        <f>HYPERLINK("https://klasma.github.io/Logging_1766/tillsyn/A 26757-2025 tillsynsbegäran.docx", "A 26757-2025")</f>
        <v/>
      </c>
      <c r="AB21">
        <f>HYPERLINK("https://klasma.github.io/Logging_1766/tillsynsmail/A 26757-2025 tillsynsbegäran mail.docx", "A 26757-2025")</f>
        <v/>
      </c>
    </row>
    <row r="22" ht="15" customHeight="1">
      <c r="A22" t="inlineStr">
        <is>
          <t>A 5978-2024</t>
        </is>
      </c>
      <c r="B22" t="inlineStr">
        <is>
          <t>avverkningsanmälan</t>
        </is>
      </c>
      <c r="C22" t="inlineStr">
        <is>
          <t>Föryngringsavverkning</t>
        </is>
      </c>
      <c r="D22" s="1" t="n">
        <v>45336</v>
      </c>
      <c r="E22" s="1" t="n">
        <v>46219</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s="2" t="inlineStr">
        <is>
          <t>Garnlav
Skuggblåslav
Violettgrå tagellav</t>
        </is>
      </c>
      <c r="V22">
        <f>HYPERLINK("https://klasma.github.io/Logging_1766/artfynd/A 5978-2024 artfynd.xlsx", "A 5978-2024")</f>
        <v/>
      </c>
      <c r="W22">
        <f>HYPERLINK("https://klasma.github.io/Logging_1766/kartor/A 5978-2024 karta.png", "A 5978-2024")</f>
        <v/>
      </c>
      <c r="Y22">
        <f>HYPERLINK("https://klasma.github.io/Logging_1766/klagomål/A 5978-2024 FSC-klagomål.docx", "A 5978-2024")</f>
        <v/>
      </c>
      <c r="Z22">
        <f>HYPERLINK("https://klasma.github.io/Logging_1766/klagomålsmail/A 5978-2024 FSC-klagomål mail.docx", "A 5978-2024")</f>
        <v/>
      </c>
      <c r="AA22">
        <f>HYPERLINK("https://klasma.github.io/Logging_1766/tillsyn/A 5978-2024 tillsynsbegäran.docx", "A 5978-2024")</f>
        <v/>
      </c>
      <c r="AB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46219</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s="2" t="inlineStr">
        <is>
          <t>Skogshare
Bronshjon
Vågbandad barkbock</t>
        </is>
      </c>
      <c r="V23">
        <f>HYPERLINK("https://klasma.github.io/Logging_1766/artfynd/A 27272-2024 artfynd.xlsx", "A 27272-2024")</f>
        <v/>
      </c>
      <c r="W23">
        <f>HYPERLINK("https://klasma.github.io/Logging_1766/kartor/A 27272-2024 karta.png", "A 27272-2024")</f>
        <v/>
      </c>
      <c r="Y23">
        <f>HYPERLINK("https://klasma.github.io/Logging_1766/klagomål/A 27272-2024 FSC-klagomål.docx", "A 27272-2024")</f>
        <v/>
      </c>
      <c r="Z23">
        <f>HYPERLINK("https://klasma.github.io/Logging_1766/klagomålsmail/A 27272-2024 FSC-klagomål mail.docx", "A 27272-2024")</f>
        <v/>
      </c>
      <c r="AA23">
        <f>HYPERLINK("https://klasma.github.io/Logging_1766/tillsyn/A 27272-2024 tillsynsbegäran.docx", "A 27272-2024")</f>
        <v/>
      </c>
      <c r="AB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46219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46219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46219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s="2" t="inlineStr">
        <is>
          <t>Dofttaggsvamp
Grantaggsvamp</t>
        </is>
      </c>
      <c r="V26">
        <f>HYPERLINK("https://klasma.github.io/Logging_1766/artfynd/A 40235-2022 artfynd.xlsx", "A 40235-2022")</f>
        <v/>
      </c>
      <c r="W26">
        <f>HYPERLINK("https://klasma.github.io/Logging_1766/kartor/A 40235-2022 karta.png", "A 40235-2022")</f>
        <v/>
      </c>
      <c r="Y26">
        <f>HYPERLINK("https://klasma.github.io/Logging_1766/klagomål/A 40235-2022 FSC-klagomål.docx", "A 40235-2022")</f>
        <v/>
      </c>
      <c r="Z26">
        <f>HYPERLINK("https://klasma.github.io/Logging_1766/klagomålsmail/A 40235-2022 FSC-klagomål mail.docx", "A 40235-2022")</f>
        <v/>
      </c>
      <c r="AA26">
        <f>HYPERLINK("https://klasma.github.io/Logging_1766/tillsyn/A 40235-2022 tillsynsbegäran.docx", "A 40235-2022")</f>
        <v/>
      </c>
      <c r="AB26">
        <f>HYPERLINK("https://klasma.github.io/Logging_1766/tillsynsmail/A 40235-2022 tillsynsbegäran mail.docx", "A 40235-2022")</f>
        <v/>
      </c>
    </row>
    <row r="27" ht="15" customHeight="1">
      <c r="A27" t="inlineStr">
        <is>
          <t>A 31603-2022</t>
        </is>
      </c>
      <c r="B27" t="inlineStr">
        <is>
          <t>avverkningsanmälan</t>
        </is>
      </c>
      <c r="C27" t="inlineStr">
        <is>
          <t>Föryngringsavverkning</t>
        </is>
      </c>
      <c r="D27" s="1" t="n">
        <v>44775</v>
      </c>
      <c r="E27" s="1" t="n">
        <v>46219</v>
      </c>
      <c r="F27" t="inlineStr">
        <is>
          <t>VÄRMLANDS LÄN</t>
        </is>
      </c>
      <c r="G27" t="inlineStr">
        <is>
          <t>SUNNE</t>
        </is>
      </c>
      <c r="I27" t="n">
        <v>4.8</v>
      </c>
      <c r="J27" t="n">
        <v>1</v>
      </c>
      <c r="K27" t="n">
        <v>1</v>
      </c>
      <c r="L27" t="n">
        <v>0</v>
      </c>
      <c r="M27" t="n">
        <v>0</v>
      </c>
      <c r="N27" t="n">
        <v>0</v>
      </c>
      <c r="O27" t="n">
        <v>0</v>
      </c>
      <c r="P27" t="n">
        <v>0</v>
      </c>
      <c r="Q27" t="n">
        <v>0</v>
      </c>
      <c r="R27" t="n">
        <v>0</v>
      </c>
      <c r="S27" t="n">
        <v>2</v>
      </c>
      <c r="T27" t="n">
        <v>2</v>
      </c>
      <c r="U27" s="2" t="inlineStr">
        <is>
          <t>Springkorn
Fläcknycklar</t>
        </is>
      </c>
      <c r="V27">
        <f>HYPERLINK("https://klasma.github.io/Logging_1766/artfynd/A 31603-2022 artfynd.xlsx", "A 31603-2022")</f>
        <v/>
      </c>
      <c r="W27">
        <f>HYPERLINK("https://klasma.github.io/Logging_1766/kartor/A 31603-2022 karta.png", "A 31603-2022")</f>
        <v/>
      </c>
      <c r="Y27">
        <f>HYPERLINK("https://klasma.github.io/Logging_1766/klagomål/A 31603-2022 FSC-klagomål.docx", "A 31603-2022")</f>
        <v/>
      </c>
      <c r="Z27">
        <f>HYPERLINK("https://klasma.github.io/Logging_1766/klagomålsmail/A 31603-2022 FSC-klagomål mail.docx", "A 31603-2022")</f>
        <v/>
      </c>
      <c r="AA27">
        <f>HYPERLINK("https://klasma.github.io/Logging_1766/tillsyn/A 31603-2022 tillsynsbegäran.docx", "A 31603-2022")</f>
        <v/>
      </c>
      <c r="AB27">
        <f>HYPERLINK("https://klasma.github.io/Logging_1766/tillsynsmail/A 31603-2022 tillsynsbegäran mail.docx", "A 31603-2022")</f>
        <v/>
      </c>
    </row>
    <row r="28" ht="15" customHeight="1">
      <c r="A28" t="inlineStr">
        <is>
          <t>A 56624-2022</t>
        </is>
      </c>
      <c r="B28" t="inlineStr">
        <is>
          <t>avverkningsanmälan</t>
        </is>
      </c>
      <c r="C28" t="inlineStr">
        <is>
          <t>Föryngringsavverkning</t>
        </is>
      </c>
      <c r="D28" s="1" t="n">
        <v>44893</v>
      </c>
      <c r="E28" s="1" t="n">
        <v>46219</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s="2" t="inlineStr">
        <is>
          <t>Kattfotslav
Bronshjon</t>
        </is>
      </c>
      <c r="V28">
        <f>HYPERLINK("https://klasma.github.io/Logging_1766/artfynd/A 56624-2022 artfynd.xlsx", "A 56624-2022")</f>
        <v/>
      </c>
      <c r="W28">
        <f>HYPERLINK("https://klasma.github.io/Logging_1766/kartor/A 56624-2022 karta.png", "A 56624-2022")</f>
        <v/>
      </c>
      <c r="Y28">
        <f>HYPERLINK("https://klasma.github.io/Logging_1766/klagomål/A 56624-2022 FSC-klagomål.docx", "A 56624-2022")</f>
        <v/>
      </c>
      <c r="Z28">
        <f>HYPERLINK("https://klasma.github.io/Logging_1766/klagomålsmail/A 56624-2022 FSC-klagomål mail.docx", "A 56624-2022")</f>
        <v/>
      </c>
      <c r="AA28">
        <f>HYPERLINK("https://klasma.github.io/Logging_1766/tillsyn/A 56624-2022 tillsynsbegäran.docx", "A 56624-2022")</f>
        <v/>
      </c>
      <c r="AB28">
        <f>HYPERLINK("https://klasma.github.io/Logging_1766/tillsynsmail/A 56624-2022 tillsynsbegäran mail.docx", "A 56624-2022")</f>
        <v/>
      </c>
    </row>
    <row r="29" ht="15" customHeight="1">
      <c r="A29" t="inlineStr">
        <is>
          <t>A 49823-2025</t>
        </is>
      </c>
      <c r="B29" t="inlineStr">
        <is>
          <t>avverkningsanmälan</t>
        </is>
      </c>
      <c r="C29" t="inlineStr">
        <is>
          <t>Föryngringsavverkning</t>
        </is>
      </c>
      <c r="D29" s="1" t="n">
        <v>45940</v>
      </c>
      <c r="E29" s="1" t="n">
        <v>46219</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49823-2025 artfynd.xlsx", "A 49823-2025")</f>
        <v/>
      </c>
      <c r="W29">
        <f>HYPERLINK("https://klasma.github.io/Logging_1766/kartor/A 49823-2025 karta.png", "A 49823-2025")</f>
        <v/>
      </c>
      <c r="Y29">
        <f>HYPERLINK("https://klasma.github.io/Logging_1766/klagomål/A 49823-2025 FSC-klagomål.docx", "A 49823-2025")</f>
        <v/>
      </c>
      <c r="Z29">
        <f>HYPERLINK("https://klasma.github.io/Logging_1766/klagomålsmail/A 49823-2025 FSC-klagomål mail.docx", "A 49823-2025")</f>
        <v/>
      </c>
      <c r="AA29">
        <f>HYPERLINK("https://klasma.github.io/Logging_1766/tillsyn/A 49823-2025 tillsynsbegäran.docx", "A 49823-2025")</f>
        <v/>
      </c>
      <c r="AB29">
        <f>HYPERLINK("https://klasma.github.io/Logging_1766/tillsynsmail/A 49823-2025 tillsynsbegäran mail.docx", "A 49823-2025")</f>
        <v/>
      </c>
      <c r="AC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46219</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s="2" t="inlineStr">
        <is>
          <t>Bivråk
Spindelblomster</t>
        </is>
      </c>
      <c r="V30">
        <f>HYPERLINK("https://klasma.github.io/Logging_1766/artfynd/A 49817-2025 artfynd.xlsx", "A 49817-2025")</f>
        <v/>
      </c>
      <c r="W30">
        <f>HYPERLINK("https://klasma.github.io/Logging_1766/kartor/A 49817-2025 karta.png", "A 49817-2025")</f>
        <v/>
      </c>
      <c r="Y30">
        <f>HYPERLINK("https://klasma.github.io/Logging_1766/klagomål/A 49817-2025 FSC-klagomål.docx", "A 49817-2025")</f>
        <v/>
      </c>
      <c r="Z30">
        <f>HYPERLINK("https://klasma.github.io/Logging_1766/klagomålsmail/A 49817-2025 FSC-klagomål mail.docx", "A 49817-2025")</f>
        <v/>
      </c>
      <c r="AA30">
        <f>HYPERLINK("https://klasma.github.io/Logging_1766/tillsyn/A 49817-2025 tillsynsbegäran.docx", "A 49817-2025")</f>
        <v/>
      </c>
      <c r="AB30">
        <f>HYPERLINK("https://klasma.github.io/Logging_1766/tillsynsmail/A 49817-2025 tillsynsbegäran mail.docx", "A 49817-2025")</f>
        <v/>
      </c>
      <c r="AC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46219</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s="2" t="inlineStr">
        <is>
          <t>Tjäder
Orre</t>
        </is>
      </c>
      <c r="V31">
        <f>HYPERLINK("https://klasma.github.io/Logging_1766/artfynd/A 49892-2025 artfynd.xlsx", "A 49892-2025")</f>
        <v/>
      </c>
      <c r="W31">
        <f>HYPERLINK("https://klasma.github.io/Logging_1766/kartor/A 49892-2025 karta.png", "A 49892-2025")</f>
        <v/>
      </c>
      <c r="Y31">
        <f>HYPERLINK("https://klasma.github.io/Logging_1766/klagomål/A 49892-2025 FSC-klagomål.docx", "A 49892-2025")</f>
        <v/>
      </c>
      <c r="Z31">
        <f>HYPERLINK("https://klasma.github.io/Logging_1766/klagomålsmail/A 49892-2025 FSC-klagomål mail.docx", "A 49892-2025")</f>
        <v/>
      </c>
      <c r="AA31">
        <f>HYPERLINK("https://klasma.github.io/Logging_1766/tillsyn/A 49892-2025 tillsynsbegäran.docx", "A 49892-2025")</f>
        <v/>
      </c>
      <c r="AB31">
        <f>HYPERLINK("https://klasma.github.io/Logging_1766/tillsynsmail/A 49892-2025 tillsynsbegäran mail.docx", "A 49892-2025")</f>
        <v/>
      </c>
      <c r="AC31">
        <f>HYPERLINK("https://klasma.github.io/Logging_1766/fåglar/A 49892-2025 prioriterade fågelarter.docx", "A 49892-2025")</f>
        <v/>
      </c>
    </row>
    <row r="32" ht="15" customHeight="1">
      <c r="A32" t="inlineStr">
        <is>
          <t>A 23042-2026</t>
        </is>
      </c>
      <c r="B32" t="inlineStr">
        <is>
          <t>avverkningsanmälan</t>
        </is>
      </c>
      <c r="C32" t="inlineStr">
        <is>
          <t>Föryngringsavverkning</t>
        </is>
      </c>
      <c r="D32" s="1" t="n">
        <v>46161</v>
      </c>
      <c r="E32" s="1" t="n">
        <v>46219</v>
      </c>
      <c r="F32" t="inlineStr">
        <is>
          <t>VÄRMLANDS LÄN</t>
        </is>
      </c>
      <c r="G32" t="inlineStr">
        <is>
          <t>SUNNE</t>
        </is>
      </c>
      <c r="I32" t="n">
        <v>2.7</v>
      </c>
      <c r="J32" t="n">
        <v>1</v>
      </c>
      <c r="K32" t="n">
        <v>1</v>
      </c>
      <c r="L32" t="n">
        <v>0</v>
      </c>
      <c r="M32" t="n">
        <v>0</v>
      </c>
      <c r="N32" t="n">
        <v>0</v>
      </c>
      <c r="O32" t="n">
        <v>0</v>
      </c>
      <c r="P32" t="n">
        <v>0</v>
      </c>
      <c r="Q32" t="n">
        <v>0</v>
      </c>
      <c r="R32" t="n">
        <v>0</v>
      </c>
      <c r="S32" t="n">
        <v>2</v>
      </c>
      <c r="T32" t="n">
        <v>2</v>
      </c>
      <c r="U32" s="2" t="inlineStr">
        <is>
          <t>Springkorn
Fläcknycklar</t>
        </is>
      </c>
      <c r="V32">
        <f>HYPERLINK("https://klasma.github.io/Logging_1766/artfynd/A 23042-2026 artfynd.xlsx", "A 23042-2026")</f>
        <v/>
      </c>
      <c r="W32">
        <f>HYPERLINK("https://klasma.github.io/Logging_1766/kartor/A 23042-2026 karta.png", "A 23042-2026")</f>
        <v/>
      </c>
      <c r="Y32">
        <f>HYPERLINK("https://klasma.github.io/Logging_1766/klagomål/A 23042-2026 FSC-klagomål.docx", "A 23042-2026")</f>
        <v/>
      </c>
      <c r="Z32">
        <f>HYPERLINK("https://klasma.github.io/Logging_1766/klagomålsmail/A 23042-2026 FSC-klagomål mail.docx", "A 23042-2026")</f>
        <v/>
      </c>
      <c r="AA32">
        <f>HYPERLINK("https://klasma.github.io/Logging_1766/tillsyn/A 23042-2026 tillsynsbegäran.docx", "A 23042-2026")</f>
        <v/>
      </c>
      <c r="AB32">
        <f>HYPERLINK("https://klasma.github.io/Logging_1766/tillsynsmail/A 23042-2026 tillsynsbegäran mail.docx", "A 23042-2026")</f>
        <v/>
      </c>
    </row>
    <row r="33" ht="15" customHeight="1">
      <c r="A33" t="inlineStr">
        <is>
          <t>A 383-2026</t>
        </is>
      </c>
      <c r="B33" t="inlineStr">
        <is>
          <t>avverkningsanmälan</t>
        </is>
      </c>
      <c r="C33" t="inlineStr">
        <is>
          <t>Föryngringsavverkning</t>
        </is>
      </c>
      <c r="D33" s="1" t="n">
        <v>46027</v>
      </c>
      <c r="E33" s="1" t="n">
        <v>46219</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s="2" t="inlineStr">
        <is>
          <t>Garnlav
Kungsörn</t>
        </is>
      </c>
      <c r="V33">
        <f>HYPERLINK("https://klasma.github.io/Logging_1766/artfynd/A 383-2026 artfynd.xlsx", "A 383-2026")</f>
        <v/>
      </c>
      <c r="W33">
        <f>HYPERLINK("https://klasma.github.io/Logging_1766/kartor/A 383-2026 karta.png", "A 383-2026")</f>
        <v/>
      </c>
      <c r="Y33">
        <f>HYPERLINK("https://klasma.github.io/Logging_1766/klagomål/A 383-2026 FSC-klagomål.docx", "A 383-2026")</f>
        <v/>
      </c>
      <c r="Z33">
        <f>HYPERLINK("https://klasma.github.io/Logging_1766/klagomålsmail/A 383-2026 FSC-klagomål mail.docx", "A 383-2026")</f>
        <v/>
      </c>
      <c r="AA33">
        <f>HYPERLINK("https://klasma.github.io/Logging_1766/tillsyn/A 383-2026 tillsynsbegäran.docx", "A 383-2026")</f>
        <v/>
      </c>
      <c r="AB33">
        <f>HYPERLINK("https://klasma.github.io/Logging_1766/tillsynsmail/A 383-2026 tillsynsbegäran mail.docx", "A 383-2026")</f>
        <v/>
      </c>
      <c r="AC33">
        <f>HYPERLINK("https://klasma.github.io/Logging_1766/fåglar/A 383-2026 prioriterade fågelarter.docx", "A 383-2026")</f>
        <v/>
      </c>
    </row>
    <row r="34" ht="15" customHeight="1">
      <c r="A34" t="inlineStr">
        <is>
          <t>A 8386-2026</t>
        </is>
      </c>
      <c r="B34" t="inlineStr">
        <is>
          <t>avverkningsanmälan</t>
        </is>
      </c>
      <c r="C34" t="inlineStr">
        <is>
          <t>Föryngringsavverkning</t>
        </is>
      </c>
      <c r="D34" s="1" t="n">
        <v>46064</v>
      </c>
      <c r="E34" s="1" t="n">
        <v>46219</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s="2" t="inlineStr">
        <is>
          <t>Svartvit taggsvamp
Fläcknycklar</t>
        </is>
      </c>
      <c r="V34">
        <f>HYPERLINK("https://klasma.github.io/Logging_1766/artfynd/A 8386-2026 artfynd.xlsx", "A 8386-2026")</f>
        <v/>
      </c>
      <c r="W34">
        <f>HYPERLINK("https://klasma.github.io/Logging_1766/kartor/A 8386-2026 karta.png", "A 8386-2026")</f>
        <v/>
      </c>
      <c r="Y34">
        <f>HYPERLINK("https://klasma.github.io/Logging_1766/klagomål/A 8386-2026 FSC-klagomål.docx", "A 8386-2026")</f>
        <v/>
      </c>
      <c r="Z34">
        <f>HYPERLINK("https://klasma.github.io/Logging_1766/klagomålsmail/A 8386-2026 FSC-klagomål mail.docx", "A 8386-2026")</f>
        <v/>
      </c>
      <c r="AA34">
        <f>HYPERLINK("https://klasma.github.io/Logging_1766/tillsyn/A 8386-2026 tillsynsbegäran.docx", "A 8386-2026")</f>
        <v/>
      </c>
      <c r="AB34">
        <f>HYPERLINK("https://klasma.github.io/Logging_1766/tillsynsmail/A 8386-2026 tillsynsbegäran mail.docx", "A 8386-2026")</f>
        <v/>
      </c>
    </row>
    <row r="35" ht="15" customHeight="1">
      <c r="A35" t="inlineStr">
        <is>
          <t>A 23697-2025</t>
        </is>
      </c>
      <c r="B35" t="inlineStr">
        <is>
          <t>avverkningsanmälan</t>
        </is>
      </c>
      <c r="C35" t="inlineStr">
        <is>
          <t>Föryngringsavverkning</t>
        </is>
      </c>
      <c r="D35" s="1" t="n">
        <v>45793</v>
      </c>
      <c r="E35" s="1" t="n">
        <v>46219</v>
      </c>
      <c r="F35" t="inlineStr">
        <is>
          <t>VÄRMLANDS LÄN</t>
        </is>
      </c>
      <c r="G35" t="inlineStr">
        <is>
          <t>SUNNE</t>
        </is>
      </c>
      <c r="I35" t="n">
        <v>2.1</v>
      </c>
      <c r="J35" t="n">
        <v>0</v>
      </c>
      <c r="K35" t="n">
        <v>0</v>
      </c>
      <c r="L35" t="n">
        <v>1</v>
      </c>
      <c r="M35" t="n">
        <v>1</v>
      </c>
      <c r="N35" t="n">
        <v>0</v>
      </c>
      <c r="O35" t="n">
        <v>0</v>
      </c>
      <c r="P35" t="n">
        <v>0</v>
      </c>
      <c r="Q35" t="n">
        <v>2</v>
      </c>
      <c r="R35" t="n">
        <v>1</v>
      </c>
      <c r="S35" t="n">
        <v>2</v>
      </c>
      <c r="T35" t="n">
        <v>3</v>
      </c>
      <c r="U35" s="2" t="inlineStr">
        <is>
          <t>Garnlav
Tallticka</t>
        </is>
      </c>
      <c r="V35">
        <f>HYPERLINK("https://klasma.github.io/Logging_1766/artfynd/A 23697-2025 artfynd.xlsx", "A 23697-2025")</f>
        <v/>
      </c>
      <c r="W35">
        <f>HYPERLINK("https://klasma.github.io/Logging_1766/kartor/A 23697-2025 karta.png", "A 23697-2025")</f>
        <v/>
      </c>
      <c r="Y35">
        <f>HYPERLINK("https://klasma.github.io/Logging_1766/klagomål/A 23697-2025 FSC-klagomål.docx", "A 23697-2025")</f>
        <v/>
      </c>
      <c r="Z35">
        <f>HYPERLINK("https://klasma.github.io/Logging_1766/klagomålsmail/A 23697-2025 FSC-klagomål mail.docx", "A 23697-2025")</f>
        <v/>
      </c>
      <c r="AA35">
        <f>HYPERLINK("https://klasma.github.io/Logging_1766/tillsyn/A 23697-2025 tillsynsbegäran.docx", "A 23697-2025")</f>
        <v/>
      </c>
      <c r="AB35">
        <f>HYPERLINK("https://klasma.github.io/Logging_1766/tillsynsmail/A 23697-2025 tillsynsbegäran mail.docx", "A 23697-2025")</f>
        <v/>
      </c>
    </row>
    <row r="36" ht="15" customHeight="1">
      <c r="A36" t="inlineStr">
        <is>
          <t>A 3087-2024</t>
        </is>
      </c>
      <c r="B36" t="inlineStr">
        <is>
          <t>avverkningsanmälan</t>
        </is>
      </c>
      <c r="C36" t="inlineStr">
        <is>
          <t>Föryngringsavverkning</t>
        </is>
      </c>
      <c r="D36" s="1" t="n">
        <v>45316</v>
      </c>
      <c r="E36" s="1" t="n">
        <v>46219</v>
      </c>
      <c r="F36" t="inlineStr">
        <is>
          <t>VÄRMLANDS LÄN</t>
        </is>
      </c>
      <c r="G36" t="inlineStr">
        <is>
          <t>SUNNE</t>
        </is>
      </c>
      <c r="H36" t="inlineStr">
        <is>
          <t>Kommuner</t>
        </is>
      </c>
      <c r="I36" t="n">
        <v>2.9</v>
      </c>
      <c r="J36" t="n">
        <v>1</v>
      </c>
      <c r="K36" t="n">
        <v>0</v>
      </c>
      <c r="L36" t="n">
        <v>0</v>
      </c>
      <c r="M36" t="n">
        <v>0</v>
      </c>
      <c r="N36" t="n">
        <v>0</v>
      </c>
      <c r="O36" t="n">
        <v>0</v>
      </c>
      <c r="P36" t="n">
        <v>0</v>
      </c>
      <c r="Q36" t="n">
        <v>0</v>
      </c>
      <c r="R36" t="n">
        <v>0</v>
      </c>
      <c r="S36" t="n">
        <v>2</v>
      </c>
      <c r="T36" t="n">
        <v>2</v>
      </c>
      <c r="U36" s="2" t="inlineStr">
        <is>
          <t>Linnea
Spillkråka</t>
        </is>
      </c>
      <c r="V36">
        <f>HYPERLINK("https://klasma.github.io/Logging_1766/artfynd/A 3087-2024 artfynd.xlsx", "A 3087-2024")</f>
        <v/>
      </c>
      <c r="W36">
        <f>HYPERLINK("https://klasma.github.io/Logging_1766/kartor/A 3087-2024 karta.png", "A 3087-2024")</f>
        <v/>
      </c>
      <c r="Y36">
        <f>HYPERLINK("https://klasma.github.io/Logging_1766/klagomål/A 3087-2024 FSC-klagomål.docx", "A 3087-2024")</f>
        <v/>
      </c>
      <c r="Z36">
        <f>HYPERLINK("https://klasma.github.io/Logging_1766/klagomålsmail/A 3087-2024 FSC-klagomål mail.docx", "A 3087-2024")</f>
        <v/>
      </c>
      <c r="AA36">
        <f>HYPERLINK("https://klasma.github.io/Logging_1766/tillsyn/A 3087-2024 tillsynsbegäran.docx", "A 3087-2024")</f>
        <v/>
      </c>
      <c r="AB36">
        <f>HYPERLINK("https://klasma.github.io/Logging_1766/tillsynsmail/A 3087-2024 tillsynsbegäran mail.docx", "A 3087-2024")</f>
        <v/>
      </c>
      <c r="AC36">
        <f>HYPERLINK("https://klasma.github.io/Logging_1766/fåglar/A 3087-2024 prioriterade fågelarter.docx", "A 3087-2024")</f>
        <v/>
      </c>
    </row>
    <row r="37" ht="15" customHeight="1">
      <c r="A37" t="inlineStr">
        <is>
          <t>A 10279-2023</t>
        </is>
      </c>
      <c r="B37" t="inlineStr">
        <is>
          <t>avverkningsanmälan</t>
        </is>
      </c>
      <c r="C37" t="inlineStr">
        <is>
          <t>Föryngringsavverkning</t>
        </is>
      </c>
      <c r="D37" s="1" t="n">
        <v>44986</v>
      </c>
      <c r="E37" s="1" t="n">
        <v>46219</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s="2" t="inlineStr">
        <is>
          <t>Bronshjon
Korallblylav</t>
        </is>
      </c>
      <c r="V37">
        <f>HYPERLINK("https://klasma.github.io/Logging_1766/artfynd/A 10279-2023 artfynd.xlsx", "A 10279-2023")</f>
        <v/>
      </c>
      <c r="W37">
        <f>HYPERLINK("https://klasma.github.io/Logging_1766/kartor/A 10279-2023 karta.png", "A 10279-2023")</f>
        <v/>
      </c>
      <c r="Y37">
        <f>HYPERLINK("https://klasma.github.io/Logging_1766/klagomål/A 10279-2023 FSC-klagomål.docx", "A 10279-2023")</f>
        <v/>
      </c>
      <c r="Z37">
        <f>HYPERLINK("https://klasma.github.io/Logging_1766/klagomålsmail/A 10279-2023 FSC-klagomål mail.docx", "A 10279-2023")</f>
        <v/>
      </c>
      <c r="AA37">
        <f>HYPERLINK("https://klasma.github.io/Logging_1766/tillsyn/A 10279-2023 tillsynsbegäran.docx", "A 10279-2023")</f>
        <v/>
      </c>
      <c r="AB37">
        <f>HYPERLINK("https://klasma.github.io/Logging_1766/tillsynsmail/A 10279-2023 tillsynsbegäran mail.docx", "A 10279-2023")</f>
        <v/>
      </c>
    </row>
    <row r="38" ht="15" customHeight="1">
      <c r="A38" t="inlineStr">
        <is>
          <t>A 49705-2022</t>
        </is>
      </c>
      <c r="B38" t="inlineStr">
        <is>
          <t>avverkningsanmälan</t>
        </is>
      </c>
      <c r="C38" t="inlineStr">
        <is>
          <t>Föryngringsavverkning</t>
        </is>
      </c>
      <c r="D38" s="1" t="n">
        <v>44859</v>
      </c>
      <c r="E38" s="1" t="n">
        <v>46219</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46219</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46219</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46219</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46219</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s="2" t="inlineStr">
        <is>
          <t>Bivråk</t>
        </is>
      </c>
      <c r="V42">
        <f>HYPERLINK("https://klasma.github.io/Logging_1766/artfynd/A 22734-2024 artfynd.xlsx", "A 22734-2024")</f>
        <v/>
      </c>
      <c r="W42">
        <f>HYPERLINK("https://klasma.github.io/Logging_1766/kartor/A 22734-2024 karta.png", "A 22734-2024")</f>
        <v/>
      </c>
      <c r="Y42">
        <f>HYPERLINK("https://klasma.github.io/Logging_1766/klagomål/A 22734-2024 FSC-klagomål.docx", "A 22734-2024")</f>
        <v/>
      </c>
      <c r="Z42">
        <f>HYPERLINK("https://klasma.github.io/Logging_1766/klagomålsmail/A 22734-2024 FSC-klagomål mail.docx", "A 22734-2024")</f>
        <v/>
      </c>
      <c r="AA42">
        <f>HYPERLINK("https://klasma.github.io/Logging_1766/tillsyn/A 22734-2024 tillsynsbegäran.docx", "A 22734-2024")</f>
        <v/>
      </c>
      <c r="AB42">
        <f>HYPERLINK("https://klasma.github.io/Logging_1766/tillsynsmail/A 22734-2024 tillsynsbegäran mail.docx", "A 22734-2024")</f>
        <v/>
      </c>
      <c r="AC42">
        <f>HYPERLINK("https://klasma.github.io/Logging_1766/fåglar/A 22734-2024 prioriterade fågelarter.docx", "A 22734-2024")</f>
        <v/>
      </c>
    </row>
    <row r="43" ht="15" customHeight="1">
      <c r="A43" t="inlineStr">
        <is>
          <t>A 37993-2021</t>
        </is>
      </c>
      <c r="B43" t="inlineStr">
        <is>
          <t>avverkningsanmälan</t>
        </is>
      </c>
      <c r="C43" t="inlineStr">
        <is>
          <t>Föryngringsavverkning</t>
        </is>
      </c>
      <c r="D43" s="1" t="n">
        <v>44404</v>
      </c>
      <c r="E43" s="1" t="n">
        <v>46219</v>
      </c>
      <c r="F43" t="inlineStr">
        <is>
          <t>VÄRMLANDS LÄN</t>
        </is>
      </c>
      <c r="G43" t="inlineStr">
        <is>
          <t>SUNNE</t>
        </is>
      </c>
      <c r="I43" t="n">
        <v>11.7</v>
      </c>
      <c r="J43" t="n">
        <v>0</v>
      </c>
      <c r="K43" t="n">
        <v>0</v>
      </c>
      <c r="L43" t="n">
        <v>0</v>
      </c>
      <c r="M43" t="n">
        <v>0</v>
      </c>
      <c r="N43" t="n">
        <v>1</v>
      </c>
      <c r="O43" t="n">
        <v>0</v>
      </c>
      <c r="P43" t="n">
        <v>0</v>
      </c>
      <c r="Q43" t="n">
        <v>1</v>
      </c>
      <c r="R43" t="n">
        <v>1</v>
      </c>
      <c r="S43" t="n">
        <v>1</v>
      </c>
      <c r="T43" t="n">
        <v>1</v>
      </c>
      <c r="U43" s="2" t="inlineStr">
        <is>
          <t>Stråltandad fibbla</t>
        </is>
      </c>
      <c r="V43">
        <f>HYPERLINK("https://klasma.github.io/Logging_1766/artfynd/A 37993-2021 artfynd.xlsx", "A 37993-2021")</f>
        <v/>
      </c>
      <c r="W43">
        <f>HYPERLINK("https://klasma.github.io/Logging_1766/kartor/A 37993-2021 karta.png", "A 37993-2021")</f>
        <v/>
      </c>
      <c r="Y43">
        <f>HYPERLINK("https://klasma.github.io/Logging_1766/klagomål/A 37993-2021 FSC-klagomål.docx", "A 37993-2021")</f>
        <v/>
      </c>
      <c r="Z43">
        <f>HYPERLINK("https://klasma.github.io/Logging_1766/klagomålsmail/A 37993-2021 FSC-klagomål mail.docx", "A 37993-2021")</f>
        <v/>
      </c>
      <c r="AA43">
        <f>HYPERLINK("https://klasma.github.io/Logging_1766/tillsyn/A 37993-2021 tillsynsbegäran.docx", "A 37993-2021")</f>
        <v/>
      </c>
      <c r="AB43">
        <f>HYPERLINK("https://klasma.github.io/Logging_1766/tillsynsmail/A 37993-2021 tillsynsbegäran mail.docx", "A 37993-2021")</f>
        <v/>
      </c>
    </row>
    <row r="44" ht="15" customHeight="1">
      <c r="A44" t="inlineStr">
        <is>
          <t>A 50837-2024</t>
        </is>
      </c>
      <c r="B44" t="inlineStr">
        <is>
          <t>avverkningsanmälan</t>
        </is>
      </c>
      <c r="C44" t="inlineStr">
        <is>
          <t>Föryngringsavverkning</t>
        </is>
      </c>
      <c r="D44" s="1" t="n">
        <v>45602</v>
      </c>
      <c r="E44" s="1" t="n">
        <v>46219</v>
      </c>
      <c r="F44" t="inlineStr">
        <is>
          <t>VÄRMLANDS LÄN</t>
        </is>
      </c>
      <c r="G44" t="inlineStr">
        <is>
          <t>SUNNE</t>
        </is>
      </c>
      <c r="I44" t="n">
        <v>3.3</v>
      </c>
      <c r="J44" t="n">
        <v>0</v>
      </c>
      <c r="K44" t="n">
        <v>1</v>
      </c>
      <c r="L44" t="n">
        <v>0</v>
      </c>
      <c r="M44" t="n">
        <v>0</v>
      </c>
      <c r="N44" t="n">
        <v>0</v>
      </c>
      <c r="O44" t="n">
        <v>0</v>
      </c>
      <c r="P44" t="n">
        <v>0</v>
      </c>
      <c r="Q44" t="n">
        <v>0</v>
      </c>
      <c r="R44" t="n">
        <v>0</v>
      </c>
      <c r="S44" t="n">
        <v>1</v>
      </c>
      <c r="T44" t="n">
        <v>1</v>
      </c>
      <c r="U44" s="2" t="inlineStr">
        <is>
          <t>Gräsull</t>
        </is>
      </c>
      <c r="V44">
        <f>HYPERLINK("https://klasma.github.io/Logging_1766/artfynd/A 50837-2024 artfynd.xlsx", "A 50837-2024")</f>
        <v/>
      </c>
      <c r="W44">
        <f>HYPERLINK("https://klasma.github.io/Logging_1766/kartor/A 50837-2024 karta.png", "A 50837-2024")</f>
        <v/>
      </c>
      <c r="Y44">
        <f>HYPERLINK("https://klasma.github.io/Logging_1766/klagomål/A 50837-2024 FSC-klagomål.docx", "A 50837-2024")</f>
        <v/>
      </c>
      <c r="Z44">
        <f>HYPERLINK("https://klasma.github.io/Logging_1766/klagomålsmail/A 50837-2024 FSC-klagomål mail.docx", "A 50837-2024")</f>
        <v/>
      </c>
      <c r="AA44">
        <f>HYPERLINK("https://klasma.github.io/Logging_1766/tillsyn/A 50837-2024 tillsynsbegäran.docx", "A 50837-2024")</f>
        <v/>
      </c>
      <c r="AB44">
        <f>HYPERLINK("https://klasma.github.io/Logging_1766/tillsynsmail/A 50837-2024 tillsynsbegäran mail.docx", "A 50837-2024")</f>
        <v/>
      </c>
    </row>
    <row r="45" ht="15" customHeight="1">
      <c r="A45" t="inlineStr">
        <is>
          <t>A 59685-2022</t>
        </is>
      </c>
      <c r="B45" t="inlineStr">
        <is>
          <t>avverkningsanmälan</t>
        </is>
      </c>
      <c r="C45" t="inlineStr">
        <is>
          <t>Föryngringsavverkning</t>
        </is>
      </c>
      <c r="D45" s="1" t="n">
        <v>44908</v>
      </c>
      <c r="E45" s="1" t="n">
        <v>46219</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s="2" t="inlineStr">
        <is>
          <t>Fläcknycklar</t>
        </is>
      </c>
      <c r="V45">
        <f>HYPERLINK("https://klasma.github.io/Logging_1766/artfynd/A 59685-2022 artfynd.xlsx", "A 59685-2022")</f>
        <v/>
      </c>
      <c r="W45">
        <f>HYPERLINK("https://klasma.github.io/Logging_1766/kartor/A 59685-2022 karta.png", "A 59685-2022")</f>
        <v/>
      </c>
      <c r="Y45">
        <f>HYPERLINK("https://klasma.github.io/Logging_1766/klagomål/A 59685-2022 FSC-klagomål.docx", "A 59685-2022")</f>
        <v/>
      </c>
      <c r="Z45">
        <f>HYPERLINK("https://klasma.github.io/Logging_1766/klagomålsmail/A 59685-2022 FSC-klagomål mail.docx", "A 59685-2022")</f>
        <v/>
      </c>
      <c r="AA45">
        <f>HYPERLINK("https://klasma.github.io/Logging_1766/tillsyn/A 59685-2022 tillsynsbegäran.docx", "A 59685-2022")</f>
        <v/>
      </c>
      <c r="AB45">
        <f>HYPERLINK("https://klasma.github.io/Logging_1766/tillsynsmail/A 59685-2022 tillsynsbegäran mail.docx", "A 59685-2022")</f>
        <v/>
      </c>
    </row>
    <row r="46" ht="15" customHeight="1">
      <c r="A46" t="inlineStr">
        <is>
          <t>A 31339-2023</t>
        </is>
      </c>
      <c r="B46" t="inlineStr">
        <is>
          <t>avverkningsanmälan</t>
        </is>
      </c>
      <c r="C46" t="inlineStr">
        <is>
          <t>Föryngringsavverkning</t>
        </is>
      </c>
      <c r="D46" s="1" t="n">
        <v>45114</v>
      </c>
      <c r="E46" s="1" t="n">
        <v>46219</v>
      </c>
      <c r="F46" t="inlineStr">
        <is>
          <t>VÄRMLANDS LÄN</t>
        </is>
      </c>
      <c r="G46" t="inlineStr">
        <is>
          <t>SUNNE</t>
        </is>
      </c>
      <c r="I46" t="n">
        <v>0.8</v>
      </c>
      <c r="J46" t="n">
        <v>0</v>
      </c>
      <c r="K46" t="n">
        <v>0</v>
      </c>
      <c r="L46" t="n">
        <v>0</v>
      </c>
      <c r="M46" t="n">
        <v>1</v>
      </c>
      <c r="N46" t="n">
        <v>0</v>
      </c>
      <c r="O46" t="n">
        <v>0</v>
      </c>
      <c r="P46" t="n">
        <v>0</v>
      </c>
      <c r="Q46" t="n">
        <v>1</v>
      </c>
      <c r="R46" t="n">
        <v>1</v>
      </c>
      <c r="S46" t="n">
        <v>1</v>
      </c>
      <c r="T46" t="n">
        <v>1</v>
      </c>
      <c r="U46" s="2" t="inlineStr">
        <is>
          <t>Garnlav</t>
        </is>
      </c>
      <c r="V46">
        <f>HYPERLINK("https://klasma.github.io/Logging_1766/artfynd/A 31339-2023 artfynd.xlsx", "A 31339-2023")</f>
        <v/>
      </c>
      <c r="W46">
        <f>HYPERLINK("https://klasma.github.io/Logging_1766/kartor/A 31339-2023 karta.png", "A 31339-2023")</f>
        <v/>
      </c>
      <c r="Y46">
        <f>HYPERLINK("https://klasma.github.io/Logging_1766/klagomål/A 31339-2023 FSC-klagomål.docx", "A 31339-2023")</f>
        <v/>
      </c>
      <c r="Z46">
        <f>HYPERLINK("https://klasma.github.io/Logging_1766/klagomålsmail/A 31339-2023 FSC-klagomål mail.docx", "A 31339-2023")</f>
        <v/>
      </c>
      <c r="AA46">
        <f>HYPERLINK("https://klasma.github.io/Logging_1766/tillsyn/A 31339-2023 tillsynsbegäran.docx", "A 31339-2023")</f>
        <v/>
      </c>
      <c r="AB46">
        <f>HYPERLINK("https://klasma.github.io/Logging_1766/tillsynsmail/A 31339-2023 tillsynsbegäran mail.docx", "A 31339-2023")</f>
        <v/>
      </c>
    </row>
    <row r="47" ht="15" customHeight="1">
      <c r="A47" t="inlineStr">
        <is>
          <t>A 35926-2024</t>
        </is>
      </c>
      <c r="B47" t="inlineStr">
        <is>
          <t>avverkningsanmälan</t>
        </is>
      </c>
      <c r="C47" t="inlineStr">
        <is>
          <t>Föryngringsavverkning</t>
        </is>
      </c>
      <c r="D47" s="1" t="n">
        <v>45533</v>
      </c>
      <c r="E47" s="1" t="n">
        <v>46219</v>
      </c>
      <c r="F47" t="inlineStr">
        <is>
          <t>VÄRMLANDS LÄN</t>
        </is>
      </c>
      <c r="G47" t="inlineStr">
        <is>
          <t>SUNNE</t>
        </is>
      </c>
      <c r="I47" t="n">
        <v>2.1</v>
      </c>
      <c r="J47" t="n">
        <v>0</v>
      </c>
      <c r="K47" t="n">
        <v>1</v>
      </c>
      <c r="L47" t="n">
        <v>0</v>
      </c>
      <c r="M47" t="n">
        <v>0</v>
      </c>
      <c r="N47" t="n">
        <v>0</v>
      </c>
      <c r="O47" t="n">
        <v>0</v>
      </c>
      <c r="P47" t="n">
        <v>0</v>
      </c>
      <c r="Q47" t="n">
        <v>0</v>
      </c>
      <c r="R47" t="n">
        <v>0</v>
      </c>
      <c r="S47" t="n">
        <v>1</v>
      </c>
      <c r="T47" t="n">
        <v>1</v>
      </c>
      <c r="U47" s="2" t="inlineStr">
        <is>
          <t>Vågbandad barkbock</t>
        </is>
      </c>
      <c r="V47">
        <f>HYPERLINK("https://klasma.github.io/Logging_1766/artfynd/A 35926-2024 artfynd.xlsx", "A 35926-2024")</f>
        <v/>
      </c>
      <c r="W47">
        <f>HYPERLINK("https://klasma.github.io/Logging_1766/kartor/A 35926-2024 karta.png", "A 35926-2024")</f>
        <v/>
      </c>
      <c r="Y47">
        <f>HYPERLINK("https://klasma.github.io/Logging_1766/klagomål/A 35926-2024 FSC-klagomål.docx", "A 35926-2024")</f>
        <v/>
      </c>
      <c r="Z47">
        <f>HYPERLINK("https://klasma.github.io/Logging_1766/klagomålsmail/A 35926-2024 FSC-klagomål mail.docx", "A 35926-2024")</f>
        <v/>
      </c>
      <c r="AA47">
        <f>HYPERLINK("https://klasma.github.io/Logging_1766/tillsyn/A 35926-2024 tillsynsbegäran.docx", "A 35926-2024")</f>
        <v/>
      </c>
      <c r="AB47">
        <f>HYPERLINK("https://klasma.github.io/Logging_1766/tillsynsmail/A 35926-2024 tillsynsbegäran mail.docx", "A 35926-2024")</f>
        <v/>
      </c>
    </row>
    <row r="48" ht="15" customHeight="1">
      <c r="A48" t="inlineStr">
        <is>
          <t>A 6661-2023</t>
        </is>
      </c>
      <c r="B48" t="inlineStr">
        <is>
          <t>avverkningsanmälan</t>
        </is>
      </c>
      <c r="C48" t="inlineStr">
        <is>
          <t>Föryngringsavverkning</t>
        </is>
      </c>
      <c r="D48" s="1" t="n">
        <v>44963</v>
      </c>
      <c r="E48" s="1" t="n">
        <v>46219</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s="2" t="inlineStr">
        <is>
          <t>Bronshjon</t>
        </is>
      </c>
      <c r="V48">
        <f>HYPERLINK("https://klasma.github.io/Logging_1766/artfynd/A 6661-2023 artfynd.xlsx", "A 6661-2023")</f>
        <v/>
      </c>
      <c r="W48">
        <f>HYPERLINK("https://klasma.github.io/Logging_1766/kartor/A 6661-2023 karta.png", "A 6661-2023")</f>
        <v/>
      </c>
      <c r="Y48">
        <f>HYPERLINK("https://klasma.github.io/Logging_1766/klagomål/A 6661-2023 FSC-klagomål.docx", "A 6661-2023")</f>
        <v/>
      </c>
      <c r="Z48">
        <f>HYPERLINK("https://klasma.github.io/Logging_1766/klagomålsmail/A 6661-2023 FSC-klagomål mail.docx", "A 6661-2023")</f>
        <v/>
      </c>
      <c r="AA48">
        <f>HYPERLINK("https://klasma.github.io/Logging_1766/tillsyn/A 6661-2023 tillsynsbegäran.docx", "A 6661-2023")</f>
        <v/>
      </c>
      <c r="AB48">
        <f>HYPERLINK("https://klasma.github.io/Logging_1766/tillsynsmail/A 6661-2023 tillsynsbegäran mail.docx", "A 6661-2023")</f>
        <v/>
      </c>
    </row>
    <row r="49" ht="15" customHeight="1">
      <c r="A49" t="inlineStr">
        <is>
          <t>A 49894-2025</t>
        </is>
      </c>
      <c r="B49" t="inlineStr">
        <is>
          <t>avverkningsanmälan</t>
        </is>
      </c>
      <c r="C49" t="inlineStr">
        <is>
          <t>Föryngringsavverkning</t>
        </is>
      </c>
      <c r="D49" s="1" t="n">
        <v>45940</v>
      </c>
      <c r="E49" s="1" t="n">
        <v>46219</v>
      </c>
      <c r="F49" t="inlineStr">
        <is>
          <t>VÄRMLANDS LÄN</t>
        </is>
      </c>
      <c r="G49" t="inlineStr">
        <is>
          <t>SUNNE</t>
        </is>
      </c>
      <c r="I49" t="n">
        <v>12.3</v>
      </c>
      <c r="J49" t="n">
        <v>1</v>
      </c>
      <c r="K49" t="n">
        <v>0</v>
      </c>
      <c r="L49" t="n">
        <v>0</v>
      </c>
      <c r="M49" t="n">
        <v>0</v>
      </c>
      <c r="N49" t="n">
        <v>1</v>
      </c>
      <c r="O49" t="n">
        <v>0</v>
      </c>
      <c r="P49" t="n">
        <v>0</v>
      </c>
      <c r="Q49" t="n">
        <v>1</v>
      </c>
      <c r="R49" t="n">
        <v>1</v>
      </c>
      <c r="S49" t="n">
        <v>1</v>
      </c>
      <c r="T49" t="n">
        <v>1</v>
      </c>
      <c r="U49" s="2" t="inlineStr">
        <is>
          <t>Pärluggla</t>
        </is>
      </c>
      <c r="V49">
        <f>HYPERLINK("https://klasma.github.io/Logging_1766/artfynd/A 49894-2025 artfynd.xlsx", "A 49894-2025")</f>
        <v/>
      </c>
      <c r="W49">
        <f>HYPERLINK("https://klasma.github.io/Logging_1766/kartor/A 49894-2025 karta.png", "A 49894-2025")</f>
        <v/>
      </c>
      <c r="Y49">
        <f>HYPERLINK("https://klasma.github.io/Logging_1766/klagomål/A 49894-2025 FSC-klagomål.docx", "A 49894-2025")</f>
        <v/>
      </c>
      <c r="Z49">
        <f>HYPERLINK("https://klasma.github.io/Logging_1766/klagomålsmail/A 49894-2025 FSC-klagomål mail.docx", "A 49894-2025")</f>
        <v/>
      </c>
      <c r="AA49">
        <f>HYPERLINK("https://klasma.github.io/Logging_1766/tillsyn/A 49894-2025 tillsynsbegäran.docx", "A 49894-2025")</f>
        <v/>
      </c>
      <c r="AB49">
        <f>HYPERLINK("https://klasma.github.io/Logging_1766/tillsynsmail/A 49894-2025 tillsynsbegäran mail.docx", "A 49894-2025")</f>
        <v/>
      </c>
      <c r="AC49">
        <f>HYPERLINK("https://klasma.github.io/Logging_1766/fåglar/A 49894-2025 prioriterade fågelarter.docx", "A 49894-2025")</f>
        <v/>
      </c>
    </row>
    <row r="50" ht="15" customHeight="1">
      <c r="A50" t="inlineStr">
        <is>
          <t>A 58664-2024</t>
        </is>
      </c>
      <c r="B50" t="inlineStr">
        <is>
          <t>avverkningsanmälan</t>
        </is>
      </c>
      <c r="C50" t="inlineStr">
        <is>
          <t>Föryngringsavverkning</t>
        </is>
      </c>
      <c r="D50" s="1" t="n">
        <v>45635</v>
      </c>
      <c r="E50" s="1" t="n">
        <v>46219</v>
      </c>
      <c r="F50" t="inlineStr">
        <is>
          <t>VÄRMLANDS LÄN</t>
        </is>
      </c>
      <c r="G50" t="inlineStr">
        <is>
          <t>SUNNE</t>
        </is>
      </c>
      <c r="I50" t="n">
        <v>2.2</v>
      </c>
      <c r="J50" t="n">
        <v>0</v>
      </c>
      <c r="K50" t="n">
        <v>0</v>
      </c>
      <c r="L50" t="n">
        <v>0</v>
      </c>
      <c r="M50" t="n">
        <v>0</v>
      </c>
      <c r="N50" t="n">
        <v>0</v>
      </c>
      <c r="O50" t="n">
        <v>0</v>
      </c>
      <c r="P50" t="n">
        <v>0</v>
      </c>
      <c r="Q50" t="n">
        <v>0</v>
      </c>
      <c r="R50" t="n">
        <v>0</v>
      </c>
      <c r="S50" t="n">
        <v>1</v>
      </c>
      <c r="T50" t="n">
        <v>1</v>
      </c>
      <c r="U50" s="2" t="inlineStr">
        <is>
          <t>Kärrviol</t>
        </is>
      </c>
      <c r="V50">
        <f>HYPERLINK("https://klasma.github.io/Logging_1766/artfynd/A 58664-2024 artfynd.xlsx", "A 58664-2024")</f>
        <v/>
      </c>
      <c r="W50">
        <f>HYPERLINK("https://klasma.github.io/Logging_1766/kartor/A 58664-2024 karta.png", "A 58664-2024")</f>
        <v/>
      </c>
      <c r="Y50">
        <f>HYPERLINK("https://klasma.github.io/Logging_1766/klagomål/A 58664-2024 FSC-klagomål.docx", "A 58664-2024")</f>
        <v/>
      </c>
      <c r="Z50">
        <f>HYPERLINK("https://klasma.github.io/Logging_1766/klagomålsmail/A 58664-2024 FSC-klagomål mail.docx", "A 58664-2024")</f>
        <v/>
      </c>
      <c r="AA50">
        <f>HYPERLINK("https://klasma.github.io/Logging_1766/tillsyn/A 58664-2024 tillsynsbegäran.docx", "A 58664-2024")</f>
        <v/>
      </c>
      <c r="AB50">
        <f>HYPERLINK("https://klasma.github.io/Logging_1766/tillsynsmail/A 58664-2024 tillsynsbegäran mail.docx", "A 58664-2024")</f>
        <v/>
      </c>
    </row>
    <row r="51" ht="15" customHeight="1">
      <c r="A51" t="inlineStr">
        <is>
          <t>A 49825-2025</t>
        </is>
      </c>
      <c r="B51" t="inlineStr">
        <is>
          <t>avverkningsanmälan</t>
        </is>
      </c>
      <c r="C51" t="inlineStr">
        <is>
          <t>Föryngringsavverkning</t>
        </is>
      </c>
      <c r="D51" s="1" t="n">
        <v>45940</v>
      </c>
      <c r="E51" s="1" t="n">
        <v>46219</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s="2" t="inlineStr">
        <is>
          <t>Bivråk</t>
        </is>
      </c>
      <c r="V51">
        <f>HYPERLINK("https://klasma.github.io/Logging_1766/artfynd/A 49825-2025 artfynd.xlsx", "A 49825-2025")</f>
        <v/>
      </c>
      <c r="W51">
        <f>HYPERLINK("https://klasma.github.io/Logging_1766/kartor/A 49825-2025 karta.png", "A 49825-2025")</f>
        <v/>
      </c>
      <c r="Y51">
        <f>HYPERLINK("https://klasma.github.io/Logging_1766/klagomål/A 49825-2025 FSC-klagomål.docx", "A 49825-2025")</f>
        <v/>
      </c>
      <c r="Z51">
        <f>HYPERLINK("https://klasma.github.io/Logging_1766/klagomålsmail/A 49825-2025 FSC-klagomål mail.docx", "A 49825-2025")</f>
        <v/>
      </c>
      <c r="AA51">
        <f>HYPERLINK("https://klasma.github.io/Logging_1766/tillsyn/A 49825-2025 tillsynsbegäran.docx", "A 49825-2025")</f>
        <v/>
      </c>
      <c r="AB51">
        <f>HYPERLINK("https://klasma.github.io/Logging_1766/tillsynsmail/A 49825-2025 tillsynsbegäran mail.docx", "A 49825-2025")</f>
        <v/>
      </c>
      <c r="AC51">
        <f>HYPERLINK("https://klasma.github.io/Logging_1766/fåglar/A 49825-2025 prioriterade fågelarter.docx", "A 49825-2025")</f>
        <v/>
      </c>
    </row>
    <row r="52" ht="15" customHeight="1">
      <c r="A52" t="inlineStr">
        <is>
          <t>A 58224-2024</t>
        </is>
      </c>
      <c r="B52" t="inlineStr">
        <is>
          <t>avverkningsanmälan</t>
        </is>
      </c>
      <c r="C52" t="inlineStr">
        <is>
          <t>Föryngringsavverkning</t>
        </is>
      </c>
      <c r="D52" s="1" t="n">
        <v>45632</v>
      </c>
      <c r="E52" s="1" t="n">
        <v>46219</v>
      </c>
      <c r="F52" t="inlineStr">
        <is>
          <t>VÄRMLANDS LÄN</t>
        </is>
      </c>
      <c r="G52" t="inlineStr">
        <is>
          <t>SUNNE</t>
        </is>
      </c>
      <c r="I52" t="n">
        <v>2.4</v>
      </c>
      <c r="J52" t="n">
        <v>1</v>
      </c>
      <c r="K52" t="n">
        <v>0</v>
      </c>
      <c r="L52" t="n">
        <v>0</v>
      </c>
      <c r="M52" t="n">
        <v>0</v>
      </c>
      <c r="N52" t="n">
        <v>0</v>
      </c>
      <c r="O52" t="n">
        <v>0</v>
      </c>
      <c r="P52" t="n">
        <v>0</v>
      </c>
      <c r="Q52" t="n">
        <v>0</v>
      </c>
      <c r="R52" t="n">
        <v>0</v>
      </c>
      <c r="S52" t="n">
        <v>1</v>
      </c>
      <c r="T52" t="n">
        <v>1</v>
      </c>
      <c r="U52" s="2" t="inlineStr">
        <is>
          <t>Tjäder</t>
        </is>
      </c>
      <c r="V52">
        <f>HYPERLINK("https://klasma.github.io/Logging_1766/artfynd/A 58224-2024 artfynd.xlsx", "A 58224-2024")</f>
        <v/>
      </c>
      <c r="W52">
        <f>HYPERLINK("https://klasma.github.io/Logging_1766/kartor/A 58224-2024 karta.png", "A 58224-2024")</f>
        <v/>
      </c>
      <c r="Y52">
        <f>HYPERLINK("https://klasma.github.io/Logging_1766/klagomål/A 58224-2024 FSC-klagomål.docx", "A 58224-2024")</f>
        <v/>
      </c>
      <c r="Z52">
        <f>HYPERLINK("https://klasma.github.io/Logging_1766/klagomålsmail/A 58224-2024 FSC-klagomål mail.docx", "A 58224-2024")</f>
        <v/>
      </c>
      <c r="AA52">
        <f>HYPERLINK("https://klasma.github.io/Logging_1766/tillsyn/A 58224-2024 tillsynsbegäran.docx", "A 58224-2024")</f>
        <v/>
      </c>
      <c r="AB52">
        <f>HYPERLINK("https://klasma.github.io/Logging_1766/tillsynsmail/A 58224-2024 tillsynsbegäran mail.docx", "A 58224-2024")</f>
        <v/>
      </c>
      <c r="AC52">
        <f>HYPERLINK("https://klasma.github.io/Logging_1766/fåglar/A 58224-2024 prioriterade fågelarter.docx", "A 58224-2024")</f>
        <v/>
      </c>
    </row>
    <row r="53" ht="15" customHeight="1">
      <c r="A53" t="inlineStr">
        <is>
          <t>A 59323-2022</t>
        </is>
      </c>
      <c r="B53" t="inlineStr">
        <is>
          <t>avverkningsanmälan</t>
        </is>
      </c>
      <c r="C53" t="inlineStr">
        <is>
          <t>Föryngringsavverkning</t>
        </is>
      </c>
      <c r="D53" s="1" t="n">
        <v>44904</v>
      </c>
      <c r="E53" s="1" t="n">
        <v>46219</v>
      </c>
      <c r="F53" t="inlineStr">
        <is>
          <t>VÄRMLANDS LÄN</t>
        </is>
      </c>
      <c r="G53" t="inlineStr">
        <is>
          <t>SUNNE</t>
        </is>
      </c>
      <c r="I53" t="n">
        <v>1.6</v>
      </c>
      <c r="J53" t="n">
        <v>1</v>
      </c>
      <c r="K53" t="n">
        <v>0</v>
      </c>
      <c r="L53" t="n">
        <v>1</v>
      </c>
      <c r="M53" t="n">
        <v>0</v>
      </c>
      <c r="N53" t="n">
        <v>0</v>
      </c>
      <c r="O53" t="n">
        <v>0</v>
      </c>
      <c r="P53" t="n">
        <v>0</v>
      </c>
      <c r="Q53" t="n">
        <v>1</v>
      </c>
      <c r="R53" t="n">
        <v>0</v>
      </c>
      <c r="S53" t="n">
        <v>1</v>
      </c>
      <c r="T53" t="n">
        <v>1</v>
      </c>
      <c r="U53" s="2" t="inlineStr">
        <is>
          <t>Tretåig hackspett</t>
        </is>
      </c>
      <c r="V53">
        <f>HYPERLINK("https://klasma.github.io/Logging_1766/artfynd/A 59323-2022 artfynd.xlsx", "A 59323-2022")</f>
        <v/>
      </c>
      <c r="W53">
        <f>HYPERLINK("https://klasma.github.io/Logging_1766/kartor/A 59323-2022 karta.png", "A 59323-2022")</f>
        <v/>
      </c>
      <c r="Y53">
        <f>HYPERLINK("https://klasma.github.io/Logging_1766/klagomål/A 59323-2022 FSC-klagomål.docx", "A 59323-2022")</f>
        <v/>
      </c>
      <c r="Z53">
        <f>HYPERLINK("https://klasma.github.io/Logging_1766/klagomålsmail/A 59323-2022 FSC-klagomål mail.docx", "A 59323-2022")</f>
        <v/>
      </c>
      <c r="AA53">
        <f>HYPERLINK("https://klasma.github.io/Logging_1766/tillsyn/A 59323-2022 tillsynsbegäran.docx", "A 59323-2022")</f>
        <v/>
      </c>
      <c r="AB53">
        <f>HYPERLINK("https://klasma.github.io/Logging_1766/tillsynsmail/A 59323-2022 tillsynsbegäran mail.docx", "A 59323-2022")</f>
        <v/>
      </c>
      <c r="AC53">
        <f>HYPERLINK("https://klasma.github.io/Logging_1766/fåglar/A 59323-2022 prioriterade fågelarter.docx", "A 59323-2022")</f>
        <v/>
      </c>
    </row>
    <row r="54" ht="15" customHeight="1">
      <c r="A54" t="inlineStr">
        <is>
          <t>A 53618-2025</t>
        </is>
      </c>
      <c r="B54" t="inlineStr">
        <is>
          <t>avverkningsanmälan</t>
        </is>
      </c>
      <c r="C54" t="inlineStr">
        <is>
          <t>Föryngringsavverkning</t>
        </is>
      </c>
      <c r="D54" s="1" t="n">
        <v>45960</v>
      </c>
      <c r="E54" s="1" t="n">
        <v>46219</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s="2" t="inlineStr">
        <is>
          <t>Järpe</t>
        </is>
      </c>
      <c r="V54">
        <f>HYPERLINK("https://klasma.github.io/Logging_1766/artfynd/A 53618-2025 artfynd.xlsx", "A 53618-2025")</f>
        <v/>
      </c>
      <c r="W54">
        <f>HYPERLINK("https://klasma.github.io/Logging_1766/kartor/A 53618-2025 karta.png", "A 53618-2025")</f>
        <v/>
      </c>
      <c r="Y54">
        <f>HYPERLINK("https://klasma.github.io/Logging_1766/klagomål/A 53618-2025 FSC-klagomål.docx", "A 53618-2025")</f>
        <v/>
      </c>
      <c r="Z54">
        <f>HYPERLINK("https://klasma.github.io/Logging_1766/klagomålsmail/A 53618-2025 FSC-klagomål mail.docx", "A 53618-2025")</f>
        <v/>
      </c>
      <c r="AA54">
        <f>HYPERLINK("https://klasma.github.io/Logging_1766/tillsyn/A 53618-2025 tillsynsbegäran.docx", "A 53618-2025")</f>
        <v/>
      </c>
      <c r="AB54">
        <f>HYPERLINK("https://klasma.github.io/Logging_1766/tillsynsmail/A 53618-2025 tillsynsbegäran mail.docx", "A 53618-2025")</f>
        <v/>
      </c>
      <c r="AC54">
        <f>HYPERLINK("https://klasma.github.io/Logging_1766/fåglar/A 53618-2025 prioriterade fågelarter.docx", "A 53618-2025")</f>
        <v/>
      </c>
    </row>
    <row r="55" ht="15" customHeight="1">
      <c r="A55" t="inlineStr">
        <is>
          <t>A 7982-2024</t>
        </is>
      </c>
      <c r="B55" t="inlineStr">
        <is>
          <t>avverkningsanmälan</t>
        </is>
      </c>
      <c r="C55" t="inlineStr">
        <is>
          <t>Föryngringsavverkning</t>
        </is>
      </c>
      <c r="D55" s="1" t="n">
        <v>45350</v>
      </c>
      <c r="E55" s="1" t="n">
        <v>46219</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s="2" t="inlineStr">
        <is>
          <t>Fläcknycklar</t>
        </is>
      </c>
      <c r="V55">
        <f>HYPERLINK("https://klasma.github.io/Logging_1766/artfynd/A 7982-2024 artfynd.xlsx", "A 7982-2024")</f>
        <v/>
      </c>
      <c r="W55">
        <f>HYPERLINK("https://klasma.github.io/Logging_1766/kartor/A 7982-2024 karta.png", "A 7982-2024")</f>
        <v/>
      </c>
      <c r="Y55">
        <f>HYPERLINK("https://klasma.github.io/Logging_1766/klagomål/A 7982-2024 FSC-klagomål.docx", "A 7982-2024")</f>
        <v/>
      </c>
      <c r="Z55">
        <f>HYPERLINK("https://klasma.github.io/Logging_1766/klagomålsmail/A 7982-2024 FSC-klagomål mail.docx", "A 7982-2024")</f>
        <v/>
      </c>
      <c r="AA55">
        <f>HYPERLINK("https://klasma.github.io/Logging_1766/tillsyn/A 7982-2024 tillsynsbegäran.docx", "A 7982-2024")</f>
        <v/>
      </c>
      <c r="AB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46219</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s="2" t="inlineStr">
        <is>
          <t>Buskskvätta</t>
        </is>
      </c>
      <c r="V56">
        <f>HYPERLINK("https://klasma.github.io/Logging_1766/artfynd/A 73209-2021 artfynd.xlsx", "A 73209-2021")</f>
        <v/>
      </c>
      <c r="W56">
        <f>HYPERLINK("https://klasma.github.io/Logging_1766/kartor/A 73209-2021 karta.png", "A 73209-2021")</f>
        <v/>
      </c>
      <c r="Y56">
        <f>HYPERLINK("https://klasma.github.io/Logging_1766/klagomål/A 73209-2021 FSC-klagomål.docx", "A 73209-2021")</f>
        <v/>
      </c>
      <c r="Z56">
        <f>HYPERLINK("https://klasma.github.io/Logging_1766/klagomålsmail/A 73209-2021 FSC-klagomål mail.docx", "A 73209-2021")</f>
        <v/>
      </c>
      <c r="AA56">
        <f>HYPERLINK("https://klasma.github.io/Logging_1766/tillsyn/A 73209-2021 tillsynsbegäran.docx", "A 73209-2021")</f>
        <v/>
      </c>
      <c r="AB56">
        <f>HYPERLINK("https://klasma.github.io/Logging_1766/tillsynsmail/A 73209-2021 tillsynsbegäran mail.docx", "A 73209-2021")</f>
        <v/>
      </c>
    </row>
    <row r="57" ht="15" customHeight="1">
      <c r="A57" t="inlineStr">
        <is>
          <t>A 56522-2025</t>
        </is>
      </c>
      <c r="B57" t="inlineStr">
        <is>
          <t>avverkningsanmälan</t>
        </is>
      </c>
      <c r="C57" t="inlineStr">
        <is>
          <t>Föryngringsavverkning</t>
        </is>
      </c>
      <c r="D57" s="1" t="n">
        <v>45974</v>
      </c>
      <c r="E57" s="1" t="n">
        <v>46219</v>
      </c>
      <c r="F57" t="inlineStr">
        <is>
          <t>VÄRMLANDS LÄN</t>
        </is>
      </c>
      <c r="G57" t="inlineStr">
        <is>
          <t>SUNNE</t>
        </is>
      </c>
      <c r="I57" t="n">
        <v>2</v>
      </c>
      <c r="J57" t="n">
        <v>0</v>
      </c>
      <c r="K57" t="n">
        <v>0</v>
      </c>
      <c r="L57" t="n">
        <v>1</v>
      </c>
      <c r="M57" t="n">
        <v>0</v>
      </c>
      <c r="N57" t="n">
        <v>0</v>
      </c>
      <c r="O57" t="n">
        <v>0</v>
      </c>
      <c r="P57" t="n">
        <v>0</v>
      </c>
      <c r="Q57" t="n">
        <v>1</v>
      </c>
      <c r="R57" t="n">
        <v>0</v>
      </c>
      <c r="S57" t="n">
        <v>1</v>
      </c>
      <c r="T57" t="n">
        <v>1</v>
      </c>
      <c r="U57" s="2" t="inlineStr">
        <is>
          <t>Bandad skulderbock</t>
        </is>
      </c>
      <c r="V57">
        <f>HYPERLINK("https://klasma.github.io/Logging_1766/artfynd/A 56522-2025 artfynd.xlsx", "A 56522-2025")</f>
        <v/>
      </c>
      <c r="W57">
        <f>HYPERLINK("https://klasma.github.io/Logging_1766/kartor/A 56522-2025 karta.png", "A 56522-2025")</f>
        <v/>
      </c>
      <c r="Y57">
        <f>HYPERLINK("https://klasma.github.io/Logging_1766/klagomål/A 56522-2025 FSC-klagomål.docx", "A 56522-2025")</f>
        <v/>
      </c>
      <c r="Z57">
        <f>HYPERLINK("https://klasma.github.io/Logging_1766/klagomålsmail/A 56522-2025 FSC-klagomål mail.docx", "A 56522-2025")</f>
        <v/>
      </c>
      <c r="AA57">
        <f>HYPERLINK("https://klasma.github.io/Logging_1766/tillsyn/A 56522-2025 tillsynsbegäran.docx", "A 56522-2025")</f>
        <v/>
      </c>
      <c r="AB57">
        <f>HYPERLINK("https://klasma.github.io/Logging_1766/tillsynsmail/A 56522-2025 tillsynsbegäran mail.docx", "A 56522-2025")</f>
        <v/>
      </c>
    </row>
    <row r="58" ht="15" customHeight="1">
      <c r="A58" t="inlineStr">
        <is>
          <t>A 19409-2025</t>
        </is>
      </c>
      <c r="B58" t="inlineStr">
        <is>
          <t>avverkningsanmälan</t>
        </is>
      </c>
      <c r="C58" t="inlineStr">
        <is>
          <t>Föryngringsavverkning</t>
        </is>
      </c>
      <c r="D58" s="1" t="n">
        <v>45769</v>
      </c>
      <c r="E58" s="1" t="n">
        <v>46219</v>
      </c>
      <c r="F58" t="inlineStr">
        <is>
          <t>VÄRMLANDS LÄN</t>
        </is>
      </c>
      <c r="G58" t="inlineStr">
        <is>
          <t>SUNNE</t>
        </is>
      </c>
      <c r="I58" t="n">
        <v>1.6</v>
      </c>
      <c r="J58" t="n">
        <v>0</v>
      </c>
      <c r="K58" t="n">
        <v>1</v>
      </c>
      <c r="L58" t="n">
        <v>0</v>
      </c>
      <c r="M58" t="n">
        <v>0</v>
      </c>
      <c r="N58" t="n">
        <v>0</v>
      </c>
      <c r="O58" t="n">
        <v>0</v>
      </c>
      <c r="P58" t="n">
        <v>0</v>
      </c>
      <c r="Q58" t="n">
        <v>0</v>
      </c>
      <c r="R58" t="n">
        <v>0</v>
      </c>
      <c r="S58" t="n">
        <v>1</v>
      </c>
      <c r="T58" t="n">
        <v>1</v>
      </c>
      <c r="U58" s="2" t="inlineStr">
        <is>
          <t>Bronshjon</t>
        </is>
      </c>
      <c r="V58">
        <f>HYPERLINK("https://klasma.github.io/Logging_1766/artfynd/A 19409-2025 artfynd.xlsx", "A 19409-2025")</f>
        <v/>
      </c>
      <c r="W58">
        <f>HYPERLINK("https://klasma.github.io/Logging_1766/kartor/A 19409-2025 karta.png", "A 19409-2025")</f>
        <v/>
      </c>
      <c r="Y58">
        <f>HYPERLINK("https://klasma.github.io/Logging_1766/klagomål/A 19409-2025 FSC-klagomål.docx", "A 19409-2025")</f>
        <v/>
      </c>
      <c r="Z58">
        <f>HYPERLINK("https://klasma.github.io/Logging_1766/klagomålsmail/A 19409-2025 FSC-klagomål mail.docx", "A 19409-2025")</f>
        <v/>
      </c>
      <c r="AA58">
        <f>HYPERLINK("https://klasma.github.io/Logging_1766/tillsyn/A 19409-2025 tillsynsbegäran.docx", "A 19409-2025")</f>
        <v/>
      </c>
      <c r="AB58">
        <f>HYPERLINK("https://klasma.github.io/Logging_1766/tillsynsmail/A 19409-2025 tillsynsbegäran mail.docx", "A 19409-2025")</f>
        <v/>
      </c>
    </row>
    <row r="59" ht="15" customHeight="1">
      <c r="A59" t="inlineStr">
        <is>
          <t>A 60571-2025</t>
        </is>
      </c>
      <c r="B59" t="inlineStr">
        <is>
          <t>avverkningsanmälan</t>
        </is>
      </c>
      <c r="C59" t="inlineStr">
        <is>
          <t>Föryngringsavverkning</t>
        </is>
      </c>
      <c r="D59" s="1" t="n">
        <v>45995</v>
      </c>
      <c r="E59" s="1" t="n">
        <v>46219</v>
      </c>
      <c r="F59" t="inlineStr">
        <is>
          <t>VÄRMLANDS LÄN</t>
        </is>
      </c>
      <c r="G59" t="inlineStr">
        <is>
          <t>SUNNE</t>
        </is>
      </c>
      <c r="I59" t="n">
        <v>3.8</v>
      </c>
      <c r="J59" t="n">
        <v>1</v>
      </c>
      <c r="K59" t="n">
        <v>0</v>
      </c>
      <c r="L59" t="n">
        <v>1</v>
      </c>
      <c r="M59" t="n">
        <v>0</v>
      </c>
      <c r="N59" t="n">
        <v>0</v>
      </c>
      <c r="O59" t="n">
        <v>0</v>
      </c>
      <c r="P59" t="n">
        <v>0</v>
      </c>
      <c r="Q59" t="n">
        <v>1</v>
      </c>
      <c r="R59" t="n">
        <v>0</v>
      </c>
      <c r="S59" t="n">
        <v>1</v>
      </c>
      <c r="T59" t="n">
        <v>1</v>
      </c>
      <c r="U59" s="2" t="inlineStr">
        <is>
          <t>Kungsfiskare</t>
        </is>
      </c>
      <c r="V59">
        <f>HYPERLINK("https://klasma.github.io/Logging_1766/artfynd/A 60571-2025 artfynd.xlsx", "A 60571-2025")</f>
        <v/>
      </c>
      <c r="W59">
        <f>HYPERLINK("https://klasma.github.io/Logging_1766/kartor/A 60571-2025 karta.png", "A 60571-2025")</f>
        <v/>
      </c>
      <c r="Y59">
        <f>HYPERLINK("https://klasma.github.io/Logging_1766/klagomål/A 60571-2025 FSC-klagomål.docx", "A 60571-2025")</f>
        <v/>
      </c>
      <c r="Z59">
        <f>HYPERLINK("https://klasma.github.io/Logging_1766/klagomålsmail/A 60571-2025 FSC-klagomål mail.docx", "A 60571-2025")</f>
        <v/>
      </c>
      <c r="AA59">
        <f>HYPERLINK("https://klasma.github.io/Logging_1766/tillsyn/A 60571-2025 tillsynsbegäran.docx", "A 60571-2025")</f>
        <v/>
      </c>
      <c r="AB59">
        <f>HYPERLINK("https://klasma.github.io/Logging_1766/tillsynsmail/A 60571-2025 tillsynsbegäran mail.docx", "A 60571-2025")</f>
        <v/>
      </c>
    </row>
    <row r="60" ht="15" customHeight="1">
      <c r="A60" t="inlineStr">
        <is>
          <t>A 46876-2024</t>
        </is>
      </c>
      <c r="B60" t="inlineStr">
        <is>
          <t>avverkningsanmälan</t>
        </is>
      </c>
      <c r="C60" t="inlineStr">
        <is>
          <t>Föryngringsavverkning</t>
        </is>
      </c>
      <c r="D60" s="1" t="n">
        <v>45583</v>
      </c>
      <c r="E60" s="1" t="n">
        <v>46219</v>
      </c>
      <c r="F60" t="inlineStr">
        <is>
          <t>VÄRMLANDS LÄN</t>
        </is>
      </c>
      <c r="G60" t="inlineStr">
        <is>
          <t>SUNNE</t>
        </is>
      </c>
      <c r="H60" t="inlineStr">
        <is>
          <t>Kommuner</t>
        </is>
      </c>
      <c r="I60" t="n">
        <v>1</v>
      </c>
      <c r="J60" t="n">
        <v>1</v>
      </c>
      <c r="K60" t="n">
        <v>0</v>
      </c>
      <c r="L60" t="n">
        <v>0</v>
      </c>
      <c r="M60" t="n">
        <v>0</v>
      </c>
      <c r="N60" t="n">
        <v>0</v>
      </c>
      <c r="O60" t="n">
        <v>0</v>
      </c>
      <c r="P60" t="n">
        <v>0</v>
      </c>
      <c r="Q60" t="n">
        <v>0</v>
      </c>
      <c r="R60" t="n">
        <v>0</v>
      </c>
      <c r="S60" t="n">
        <v>1</v>
      </c>
      <c r="T60" t="n">
        <v>1</v>
      </c>
      <c r="U60" s="2" t="inlineStr">
        <is>
          <t>Huggorm</t>
        </is>
      </c>
      <c r="V60">
        <f>HYPERLINK("https://klasma.github.io/Logging_1766/artfynd/A 46876-2024 artfynd.xlsx", "A 46876-2024")</f>
        <v/>
      </c>
      <c r="W60">
        <f>HYPERLINK("https://klasma.github.io/Logging_1766/kartor/A 46876-2024 karta.png", "A 46876-2024")</f>
        <v/>
      </c>
      <c r="Y60">
        <f>HYPERLINK("https://klasma.github.io/Logging_1766/klagomål/A 46876-2024 FSC-klagomål.docx", "A 46876-2024")</f>
        <v/>
      </c>
      <c r="Z60">
        <f>HYPERLINK("https://klasma.github.io/Logging_1766/klagomålsmail/A 46876-2024 FSC-klagomål mail.docx", "A 46876-2024")</f>
        <v/>
      </c>
      <c r="AA60">
        <f>HYPERLINK("https://klasma.github.io/Logging_1766/tillsyn/A 46876-2024 tillsynsbegäran.docx", "A 46876-2024")</f>
        <v/>
      </c>
      <c r="AB60">
        <f>HYPERLINK("https://klasma.github.io/Logging_1766/tillsynsmail/A 46876-2024 tillsynsbegäran mail.docx", "A 46876-2024")</f>
        <v/>
      </c>
    </row>
    <row r="61" ht="15" customHeight="1">
      <c r="A61" t="inlineStr">
        <is>
          <t>A 62577-2025</t>
        </is>
      </c>
      <c r="B61" t="inlineStr">
        <is>
          <t>avverkningsanmälan</t>
        </is>
      </c>
      <c r="C61" t="inlineStr">
        <is>
          <t>Föryngringsavverkning</t>
        </is>
      </c>
      <c r="D61" s="1" t="n">
        <v>46007</v>
      </c>
      <c r="E61" s="1" t="n">
        <v>46219</v>
      </c>
      <c r="F61" t="inlineStr">
        <is>
          <t>VÄRMLANDS LÄN</t>
        </is>
      </c>
      <c r="G61" t="inlineStr">
        <is>
          <t>SUNNE</t>
        </is>
      </c>
      <c r="I61" t="n">
        <v>4</v>
      </c>
      <c r="J61" t="n">
        <v>1</v>
      </c>
      <c r="K61" t="n">
        <v>0</v>
      </c>
      <c r="L61" t="n">
        <v>0</v>
      </c>
      <c r="M61" t="n">
        <v>0</v>
      </c>
      <c r="N61" t="n">
        <v>0</v>
      </c>
      <c r="O61" t="n">
        <v>0</v>
      </c>
      <c r="P61" t="n">
        <v>0</v>
      </c>
      <c r="Q61" t="n">
        <v>0</v>
      </c>
      <c r="R61" t="n">
        <v>0</v>
      </c>
      <c r="S61" t="n">
        <v>1</v>
      </c>
      <c r="T61" t="n">
        <v>1</v>
      </c>
      <c r="U61" s="2" t="inlineStr">
        <is>
          <t>Mattlummer</t>
        </is>
      </c>
      <c r="V61">
        <f>HYPERLINK("https://klasma.github.io/Logging_1766/artfynd/A 62577-2025 artfynd.xlsx", "A 62577-2025")</f>
        <v/>
      </c>
      <c r="W61">
        <f>HYPERLINK("https://klasma.github.io/Logging_1766/kartor/A 62577-2025 karta.png", "A 62577-2025")</f>
        <v/>
      </c>
      <c r="Y61">
        <f>HYPERLINK("https://klasma.github.io/Logging_1766/klagomål/A 62577-2025 FSC-klagomål.docx", "A 62577-2025")</f>
        <v/>
      </c>
      <c r="Z61">
        <f>HYPERLINK("https://klasma.github.io/Logging_1766/klagomålsmail/A 62577-2025 FSC-klagomål mail.docx", "A 62577-2025")</f>
        <v/>
      </c>
      <c r="AA61">
        <f>HYPERLINK("https://klasma.github.io/Logging_1766/tillsyn/A 62577-2025 tillsynsbegäran.docx", "A 62577-2025")</f>
        <v/>
      </c>
      <c r="AB61">
        <f>HYPERLINK("https://klasma.github.io/Logging_1766/tillsynsmail/A 62577-2025 tillsynsbegäran mail.docx", "A 62577-2025")</f>
        <v/>
      </c>
    </row>
    <row r="62" ht="15" customHeight="1">
      <c r="A62" t="inlineStr">
        <is>
          <t>A 52411-2024</t>
        </is>
      </c>
      <c r="B62" t="inlineStr">
        <is>
          <t>avverkningsanmälan</t>
        </is>
      </c>
      <c r="C62" t="inlineStr">
        <is>
          <t>Avverkning för annat ändamål</t>
        </is>
      </c>
      <c r="D62" s="1" t="n">
        <v>45608</v>
      </c>
      <c r="E62" s="1" t="n">
        <v>46219</v>
      </c>
      <c r="F62" t="inlineStr">
        <is>
          <t>VÄRMLANDS LÄN</t>
        </is>
      </c>
      <c r="G62" t="inlineStr">
        <is>
          <t>SUNNE</t>
        </is>
      </c>
      <c r="I62" t="n">
        <v>0.9</v>
      </c>
      <c r="J62" t="n">
        <v>0</v>
      </c>
      <c r="K62" t="n">
        <v>0</v>
      </c>
      <c r="L62" t="n">
        <v>1</v>
      </c>
      <c r="M62" t="n">
        <v>0</v>
      </c>
      <c r="N62" t="n">
        <v>0</v>
      </c>
      <c r="O62" t="n">
        <v>0</v>
      </c>
      <c r="P62" t="n">
        <v>0</v>
      </c>
      <c r="Q62" t="n">
        <v>1</v>
      </c>
      <c r="R62" t="n">
        <v>0</v>
      </c>
      <c r="S62" t="n">
        <v>1</v>
      </c>
      <c r="T62" t="n">
        <v>1</v>
      </c>
      <c r="U62" s="2" t="inlineStr">
        <is>
          <t>Gullklöver</t>
        </is>
      </c>
      <c r="V62">
        <f>HYPERLINK("https://klasma.github.io/Logging_1766/artfynd/A 52411-2024 artfynd.xlsx", "A 52411-2024")</f>
        <v/>
      </c>
      <c r="W62">
        <f>HYPERLINK("https://klasma.github.io/Logging_1766/kartor/A 52411-2024 karta.png", "A 52411-2024")</f>
        <v/>
      </c>
      <c r="Y62">
        <f>HYPERLINK("https://klasma.github.io/Logging_1766/klagomål/A 52411-2024 FSC-klagomål.docx", "A 52411-2024")</f>
        <v/>
      </c>
      <c r="Z62">
        <f>HYPERLINK("https://klasma.github.io/Logging_1766/klagomålsmail/A 52411-2024 FSC-klagomål mail.docx", "A 52411-2024")</f>
        <v/>
      </c>
      <c r="AA62">
        <f>HYPERLINK("https://klasma.github.io/Logging_1766/tillsyn/A 52411-2024 tillsynsbegäran.docx", "A 52411-2024")</f>
        <v/>
      </c>
      <c r="AB62">
        <f>HYPERLINK("https://klasma.github.io/Logging_1766/tillsynsmail/A 52411-2024 tillsynsbegäran mail.docx", "A 52411-2024")</f>
        <v/>
      </c>
    </row>
    <row r="63" ht="15" customHeight="1">
      <c r="A63" t="inlineStr">
        <is>
          <t>A 538-2024</t>
        </is>
      </c>
      <c r="B63" t="inlineStr">
        <is>
          <t>avverkningsanmälan</t>
        </is>
      </c>
      <c r="C63" t="inlineStr">
        <is>
          <t>Föryngringsavverkning</t>
        </is>
      </c>
      <c r="D63" s="1" t="n">
        <v>45299</v>
      </c>
      <c r="E63" s="1" t="n">
        <v>46219</v>
      </c>
      <c r="F63" t="inlineStr">
        <is>
          <t>VÄRMLANDS LÄN</t>
        </is>
      </c>
      <c r="G63" t="inlineStr">
        <is>
          <t>SUNNE</t>
        </is>
      </c>
      <c r="I63" t="n">
        <v>3.1</v>
      </c>
      <c r="J63" t="n">
        <v>0</v>
      </c>
      <c r="K63" t="n">
        <v>0</v>
      </c>
      <c r="L63" t="n">
        <v>0</v>
      </c>
      <c r="M63" t="n">
        <v>1</v>
      </c>
      <c r="N63" t="n">
        <v>0</v>
      </c>
      <c r="O63" t="n">
        <v>0</v>
      </c>
      <c r="P63" t="n">
        <v>0</v>
      </c>
      <c r="Q63" t="n">
        <v>1</v>
      </c>
      <c r="R63" t="n">
        <v>1</v>
      </c>
      <c r="S63" t="n">
        <v>1</v>
      </c>
      <c r="T63" t="n">
        <v>3</v>
      </c>
      <c r="U63" s="2" t="inlineStr">
        <is>
          <t>Garnlav</t>
        </is>
      </c>
      <c r="V63">
        <f>HYPERLINK("https://klasma.github.io/Logging_1766/artfynd/A 538-2024 artfynd.xlsx", "A 538-2024")</f>
        <v/>
      </c>
      <c r="W63">
        <f>HYPERLINK("https://klasma.github.io/Logging_1766/kartor/A 538-2024 karta.png", "A 538-2024")</f>
        <v/>
      </c>
      <c r="Y63">
        <f>HYPERLINK("https://klasma.github.io/Logging_1766/klagomål/A 538-2024 FSC-klagomål.docx", "A 538-2024")</f>
        <v/>
      </c>
      <c r="Z63">
        <f>HYPERLINK("https://klasma.github.io/Logging_1766/klagomålsmail/A 538-2024 FSC-klagomål mail.docx", "A 538-2024")</f>
        <v/>
      </c>
      <c r="AA63">
        <f>HYPERLINK("https://klasma.github.io/Logging_1766/tillsyn/A 538-2024 tillsynsbegäran.docx", "A 538-2024")</f>
        <v/>
      </c>
      <c r="AB63">
        <f>HYPERLINK("https://klasma.github.io/Logging_1766/tillsynsmail/A 538-2024 tillsynsbegäran mail.docx", "A 538-2024")</f>
        <v/>
      </c>
    </row>
    <row r="64" ht="15" customHeight="1">
      <c r="A64" t="inlineStr">
        <is>
          <t>A 260-2023</t>
        </is>
      </c>
      <c r="B64" t="inlineStr">
        <is>
          <t>avverkningsanmälan</t>
        </is>
      </c>
      <c r="C64" t="inlineStr">
        <is>
          <t>Föryngringsavverkning</t>
        </is>
      </c>
      <c r="D64" s="1" t="n">
        <v>44928</v>
      </c>
      <c r="E64" s="1" t="n">
        <v>46219</v>
      </c>
      <c r="F64" t="inlineStr">
        <is>
          <t>VÄRMLANDS LÄN</t>
        </is>
      </c>
      <c r="G64" t="inlineStr">
        <is>
          <t>SUNNE</t>
        </is>
      </c>
      <c r="I64" t="n">
        <v>16.1</v>
      </c>
      <c r="J64" t="n">
        <v>1</v>
      </c>
      <c r="K64" t="n">
        <v>0</v>
      </c>
      <c r="L64" t="n">
        <v>0</v>
      </c>
      <c r="M64" t="n">
        <v>0</v>
      </c>
      <c r="N64" t="n">
        <v>0</v>
      </c>
      <c r="O64" t="n">
        <v>0</v>
      </c>
      <c r="P64" t="n">
        <v>0</v>
      </c>
      <c r="Q64" t="n">
        <v>0</v>
      </c>
      <c r="R64" t="n">
        <v>0</v>
      </c>
      <c r="S64" t="n">
        <v>1</v>
      </c>
      <c r="T64" t="n">
        <v>6</v>
      </c>
      <c r="U64" s="2" t="inlineStr">
        <is>
          <t>Fläcknycklar</t>
        </is>
      </c>
      <c r="V64">
        <f>HYPERLINK("https://klasma.github.io/Logging_1766/artfynd/A 260-2023 artfynd.xlsx", "A 260-2023")</f>
        <v/>
      </c>
      <c r="W64">
        <f>HYPERLINK("https://klasma.github.io/Logging_1766/kartor/A 260-2023 karta.png", "A 260-2023")</f>
        <v/>
      </c>
      <c r="Y64">
        <f>HYPERLINK("https://klasma.github.io/Logging_1766/klagomål/A 260-2023 FSC-klagomål.docx", "A 260-2023")</f>
        <v/>
      </c>
      <c r="Z64">
        <f>HYPERLINK("https://klasma.github.io/Logging_1766/klagomålsmail/A 260-2023 FSC-klagomål mail.docx", "A 260-2023")</f>
        <v/>
      </c>
      <c r="AA64">
        <f>HYPERLINK("https://klasma.github.io/Logging_1766/tillsyn/A 260-2023 tillsynsbegäran.docx", "A 260-2023")</f>
        <v/>
      </c>
      <c r="AB64">
        <f>HYPERLINK("https://klasma.github.io/Logging_1766/tillsynsmail/A 260-2023 tillsynsbegäran mail.docx", "A 260-2023")</f>
        <v/>
      </c>
    </row>
    <row r="65" ht="15" customHeight="1">
      <c r="A65" t="inlineStr">
        <is>
          <t>A 47097-2024</t>
        </is>
      </c>
      <c r="B65" t="inlineStr">
        <is>
          <t>avverkningsanmälan</t>
        </is>
      </c>
      <c r="C65" t="inlineStr">
        <is>
          <t>Föryngringsavverkning</t>
        </is>
      </c>
      <c r="D65" s="1" t="n">
        <v>45586</v>
      </c>
      <c r="E65" s="1" t="n">
        <v>46219</v>
      </c>
      <c r="F65" t="inlineStr">
        <is>
          <t>VÄRMLANDS LÄN</t>
        </is>
      </c>
      <c r="G65" t="inlineStr">
        <is>
          <t>SUNNE</t>
        </is>
      </c>
      <c r="H65" t="inlineStr">
        <is>
          <t>Kommuner</t>
        </is>
      </c>
      <c r="I65" t="n">
        <v>0.4</v>
      </c>
      <c r="J65" t="n">
        <v>1</v>
      </c>
      <c r="K65" t="n">
        <v>0</v>
      </c>
      <c r="L65" t="n">
        <v>0</v>
      </c>
      <c r="M65" t="n">
        <v>0</v>
      </c>
      <c r="N65" t="n">
        <v>0</v>
      </c>
      <c r="O65" t="n">
        <v>0</v>
      </c>
      <c r="P65" t="n">
        <v>0</v>
      </c>
      <c r="Q65" t="n">
        <v>0</v>
      </c>
      <c r="R65" t="n">
        <v>0</v>
      </c>
      <c r="S65" t="n">
        <v>1</v>
      </c>
      <c r="T65" t="n">
        <v>1</v>
      </c>
      <c r="U65" s="2" t="inlineStr">
        <is>
          <t>Vanlig groda</t>
        </is>
      </c>
      <c r="V65">
        <f>HYPERLINK("https://klasma.github.io/Logging_1766/artfynd/A 47097-2024 artfynd.xlsx", "A 47097-2024")</f>
        <v/>
      </c>
      <c r="W65">
        <f>HYPERLINK("https://klasma.github.io/Logging_1766/kartor/A 47097-2024 karta.png", "A 47097-2024")</f>
        <v/>
      </c>
      <c r="Y65">
        <f>HYPERLINK("https://klasma.github.io/Logging_1766/klagomål/A 47097-2024 FSC-klagomål.docx", "A 47097-2024")</f>
        <v/>
      </c>
      <c r="Z65">
        <f>HYPERLINK("https://klasma.github.io/Logging_1766/klagomålsmail/A 47097-2024 FSC-klagomål mail.docx", "A 47097-2024")</f>
        <v/>
      </c>
      <c r="AA65">
        <f>HYPERLINK("https://klasma.github.io/Logging_1766/tillsyn/A 47097-2024 tillsynsbegäran.docx", "A 47097-2024")</f>
        <v/>
      </c>
      <c r="AB65">
        <f>HYPERLINK("https://klasma.github.io/Logging_1766/tillsynsmail/A 47097-2024 tillsynsbegäran mail.docx", "A 47097-2024")</f>
        <v/>
      </c>
    </row>
    <row r="66" ht="15" customHeight="1">
      <c r="A66" t="inlineStr">
        <is>
          <t>A 14660-2022</t>
        </is>
      </c>
      <c r="B66" t="inlineStr">
        <is>
          <t>avverkningsanmälan</t>
        </is>
      </c>
      <c r="C66" t="inlineStr">
        <is>
          <t>Föryngringsavverkning</t>
        </is>
      </c>
      <c r="D66" s="1" t="n">
        <v>44655</v>
      </c>
      <c r="E66" s="1" t="n">
        <v>46219</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s="2" t="inlineStr">
        <is>
          <t>Utter</t>
        </is>
      </c>
      <c r="V66">
        <f>HYPERLINK("https://klasma.github.io/Logging_1766/artfynd/A 14660-2022 artfynd.xlsx", "A 14660-2022")</f>
        <v/>
      </c>
      <c r="W66">
        <f>HYPERLINK("https://klasma.github.io/Logging_1766/kartor/A 14660-2022 karta.png", "A 14660-2022")</f>
        <v/>
      </c>
      <c r="Y66">
        <f>HYPERLINK("https://klasma.github.io/Logging_1766/klagomål/A 14660-2022 FSC-klagomål.docx", "A 14660-2022")</f>
        <v/>
      </c>
      <c r="Z66">
        <f>HYPERLINK("https://klasma.github.io/Logging_1766/klagomålsmail/A 14660-2022 FSC-klagomål mail.docx", "A 14660-2022")</f>
        <v/>
      </c>
      <c r="AA66">
        <f>HYPERLINK("https://klasma.github.io/Logging_1766/tillsyn/A 14660-2022 tillsynsbegäran.docx", "A 14660-2022")</f>
        <v/>
      </c>
      <c r="AB66">
        <f>HYPERLINK("https://klasma.github.io/Logging_1766/tillsynsmail/A 14660-2022 tillsynsbegäran mail.docx", "A 14660-2022")</f>
        <v/>
      </c>
    </row>
    <row r="67" ht="15" customHeight="1">
      <c r="A67" t="inlineStr">
        <is>
          <t>A 73730-2021</t>
        </is>
      </c>
      <c r="B67" t="inlineStr">
        <is>
          <t>avverkningsanmälan</t>
        </is>
      </c>
      <c r="C67" t="inlineStr">
        <is>
          <t>Föryngringsavverkning</t>
        </is>
      </c>
      <c r="D67" s="1" t="n">
        <v>44552</v>
      </c>
      <c r="E67" s="1" t="n">
        <v>46219</v>
      </c>
      <c r="F67" t="inlineStr">
        <is>
          <t>VÄRMLANDS LÄN</t>
        </is>
      </c>
      <c r="G67" t="inlineStr">
        <is>
          <t>SUNNE</t>
        </is>
      </c>
      <c r="I67" t="n">
        <v>4.1</v>
      </c>
      <c r="J67" t="n">
        <v>0</v>
      </c>
      <c r="K67" t="n">
        <v>1</v>
      </c>
      <c r="L67" t="n">
        <v>0</v>
      </c>
      <c r="M67" t="n">
        <v>0</v>
      </c>
      <c r="N67" t="n">
        <v>0</v>
      </c>
      <c r="O67" t="n">
        <v>0</v>
      </c>
      <c r="P67" t="n">
        <v>0</v>
      </c>
      <c r="Q67" t="n">
        <v>0</v>
      </c>
      <c r="R67" t="n">
        <v>0</v>
      </c>
      <c r="S67" t="n">
        <v>1</v>
      </c>
      <c r="T67" t="n">
        <v>1</v>
      </c>
      <c r="U67" s="2" t="inlineStr">
        <is>
          <t>Kamjordstjärna</t>
        </is>
      </c>
      <c r="V67">
        <f>HYPERLINK("https://klasma.github.io/Logging_1766/artfynd/A 73730-2021 artfynd.xlsx", "A 73730-2021")</f>
        <v/>
      </c>
      <c r="W67">
        <f>HYPERLINK("https://klasma.github.io/Logging_1766/kartor/A 73730-2021 karta.png", "A 73730-2021")</f>
        <v/>
      </c>
      <c r="Y67">
        <f>HYPERLINK("https://klasma.github.io/Logging_1766/klagomål/A 73730-2021 FSC-klagomål.docx", "A 73730-2021")</f>
        <v/>
      </c>
      <c r="Z67">
        <f>HYPERLINK("https://klasma.github.io/Logging_1766/klagomålsmail/A 73730-2021 FSC-klagomål mail.docx", "A 73730-2021")</f>
        <v/>
      </c>
      <c r="AA67">
        <f>HYPERLINK("https://klasma.github.io/Logging_1766/tillsyn/A 73730-2021 tillsynsbegäran.docx", "A 73730-2021")</f>
        <v/>
      </c>
      <c r="AB67">
        <f>HYPERLINK("https://klasma.github.io/Logging_1766/tillsynsmail/A 73730-2021 tillsynsbegäran mail.docx", "A 73730-2021")</f>
        <v/>
      </c>
    </row>
    <row r="68" ht="15" customHeight="1">
      <c r="A68" t="inlineStr">
        <is>
          <t>A 35767-2025</t>
        </is>
      </c>
      <c r="B68" t="inlineStr">
        <is>
          <t>avverkningsanmälan</t>
        </is>
      </c>
      <c r="C68" t="inlineStr">
        <is>
          <t>Föryngringsavverkning</t>
        </is>
      </c>
      <c r="D68" s="1" t="n">
        <v>45860</v>
      </c>
      <c r="E68" s="1" t="n">
        <v>46219</v>
      </c>
      <c r="F68" t="inlineStr">
        <is>
          <t>VÄRMLANDS LÄN</t>
        </is>
      </c>
      <c r="G68" t="inlineStr">
        <is>
          <t>SUNNE</t>
        </is>
      </c>
      <c r="I68" t="n">
        <v>1.5</v>
      </c>
      <c r="J68" t="n">
        <v>1</v>
      </c>
      <c r="K68" t="n">
        <v>0</v>
      </c>
      <c r="L68" t="n">
        <v>0</v>
      </c>
      <c r="M68" t="n">
        <v>0</v>
      </c>
      <c r="N68" t="n">
        <v>0</v>
      </c>
      <c r="O68" t="n">
        <v>0</v>
      </c>
      <c r="P68" t="n">
        <v>0</v>
      </c>
      <c r="Q68" t="n">
        <v>0</v>
      </c>
      <c r="R68" t="n">
        <v>0</v>
      </c>
      <c r="S68" t="n">
        <v>1</v>
      </c>
      <c r="T68" t="n">
        <v>2</v>
      </c>
      <c r="U68" s="2" t="inlineStr">
        <is>
          <t>Fläcknycklar</t>
        </is>
      </c>
      <c r="V68">
        <f>HYPERLINK("https://klasma.github.io/Logging_1766/artfynd/A 35767-2025 artfynd.xlsx", "A 35767-2025")</f>
        <v/>
      </c>
      <c r="W68">
        <f>HYPERLINK("https://klasma.github.io/Logging_1766/kartor/A 35767-2025 karta.png", "A 35767-2025")</f>
        <v/>
      </c>
      <c r="Y68">
        <f>HYPERLINK("https://klasma.github.io/Logging_1766/klagomål/A 35767-2025 FSC-klagomål.docx", "A 35767-2025")</f>
        <v/>
      </c>
      <c r="Z68">
        <f>HYPERLINK("https://klasma.github.io/Logging_1766/klagomålsmail/A 35767-2025 FSC-klagomål mail.docx", "A 35767-2025")</f>
        <v/>
      </c>
      <c r="AA68">
        <f>HYPERLINK("https://klasma.github.io/Logging_1766/tillsyn/A 35767-2025 tillsynsbegäran.docx", "A 35767-2025")</f>
        <v/>
      </c>
      <c r="AB68">
        <f>HYPERLINK("https://klasma.github.io/Logging_1766/tillsynsmail/A 35767-2025 tillsynsbegäran mail.docx", "A 35767-2025")</f>
        <v/>
      </c>
    </row>
    <row r="69" ht="15" customHeight="1">
      <c r="A69" t="inlineStr">
        <is>
          <t>A 28503-2026</t>
        </is>
      </c>
      <c r="B69" t="inlineStr">
        <is>
          <t>avverkningsanmälan</t>
        </is>
      </c>
      <c r="C69" t="inlineStr">
        <is>
          <t>Föryngringsavverkning</t>
        </is>
      </c>
      <c r="D69" s="1" t="n">
        <v>46197</v>
      </c>
      <c r="E69" s="1" t="n">
        <v>46219</v>
      </c>
      <c r="F69" t="inlineStr">
        <is>
          <t>VÄRMLANDS LÄN</t>
        </is>
      </c>
      <c r="G69" t="inlineStr">
        <is>
          <t>SUNNE</t>
        </is>
      </c>
      <c r="H69" t="inlineStr">
        <is>
          <t>Bergvik skog väst AB</t>
        </is>
      </c>
      <c r="I69" t="n">
        <v>5.2</v>
      </c>
      <c r="J69" t="n">
        <v>1</v>
      </c>
      <c r="K69" t="n">
        <v>0</v>
      </c>
      <c r="L69" t="n">
        <v>0</v>
      </c>
      <c r="M69" t="n">
        <v>0</v>
      </c>
      <c r="N69" t="n">
        <v>0</v>
      </c>
      <c r="O69" t="n">
        <v>0</v>
      </c>
      <c r="P69" t="n">
        <v>0</v>
      </c>
      <c r="Q69" t="n">
        <v>0</v>
      </c>
      <c r="R69" t="n">
        <v>0</v>
      </c>
      <c r="S69" t="n">
        <v>1</v>
      </c>
      <c r="T69" t="n">
        <v>2</v>
      </c>
      <c r="U69" s="2" t="inlineStr">
        <is>
          <t>Fläcknycklar</t>
        </is>
      </c>
      <c r="V69">
        <f>HYPERLINK("https://klasma.github.io/Logging_1766/artfynd/A 28503-2026 artfynd.xlsx", "A 28503-2026")</f>
        <v/>
      </c>
      <c r="W69">
        <f>HYPERLINK("https://klasma.github.io/Logging_1766/kartor/A 28503-2026 karta.png", "A 28503-2026")</f>
        <v/>
      </c>
      <c r="Y69">
        <f>HYPERLINK("https://klasma.github.io/Logging_1766/klagomål/A 28503-2026 FSC-klagomål.docx", "A 28503-2026")</f>
        <v/>
      </c>
      <c r="Z69">
        <f>HYPERLINK("https://klasma.github.io/Logging_1766/klagomålsmail/A 28503-2026 FSC-klagomål mail.docx", "A 28503-2026")</f>
        <v/>
      </c>
      <c r="AA69">
        <f>HYPERLINK("https://klasma.github.io/Logging_1766/tillsyn/A 28503-2026 tillsynsbegäran.docx", "A 28503-2026")</f>
        <v/>
      </c>
      <c r="AB69">
        <f>HYPERLINK("https://klasma.github.io/Logging_1766/tillsynsmail/A 28503-2026 tillsynsbegäran mail.docx", "A 28503-2026")</f>
        <v/>
      </c>
    </row>
    <row r="70" ht="15" customHeight="1">
      <c r="A70" t="inlineStr">
        <is>
          <t>S 4424-2023</t>
        </is>
      </c>
      <c r="B70" t="inlineStr">
        <is>
          <t>samrådsanmälan</t>
        </is>
      </c>
      <c r="C70" t="inlineStr">
        <is>
          <t>Skogsgödsling</t>
        </is>
      </c>
      <c r="D70" s="1" t="n">
        <v>45266</v>
      </c>
      <c r="E70" s="1" t="n">
        <v>46219</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46219</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46219</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43048-2021</t>
        </is>
      </c>
      <c r="B73" t="inlineStr">
        <is>
          <t>avverkningsanmälan</t>
        </is>
      </c>
      <c r="C73" t="inlineStr">
        <is>
          <t>Föryngringsavverkning</t>
        </is>
      </c>
      <c r="D73" s="1" t="n">
        <v>44431</v>
      </c>
      <c r="E73" s="1" t="n">
        <v>46219</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46219</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46219</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46219</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40298-2021</t>
        </is>
      </c>
      <c r="B77" t="inlineStr">
        <is>
          <t>avverkningsanmälan</t>
        </is>
      </c>
      <c r="C77" t="inlineStr">
        <is>
          <t>Föryngringsavverkning</t>
        </is>
      </c>
      <c r="D77" s="1" t="n">
        <v>44417</v>
      </c>
      <c r="E77" s="1" t="n">
        <v>46219</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s="2" t="inlineStr"/>
    </row>
    <row r="78" ht="15" customHeight="1">
      <c r="A78" t="inlineStr">
        <is>
          <t>A 40303-2021</t>
        </is>
      </c>
      <c r="B78" t="inlineStr">
        <is>
          <t>avverkningsanmälan</t>
        </is>
      </c>
      <c r="C78" t="inlineStr">
        <is>
          <t>Föryngringsavverkning</t>
        </is>
      </c>
      <c r="D78" s="1" t="n">
        <v>44417</v>
      </c>
      <c r="E78" s="1" t="n">
        <v>46219</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s="2" t="inlineStr"/>
    </row>
    <row r="79" ht="15" customHeight="1">
      <c r="A79" t="inlineStr">
        <is>
          <t>A 30734-2022</t>
        </is>
      </c>
      <c r="B79" t="inlineStr">
        <is>
          <t>avverkningsanmälan</t>
        </is>
      </c>
      <c r="C79" t="inlineStr">
        <is>
          <t>Föryngringsavverkning</t>
        </is>
      </c>
      <c r="D79" s="1" t="n">
        <v>44764</v>
      </c>
      <c r="E79" s="1" t="n">
        <v>46219</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s="2" t="inlineStr"/>
    </row>
    <row r="80" ht="15" customHeight="1">
      <c r="A80" t="inlineStr">
        <is>
          <t>A 44792-2021</t>
        </is>
      </c>
      <c r="B80" t="inlineStr">
        <is>
          <t>avverkningsanmälan</t>
        </is>
      </c>
      <c r="C80" t="inlineStr">
        <is>
          <t>Föryngringsavverkning</t>
        </is>
      </c>
      <c r="D80" s="1" t="n">
        <v>44438</v>
      </c>
      <c r="E80" s="1" t="n">
        <v>46219</v>
      </c>
      <c r="F80" t="inlineStr">
        <is>
          <t>VÄRMLANDS LÄN</t>
        </is>
      </c>
      <c r="G80" t="inlineStr">
        <is>
          <t>SUNNE</t>
        </is>
      </c>
      <c r="I80" t="n">
        <v>2.1</v>
      </c>
      <c r="J80" t="n">
        <v>0</v>
      </c>
      <c r="K80" t="n">
        <v>0</v>
      </c>
      <c r="L80" t="n">
        <v>0</v>
      </c>
      <c r="M80" t="n">
        <v>0</v>
      </c>
      <c r="N80" t="n">
        <v>0</v>
      </c>
      <c r="O80" t="n">
        <v>0</v>
      </c>
      <c r="P80" t="n">
        <v>0</v>
      </c>
      <c r="Q80" t="n">
        <v>0</v>
      </c>
      <c r="R80" t="n">
        <v>0</v>
      </c>
      <c r="S80" t="n">
        <v>0</v>
      </c>
      <c r="T80" t="n">
        <v>0</v>
      </c>
      <c r="U80" s="2" t="inlineStr"/>
    </row>
    <row r="81" ht="15" customHeight="1">
      <c r="A81" t="inlineStr">
        <is>
          <t>A 38038-2021</t>
        </is>
      </c>
      <c r="B81" t="inlineStr">
        <is>
          <t>avverkningsanmälan</t>
        </is>
      </c>
      <c r="C81" t="inlineStr">
        <is>
          <t>Föryngringsavverkning</t>
        </is>
      </c>
      <c r="D81" s="1" t="n">
        <v>44404</v>
      </c>
      <c r="E81" s="1" t="n">
        <v>46219</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40451-2021</t>
        </is>
      </c>
      <c r="B82" t="inlineStr">
        <is>
          <t>avverkningsanmälan</t>
        </is>
      </c>
      <c r="C82" t="inlineStr">
        <is>
          <t>Föryngringsavverkning</t>
        </is>
      </c>
      <c r="D82" s="1" t="n">
        <v>44419</v>
      </c>
      <c r="E82" s="1" t="n">
        <v>46219</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s="2" t="inlineStr"/>
    </row>
    <row r="83" ht="15" customHeight="1">
      <c r="A83" t="inlineStr">
        <is>
          <t>A 51790-2021</t>
        </is>
      </c>
      <c r="B83" t="inlineStr">
        <is>
          <t>avverkningsanmälan</t>
        </is>
      </c>
      <c r="C83" t="inlineStr">
        <is>
          <t>Föryngringsavverkning</t>
        </is>
      </c>
      <c r="D83" s="1" t="n">
        <v>44462</v>
      </c>
      <c r="E83" s="1" t="n">
        <v>46219</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46219</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46219</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46219</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46219</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66090-2021</t>
        </is>
      </c>
      <c r="B88" t="inlineStr">
        <is>
          <t>avverkningsanmälan</t>
        </is>
      </c>
      <c r="C88" t="inlineStr">
        <is>
          <t>Föryngringsavverkning</t>
        </is>
      </c>
      <c r="D88" s="1" t="n">
        <v>44517</v>
      </c>
      <c r="E88" s="1" t="n">
        <v>46219</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s="2" t="inlineStr"/>
    </row>
    <row r="89" ht="15" customHeight="1">
      <c r="A89" t="inlineStr">
        <is>
          <t>A 71485-2021</t>
        </is>
      </c>
      <c r="B89" t="inlineStr">
        <is>
          <t>avverkningsanmälan</t>
        </is>
      </c>
      <c r="C89" t="inlineStr">
        <is>
          <t>Föryngringsavverkning</t>
        </is>
      </c>
      <c r="D89" s="1" t="n">
        <v>44539</v>
      </c>
      <c r="E89" s="1" t="n">
        <v>46219</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s="2" t="inlineStr"/>
    </row>
    <row r="90" ht="15" customHeight="1">
      <c r="A90" t="inlineStr">
        <is>
          <t>A 74059-2021</t>
        </is>
      </c>
      <c r="B90" t="inlineStr">
        <is>
          <t>avverkningsanmälan</t>
        </is>
      </c>
      <c r="C90" t="inlineStr">
        <is>
          <t>Föryngringsavverkning</t>
        </is>
      </c>
      <c r="D90" s="1" t="n">
        <v>44557</v>
      </c>
      <c r="E90" s="1" t="n">
        <v>46219</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s="2" t="inlineStr"/>
    </row>
    <row r="91" ht="15" customHeight="1">
      <c r="A91" t="inlineStr">
        <is>
          <t>A 38510-2021</t>
        </is>
      </c>
      <c r="B91" t="inlineStr">
        <is>
          <t>avverkningsanmälan</t>
        </is>
      </c>
      <c r="C91" t="inlineStr">
        <is>
          <t>Föryngringsavverkning</t>
        </is>
      </c>
      <c r="D91" s="1" t="n">
        <v>44407</v>
      </c>
      <c r="E91" s="1" t="n">
        <v>46219</v>
      </c>
      <c r="F91" t="inlineStr">
        <is>
          <t>VÄRMLANDS LÄN</t>
        </is>
      </c>
      <c r="G91" t="inlineStr">
        <is>
          <t>SUNNE</t>
        </is>
      </c>
      <c r="I91" t="n">
        <v>0.2</v>
      </c>
      <c r="J91" t="n">
        <v>0</v>
      </c>
      <c r="K91" t="n">
        <v>0</v>
      </c>
      <c r="L91" t="n">
        <v>0</v>
      </c>
      <c r="M91" t="n">
        <v>0</v>
      </c>
      <c r="N91" t="n">
        <v>0</v>
      </c>
      <c r="O91" t="n">
        <v>0</v>
      </c>
      <c r="P91" t="n">
        <v>0</v>
      </c>
      <c r="Q91" t="n">
        <v>0</v>
      </c>
      <c r="R91" t="n">
        <v>0</v>
      </c>
      <c r="S91" t="n">
        <v>0</v>
      </c>
      <c r="T91" t="n">
        <v>0</v>
      </c>
      <c r="U91" s="2" t="inlineStr"/>
    </row>
    <row r="92" ht="15" customHeight="1">
      <c r="A92" t="inlineStr">
        <is>
          <t>A 53387-2021</t>
        </is>
      </c>
      <c r="B92" t="inlineStr">
        <is>
          <t>avverkningsanmälan</t>
        </is>
      </c>
      <c r="C92" t="inlineStr">
        <is>
          <t>Föryngringsavverkning</t>
        </is>
      </c>
      <c r="D92" s="1" t="n">
        <v>44468</v>
      </c>
      <c r="E92" s="1" t="n">
        <v>46219</v>
      </c>
      <c r="F92" t="inlineStr">
        <is>
          <t>VÄRMLANDS LÄN</t>
        </is>
      </c>
      <c r="G92" t="inlineStr">
        <is>
          <t>SUNNE</t>
        </is>
      </c>
      <c r="I92" t="n">
        <v>1.8</v>
      </c>
      <c r="J92" t="n">
        <v>0</v>
      </c>
      <c r="K92" t="n">
        <v>0</v>
      </c>
      <c r="L92" t="n">
        <v>0</v>
      </c>
      <c r="M92" t="n">
        <v>0</v>
      </c>
      <c r="N92" t="n">
        <v>0</v>
      </c>
      <c r="O92" t="n">
        <v>0</v>
      </c>
      <c r="P92" t="n">
        <v>0</v>
      </c>
      <c r="Q92" t="n">
        <v>0</v>
      </c>
      <c r="R92" t="n">
        <v>0</v>
      </c>
      <c r="S92" t="n">
        <v>0</v>
      </c>
      <c r="T92" t="n">
        <v>0</v>
      </c>
      <c r="U92" s="2" t="inlineStr"/>
    </row>
    <row r="93" ht="15" customHeight="1">
      <c r="A93" t="inlineStr">
        <is>
          <t>A 44087-2021</t>
        </is>
      </c>
      <c r="B93" t="inlineStr">
        <is>
          <t>avverkningsanmälan</t>
        </is>
      </c>
      <c r="C93" t="inlineStr">
        <is>
          <t>Föryngringsavverkning</t>
        </is>
      </c>
      <c r="D93" s="1" t="n">
        <v>44434</v>
      </c>
      <c r="E93" s="1" t="n">
        <v>46219</v>
      </c>
      <c r="F93" t="inlineStr">
        <is>
          <t>VÄRMLANDS LÄN</t>
        </is>
      </c>
      <c r="G93" t="inlineStr">
        <is>
          <t>SUNNE</t>
        </is>
      </c>
      <c r="I93" t="n">
        <v>0.7</v>
      </c>
      <c r="J93" t="n">
        <v>0</v>
      </c>
      <c r="K93" t="n">
        <v>0</v>
      </c>
      <c r="L93" t="n">
        <v>0</v>
      </c>
      <c r="M93" t="n">
        <v>0</v>
      </c>
      <c r="N93" t="n">
        <v>0</v>
      </c>
      <c r="O93" t="n">
        <v>0</v>
      </c>
      <c r="P93" t="n">
        <v>0</v>
      </c>
      <c r="Q93" t="n">
        <v>0</v>
      </c>
      <c r="R93" t="n">
        <v>0</v>
      </c>
      <c r="S93" t="n">
        <v>0</v>
      </c>
      <c r="T93" t="n">
        <v>0</v>
      </c>
      <c r="U93" s="2" t="inlineStr"/>
    </row>
    <row r="94" ht="15" customHeight="1">
      <c r="A94" t="inlineStr">
        <is>
          <t>A 34900-2022</t>
        </is>
      </c>
      <c r="B94" t="inlineStr">
        <is>
          <t>avverkningsanmälan</t>
        </is>
      </c>
      <c r="C94" t="inlineStr">
        <is>
          <t>Föryngringsavverkning</t>
        </is>
      </c>
      <c r="D94" s="1" t="n">
        <v>44796</v>
      </c>
      <c r="E94" s="1" t="n">
        <v>46219</v>
      </c>
      <c r="F94" t="inlineStr">
        <is>
          <t>VÄRMLANDS LÄN</t>
        </is>
      </c>
      <c r="G94" t="inlineStr">
        <is>
          <t>SUNNE</t>
        </is>
      </c>
      <c r="I94" t="n">
        <v>0.9</v>
      </c>
      <c r="J94" t="n">
        <v>0</v>
      </c>
      <c r="K94" t="n">
        <v>0</v>
      </c>
      <c r="L94" t="n">
        <v>0</v>
      </c>
      <c r="M94" t="n">
        <v>0</v>
      </c>
      <c r="N94" t="n">
        <v>0</v>
      </c>
      <c r="O94" t="n">
        <v>0</v>
      </c>
      <c r="P94" t="n">
        <v>0</v>
      </c>
      <c r="Q94" t="n">
        <v>0</v>
      </c>
      <c r="R94" t="n">
        <v>0</v>
      </c>
      <c r="S94" t="n">
        <v>0</v>
      </c>
      <c r="T94" t="n">
        <v>0</v>
      </c>
      <c r="U94" s="2" t="inlineStr"/>
    </row>
    <row r="95" ht="15" customHeight="1">
      <c r="A95" t="inlineStr">
        <is>
          <t>A 39925-2021</t>
        </is>
      </c>
      <c r="B95" t="inlineStr">
        <is>
          <t>avverkningsanmälan</t>
        </is>
      </c>
      <c r="C95" t="inlineStr">
        <is>
          <t>Föryngringsavverkning</t>
        </is>
      </c>
      <c r="D95" s="1" t="n">
        <v>44417</v>
      </c>
      <c r="E95" s="1" t="n">
        <v>46219</v>
      </c>
      <c r="F95" t="inlineStr">
        <is>
          <t>VÄRMLANDS LÄN</t>
        </is>
      </c>
      <c r="G95" t="inlineStr">
        <is>
          <t>SUNNE</t>
        </is>
      </c>
      <c r="H95" t="inlineStr">
        <is>
          <t>Övriga statliga verk och myndigheter</t>
        </is>
      </c>
      <c r="I95" t="n">
        <v>1.7</v>
      </c>
      <c r="J95" t="n">
        <v>0</v>
      </c>
      <c r="K95" t="n">
        <v>0</v>
      </c>
      <c r="L95" t="n">
        <v>0</v>
      </c>
      <c r="M95" t="n">
        <v>0</v>
      </c>
      <c r="N95" t="n">
        <v>0</v>
      </c>
      <c r="O95" t="n">
        <v>0</v>
      </c>
      <c r="P95" t="n">
        <v>0</v>
      </c>
      <c r="Q95" t="n">
        <v>0</v>
      </c>
      <c r="R95" t="n">
        <v>0</v>
      </c>
      <c r="S95" t="n">
        <v>0</v>
      </c>
      <c r="T95" t="n">
        <v>0</v>
      </c>
      <c r="U95" s="2" t="inlineStr"/>
    </row>
    <row r="96" ht="15" customHeight="1">
      <c r="A96" t="inlineStr">
        <is>
          <t>A 37127-2021</t>
        </is>
      </c>
      <c r="B96" t="inlineStr">
        <is>
          <t>avverkningsanmälan</t>
        </is>
      </c>
      <c r="C96" t="inlineStr">
        <is>
          <t>Föryngringsavverkning</t>
        </is>
      </c>
      <c r="D96" s="1" t="n">
        <v>44396</v>
      </c>
      <c r="E96" s="1" t="n">
        <v>46219</v>
      </c>
      <c r="F96" t="inlineStr">
        <is>
          <t>VÄRMLANDS LÄN</t>
        </is>
      </c>
      <c r="G96" t="inlineStr">
        <is>
          <t>SUNNE</t>
        </is>
      </c>
      <c r="I96" t="n">
        <v>0.6</v>
      </c>
      <c r="J96" t="n">
        <v>0</v>
      </c>
      <c r="K96" t="n">
        <v>0</v>
      </c>
      <c r="L96" t="n">
        <v>0</v>
      </c>
      <c r="M96" t="n">
        <v>0</v>
      </c>
      <c r="N96" t="n">
        <v>0</v>
      </c>
      <c r="O96" t="n">
        <v>0</v>
      </c>
      <c r="P96" t="n">
        <v>0</v>
      </c>
      <c r="Q96" t="n">
        <v>0</v>
      </c>
      <c r="R96" t="n">
        <v>0</v>
      </c>
      <c r="S96" t="n">
        <v>0</v>
      </c>
      <c r="T96" t="n">
        <v>0</v>
      </c>
      <c r="U96" s="2" t="inlineStr"/>
    </row>
    <row r="97" ht="15" customHeight="1">
      <c r="A97" t="inlineStr">
        <is>
          <t>A 37191-2021</t>
        </is>
      </c>
      <c r="B97" t="inlineStr">
        <is>
          <t>avverkningsanmälan</t>
        </is>
      </c>
      <c r="C97" t="inlineStr">
        <is>
          <t>Föryngringsavverkning</t>
        </is>
      </c>
      <c r="D97" s="1" t="n">
        <v>44396</v>
      </c>
      <c r="E97" s="1" t="n">
        <v>46219</v>
      </c>
      <c r="F97" t="inlineStr">
        <is>
          <t>VÄRMLANDS LÄN</t>
        </is>
      </c>
      <c r="G97" t="inlineStr">
        <is>
          <t>SUNNE</t>
        </is>
      </c>
      <c r="I97" t="n">
        <v>1.2</v>
      </c>
      <c r="J97" t="n">
        <v>0</v>
      </c>
      <c r="K97" t="n">
        <v>0</v>
      </c>
      <c r="L97" t="n">
        <v>0</v>
      </c>
      <c r="M97" t="n">
        <v>0</v>
      </c>
      <c r="N97" t="n">
        <v>0</v>
      </c>
      <c r="O97" t="n">
        <v>0</v>
      </c>
      <c r="P97" t="n">
        <v>0</v>
      </c>
      <c r="Q97" t="n">
        <v>0</v>
      </c>
      <c r="R97" t="n">
        <v>0</v>
      </c>
      <c r="S97" t="n">
        <v>0</v>
      </c>
      <c r="T97" t="n">
        <v>0</v>
      </c>
      <c r="U97" s="2" t="inlineStr"/>
    </row>
    <row r="98" ht="15" customHeight="1">
      <c r="A98" t="inlineStr">
        <is>
          <t>A 39572-2021</t>
        </is>
      </c>
      <c r="B98" t="inlineStr">
        <is>
          <t>avverkningsanmälan</t>
        </is>
      </c>
      <c r="C98" t="inlineStr">
        <is>
          <t>Föryngringsavverkning</t>
        </is>
      </c>
      <c r="D98" s="1" t="n">
        <v>44416</v>
      </c>
      <c r="E98" s="1" t="n">
        <v>46219</v>
      </c>
      <c r="F98" t="inlineStr">
        <is>
          <t>VÄRMLANDS LÄN</t>
        </is>
      </c>
      <c r="G98" t="inlineStr">
        <is>
          <t>SUNNE</t>
        </is>
      </c>
      <c r="I98" t="n">
        <v>3.6</v>
      </c>
      <c r="J98" t="n">
        <v>0</v>
      </c>
      <c r="K98" t="n">
        <v>0</v>
      </c>
      <c r="L98" t="n">
        <v>0</v>
      </c>
      <c r="M98" t="n">
        <v>0</v>
      </c>
      <c r="N98" t="n">
        <v>0</v>
      </c>
      <c r="O98" t="n">
        <v>0</v>
      </c>
      <c r="P98" t="n">
        <v>0</v>
      </c>
      <c r="Q98" t="n">
        <v>0</v>
      </c>
      <c r="R98" t="n">
        <v>0</v>
      </c>
      <c r="S98" t="n">
        <v>0</v>
      </c>
      <c r="T98" t="n">
        <v>0</v>
      </c>
      <c r="U98" s="2" t="inlineStr"/>
    </row>
    <row r="99" ht="15" customHeight="1">
      <c r="A99" t="inlineStr">
        <is>
          <t>A 45937-2021</t>
        </is>
      </c>
      <c r="B99" t="inlineStr">
        <is>
          <t>avverkningsanmälan</t>
        </is>
      </c>
      <c r="C99" t="inlineStr">
        <is>
          <t>Föryngringsavverkning</t>
        </is>
      </c>
      <c r="D99" s="1" t="n">
        <v>44441</v>
      </c>
      <c r="E99" s="1" t="n">
        <v>46219</v>
      </c>
      <c r="F99" t="inlineStr">
        <is>
          <t>VÄRMLANDS LÄN</t>
        </is>
      </c>
      <c r="G99" t="inlineStr">
        <is>
          <t>SUNNE</t>
        </is>
      </c>
      <c r="H99" t="inlineStr">
        <is>
          <t>Kommuner</t>
        </is>
      </c>
      <c r="I99" t="n">
        <v>2.3</v>
      </c>
      <c r="J99" t="n">
        <v>0</v>
      </c>
      <c r="K99" t="n">
        <v>0</v>
      </c>
      <c r="L99" t="n">
        <v>0</v>
      </c>
      <c r="M99" t="n">
        <v>0</v>
      </c>
      <c r="N99" t="n">
        <v>0</v>
      </c>
      <c r="O99" t="n">
        <v>0</v>
      </c>
      <c r="P99" t="n">
        <v>0</v>
      </c>
      <c r="Q99" t="n">
        <v>0</v>
      </c>
      <c r="R99" t="n">
        <v>0</v>
      </c>
      <c r="S99" t="n">
        <v>0</v>
      </c>
      <c r="T99" t="n">
        <v>0</v>
      </c>
      <c r="U99" s="2" t="inlineStr"/>
    </row>
    <row r="100" ht="15" customHeight="1">
      <c r="A100" t="inlineStr">
        <is>
          <t>A 28392-2022</t>
        </is>
      </c>
      <c r="B100" t="inlineStr">
        <is>
          <t>avverkningsanmälan</t>
        </is>
      </c>
      <c r="C100" t="inlineStr">
        <is>
          <t>Föryngringsavverkning</t>
        </is>
      </c>
      <c r="D100" s="1" t="n">
        <v>44747</v>
      </c>
      <c r="E100" s="1" t="n">
        <v>46219</v>
      </c>
      <c r="F100" t="inlineStr">
        <is>
          <t>VÄRMLANDS LÄN</t>
        </is>
      </c>
      <c r="G100" t="inlineStr">
        <is>
          <t>SUNNE</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62626-2021</t>
        </is>
      </c>
      <c r="B101" t="inlineStr">
        <is>
          <t>avverkningsanmälan</t>
        </is>
      </c>
      <c r="C101" t="inlineStr">
        <is>
          <t>Föryngringsavverkning</t>
        </is>
      </c>
      <c r="D101" s="1" t="n">
        <v>44503</v>
      </c>
      <c r="E101" s="1" t="n">
        <v>46219</v>
      </c>
      <c r="F101" t="inlineStr">
        <is>
          <t>VÄRMLANDS LÄN</t>
        </is>
      </c>
      <c r="G101" t="inlineStr">
        <is>
          <t>SUNNE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57382-2021</t>
        </is>
      </c>
      <c r="B102" t="inlineStr">
        <is>
          <t>avverkningsanmälan</t>
        </is>
      </c>
      <c r="C102" t="inlineStr">
        <is>
          <t>Föryngringsavverkning</t>
        </is>
      </c>
      <c r="D102" s="1" t="n">
        <v>44483</v>
      </c>
      <c r="E102" s="1" t="n">
        <v>46219</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54186-2021</t>
        </is>
      </c>
      <c r="B103" t="inlineStr">
        <is>
          <t>avverkningsanmälan</t>
        </is>
      </c>
      <c r="C103" t="inlineStr">
        <is>
          <t>Föryngringsavverkning</t>
        </is>
      </c>
      <c r="D103" s="1" t="n">
        <v>44470</v>
      </c>
      <c r="E103" s="1" t="n">
        <v>46219</v>
      </c>
      <c r="F103" t="inlineStr">
        <is>
          <t>VÄRMLANDS LÄN</t>
        </is>
      </c>
      <c r="G103" t="inlineStr">
        <is>
          <t>SUNNE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53093-2021</t>
        </is>
      </c>
      <c r="B104" t="inlineStr">
        <is>
          <t>avverkningsanmälan</t>
        </is>
      </c>
      <c r="C104" t="inlineStr">
        <is>
          <t>Avverkning för annat ändamål</t>
        </is>
      </c>
      <c r="D104" s="1" t="n">
        <v>44467</v>
      </c>
      <c r="E104" s="1" t="n">
        <v>46219</v>
      </c>
      <c r="F104" t="inlineStr">
        <is>
          <t>VÄRMLANDS LÄN</t>
        </is>
      </c>
      <c r="G104" t="inlineStr">
        <is>
          <t>SUNNE</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46219</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37222-2022</t>
        </is>
      </c>
      <c r="B106" t="inlineStr">
        <is>
          <t>avverkningsanmälan</t>
        </is>
      </c>
      <c r="C106" t="inlineStr">
        <is>
          <t>Föryngringsavverkning</t>
        </is>
      </c>
      <c r="D106" s="1" t="n">
        <v>44806</v>
      </c>
      <c r="E106" s="1" t="n">
        <v>46219</v>
      </c>
      <c r="F106" t="inlineStr">
        <is>
          <t>VÄRMLANDS LÄN</t>
        </is>
      </c>
      <c r="G106" t="inlineStr">
        <is>
          <t>SUNNE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37597-2021</t>
        </is>
      </c>
      <c r="B107" t="inlineStr">
        <is>
          <t>avverkningsanmälan</t>
        </is>
      </c>
      <c r="C107" t="inlineStr">
        <is>
          <t>Föryngringsavverkning</t>
        </is>
      </c>
      <c r="D107" s="1" t="n">
        <v>44399</v>
      </c>
      <c r="E107" s="1" t="n">
        <v>46219</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42091-2021</t>
        </is>
      </c>
      <c r="B108" t="inlineStr">
        <is>
          <t>avverkningsanmälan</t>
        </is>
      </c>
      <c r="C108" t="inlineStr">
        <is>
          <t>Föryngringsavverkning</t>
        </is>
      </c>
      <c r="D108" s="1" t="n">
        <v>44426</v>
      </c>
      <c r="E108" s="1" t="n">
        <v>46219</v>
      </c>
      <c r="F108" t="inlineStr">
        <is>
          <t>VÄRMLANDS LÄN</t>
        </is>
      </c>
      <c r="G108" t="inlineStr">
        <is>
          <t>SUNNE</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46219</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3482-2022</t>
        </is>
      </c>
      <c r="B110" t="inlineStr">
        <is>
          <t>avverkningsanmälan</t>
        </is>
      </c>
      <c r="C110" t="inlineStr">
        <is>
          <t>Föryngringsavverkning</t>
        </is>
      </c>
      <c r="D110" s="1" t="n">
        <v>44585</v>
      </c>
      <c r="E110" s="1" t="n">
        <v>46219</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49015-2021</t>
        </is>
      </c>
      <c r="B111" t="inlineStr">
        <is>
          <t>avverkningsanmälan</t>
        </is>
      </c>
      <c r="C111" t="inlineStr">
        <is>
          <t>Föryngringsavverkning</t>
        </is>
      </c>
      <c r="D111" s="1" t="n">
        <v>44453</v>
      </c>
      <c r="E111" s="1" t="n">
        <v>46219</v>
      </c>
      <c r="F111" t="inlineStr">
        <is>
          <t>VÄRMLANDS LÄN</t>
        </is>
      </c>
      <c r="G111" t="inlineStr">
        <is>
          <t>SUNNE</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33810-2022</t>
        </is>
      </c>
      <c r="B112" t="inlineStr">
        <is>
          <t>avverkningsanmälan</t>
        </is>
      </c>
      <c r="C112" t="inlineStr">
        <is>
          <t>Föryngringsavverkning</t>
        </is>
      </c>
      <c r="D112" s="1" t="n">
        <v>44790</v>
      </c>
      <c r="E112" s="1" t="n">
        <v>46219</v>
      </c>
      <c r="F112" t="inlineStr">
        <is>
          <t>VÄRMLANDS LÄN</t>
        </is>
      </c>
      <c r="G112" t="inlineStr">
        <is>
          <t>SUNNE</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20035-2022</t>
        </is>
      </c>
      <c r="B113" t="inlineStr">
        <is>
          <t>avverkningsanmälan</t>
        </is>
      </c>
      <c r="C113" t="inlineStr">
        <is>
          <t>Föryngringsavverkning</t>
        </is>
      </c>
      <c r="D113" s="1" t="n">
        <v>44697</v>
      </c>
      <c r="E113" s="1" t="n">
        <v>46219</v>
      </c>
      <c r="F113" t="inlineStr">
        <is>
          <t>VÄRMLANDS LÄN</t>
        </is>
      </c>
      <c r="G113" t="inlineStr">
        <is>
          <t>SUNNE</t>
        </is>
      </c>
      <c r="I113" t="n">
        <v>4.9</v>
      </c>
      <c r="J113" t="n">
        <v>0</v>
      </c>
      <c r="K113" t="n">
        <v>0</v>
      </c>
      <c r="L113" t="n">
        <v>0</v>
      </c>
      <c r="M113" t="n">
        <v>0</v>
      </c>
      <c r="N113" t="n">
        <v>0</v>
      </c>
      <c r="O113" t="n">
        <v>0</v>
      </c>
      <c r="P113" t="n">
        <v>0</v>
      </c>
      <c r="Q113" t="n">
        <v>0</v>
      </c>
      <c r="R113" t="n">
        <v>0</v>
      </c>
      <c r="S113" t="n">
        <v>0</v>
      </c>
      <c r="T113" t="n">
        <v>0</v>
      </c>
      <c r="U113" s="2" t="inlineStr"/>
    </row>
    <row r="114" ht="15" customHeight="1">
      <c r="A114" t="inlineStr">
        <is>
          <t>A 37342-2022</t>
        </is>
      </c>
      <c r="B114" t="inlineStr">
        <is>
          <t>avverkningsanmälan</t>
        </is>
      </c>
      <c r="C114" t="inlineStr">
        <is>
          <t>Föryngringsavverkning</t>
        </is>
      </c>
      <c r="D114" s="1" t="n">
        <v>44809</v>
      </c>
      <c r="E114" s="1" t="n">
        <v>46219</v>
      </c>
      <c r="F114" t="inlineStr">
        <is>
          <t>VÄRMLANDS LÄN</t>
        </is>
      </c>
      <c r="G114" t="inlineStr">
        <is>
          <t>SUNNE</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37346-2022</t>
        </is>
      </c>
      <c r="B115" t="inlineStr">
        <is>
          <t>avverkningsanmälan</t>
        </is>
      </c>
      <c r="C115" t="inlineStr">
        <is>
          <t>Föryngringsavverkning</t>
        </is>
      </c>
      <c r="D115" s="1" t="n">
        <v>44809</v>
      </c>
      <c r="E115" s="1" t="n">
        <v>46219</v>
      </c>
      <c r="F115" t="inlineStr">
        <is>
          <t>VÄRMLANDS LÄN</t>
        </is>
      </c>
      <c r="G115" t="inlineStr">
        <is>
          <t>SUNNE</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46219</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46219</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46219</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46219</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46219</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46219</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44465-2021</t>
        </is>
      </c>
      <c r="B122" t="inlineStr">
        <is>
          <t>avverkningsanmälan</t>
        </is>
      </c>
      <c r="C122" t="inlineStr">
        <is>
          <t>Föryngringsavverkning</t>
        </is>
      </c>
      <c r="D122" s="1" t="n">
        <v>44435</v>
      </c>
      <c r="E122" s="1" t="n">
        <v>46219</v>
      </c>
      <c r="F122" t="inlineStr">
        <is>
          <t>VÄRMLANDS LÄN</t>
        </is>
      </c>
      <c r="G122" t="inlineStr">
        <is>
          <t>SUNNE</t>
        </is>
      </c>
      <c r="H122" t="inlineStr">
        <is>
          <t>Kommuner</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38705-2021</t>
        </is>
      </c>
      <c r="B123" t="inlineStr">
        <is>
          <t>avverkningsanmälan</t>
        </is>
      </c>
      <c r="C123" t="inlineStr">
        <is>
          <t>Föryngringsavverkning</t>
        </is>
      </c>
      <c r="D123" s="1" t="n">
        <v>44410</v>
      </c>
      <c r="E123" s="1" t="n">
        <v>46219</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46219</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47959-2021</t>
        </is>
      </c>
      <c r="B125" t="inlineStr">
        <is>
          <t>avverkningsanmälan</t>
        </is>
      </c>
      <c r="C125" t="inlineStr">
        <is>
          <t>Föryngringsavverkning</t>
        </is>
      </c>
      <c r="D125" s="1" t="n">
        <v>44449</v>
      </c>
      <c r="E125" s="1" t="n">
        <v>46219</v>
      </c>
      <c r="F125" t="inlineStr">
        <is>
          <t>VÄRMLANDS LÄN</t>
        </is>
      </c>
      <c r="G125" t="inlineStr">
        <is>
          <t>SUNNE</t>
        </is>
      </c>
      <c r="H125" t="inlineStr">
        <is>
          <t>Kommuner</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37276-2021</t>
        </is>
      </c>
      <c r="B126" t="inlineStr">
        <is>
          <t>avverkningsanmälan</t>
        </is>
      </c>
      <c r="C126" t="inlineStr">
        <is>
          <t>Föryngringsavverkning</t>
        </is>
      </c>
      <c r="D126" s="1" t="n">
        <v>44397</v>
      </c>
      <c r="E126" s="1" t="n">
        <v>46219</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23134-2022</t>
        </is>
      </c>
      <c r="B127" t="inlineStr">
        <is>
          <t>avverkningsanmälan</t>
        </is>
      </c>
      <c r="C127" t="inlineStr">
        <is>
          <t>Föryngringsavverkning</t>
        </is>
      </c>
      <c r="D127" s="1" t="n">
        <v>44719</v>
      </c>
      <c r="E127" s="1" t="n">
        <v>46219</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46219</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46219</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46219</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46219</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46219</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46219</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46219</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46219</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46219</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46219</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46219</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52494-2022</t>
        </is>
      </c>
      <c r="B139" t="inlineStr">
        <is>
          <t>avverkningsanmälan</t>
        </is>
      </c>
      <c r="C139" t="inlineStr">
        <is>
          <t>Föryngringsavverkning</t>
        </is>
      </c>
      <c r="D139" s="1" t="n">
        <v>44874</v>
      </c>
      <c r="E139" s="1" t="n">
        <v>46219</v>
      </c>
      <c r="F139" t="inlineStr">
        <is>
          <t>VÄRMLANDS LÄN</t>
        </is>
      </c>
      <c r="G139" t="inlineStr">
        <is>
          <t>SUNNE</t>
        </is>
      </c>
      <c r="H139" t="inlineStr">
        <is>
          <t>Bergvik skog väst AB</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74513-2021</t>
        </is>
      </c>
      <c r="B140" t="inlineStr">
        <is>
          <t>avverkningsanmälan</t>
        </is>
      </c>
      <c r="C140" t="inlineStr">
        <is>
          <t>Föryngringsavverkning</t>
        </is>
      </c>
      <c r="D140" s="1" t="n">
        <v>44561</v>
      </c>
      <c r="E140" s="1" t="n">
        <v>46219</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72407-2021</t>
        </is>
      </c>
      <c r="B141" t="inlineStr">
        <is>
          <t>avverkningsanmälan</t>
        </is>
      </c>
      <c r="C141" t="inlineStr">
        <is>
          <t>Föryngringsavverkning</t>
        </is>
      </c>
      <c r="D141" s="1" t="n">
        <v>44545</v>
      </c>
      <c r="E141" s="1" t="n">
        <v>46219</v>
      </c>
      <c r="F141" t="inlineStr">
        <is>
          <t>VÄRMLANDS LÄN</t>
        </is>
      </c>
      <c r="G141" t="inlineStr">
        <is>
          <t>SUNNE</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47313-2021</t>
        </is>
      </c>
      <c r="B142" t="inlineStr">
        <is>
          <t>avverkningsanmälan</t>
        </is>
      </c>
      <c r="C142" t="inlineStr">
        <is>
          <t>Föryngringsavverkning</t>
        </is>
      </c>
      <c r="D142" s="1" t="n">
        <v>44447</v>
      </c>
      <c r="E142" s="1" t="n">
        <v>46219</v>
      </c>
      <c r="F142" t="inlineStr">
        <is>
          <t>VÄRMLANDS LÄN</t>
        </is>
      </c>
      <c r="G142" t="inlineStr">
        <is>
          <t>SUNNE</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2985-2022</t>
        </is>
      </c>
      <c r="B143" t="inlineStr">
        <is>
          <t>avverkningsanmälan</t>
        </is>
      </c>
      <c r="C143" t="inlineStr">
        <is>
          <t>Föryngringsavverkning</t>
        </is>
      </c>
      <c r="D143" s="1" t="n">
        <v>44581</v>
      </c>
      <c r="E143" s="1" t="n">
        <v>46219</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46219</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46219</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46219</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46219</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46219</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675-2022</t>
        </is>
      </c>
      <c r="B149" t="inlineStr">
        <is>
          <t>avverkningsanmälan</t>
        </is>
      </c>
      <c r="C149" t="inlineStr">
        <is>
          <t>Föryngringsavverkning</t>
        </is>
      </c>
      <c r="D149" s="1" t="n">
        <v>44568</v>
      </c>
      <c r="E149" s="1" t="n">
        <v>46219</v>
      </c>
      <c r="F149" t="inlineStr">
        <is>
          <t>VÄRMLANDS LÄN</t>
        </is>
      </c>
      <c r="G149" t="inlineStr">
        <is>
          <t>SUNNE</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259-2022</t>
        </is>
      </c>
      <c r="B150" t="inlineStr">
        <is>
          <t>avverkningsanmälan</t>
        </is>
      </c>
      <c r="C150" t="inlineStr">
        <is>
          <t>Föryngringsavverkning</t>
        </is>
      </c>
      <c r="D150" s="1" t="n">
        <v>44565</v>
      </c>
      <c r="E150" s="1" t="n">
        <v>46219</v>
      </c>
      <c r="F150" t="inlineStr">
        <is>
          <t>VÄRMLANDS LÄN</t>
        </is>
      </c>
      <c r="G150" t="inlineStr">
        <is>
          <t>SUNNE</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40411-2022</t>
        </is>
      </c>
      <c r="B151" t="inlineStr">
        <is>
          <t>avverkningsanmälan</t>
        </is>
      </c>
      <c r="C151" t="inlineStr">
        <is>
          <t>Föryngringsavverkning</t>
        </is>
      </c>
      <c r="D151" s="1" t="n">
        <v>44823</v>
      </c>
      <c r="E151" s="1" t="n">
        <v>46219</v>
      </c>
      <c r="F151" t="inlineStr">
        <is>
          <t>VÄRMLANDS LÄN</t>
        </is>
      </c>
      <c r="G151" t="inlineStr">
        <is>
          <t>SUNNE</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20041-2022</t>
        </is>
      </c>
      <c r="B152" t="inlineStr">
        <is>
          <t>avverkningsanmälan</t>
        </is>
      </c>
      <c r="C152" t="inlineStr">
        <is>
          <t>Föryngringsavverkning</t>
        </is>
      </c>
      <c r="D152" s="1" t="n">
        <v>44697</v>
      </c>
      <c r="E152" s="1" t="n">
        <v>46219</v>
      </c>
      <c r="F152" t="inlineStr">
        <is>
          <t>VÄRMLANDS LÄN</t>
        </is>
      </c>
      <c r="G152" t="inlineStr">
        <is>
          <t>SUNNE</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46219</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50241-2021</t>
        </is>
      </c>
      <c r="B154" t="inlineStr">
        <is>
          <t>avverkningsanmälan</t>
        </is>
      </c>
      <c r="C154" t="inlineStr">
        <is>
          <t>Föryngringsavverkning</t>
        </is>
      </c>
      <c r="D154" s="1" t="n">
        <v>44458</v>
      </c>
      <c r="E154" s="1" t="n">
        <v>46219</v>
      </c>
      <c r="F154" t="inlineStr">
        <is>
          <t>VÄRMLANDS LÄN</t>
        </is>
      </c>
      <c r="G154" t="inlineStr">
        <is>
          <t>SUNNE</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46219</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25616-2022</t>
        </is>
      </c>
      <c r="B156" t="inlineStr">
        <is>
          <t>avverkningsanmälan</t>
        </is>
      </c>
      <c r="C156" t="inlineStr">
        <is>
          <t>Föryngringsavverkning</t>
        </is>
      </c>
      <c r="D156" s="1" t="n">
        <v>44732</v>
      </c>
      <c r="E156" s="1" t="n">
        <v>46219</v>
      </c>
      <c r="F156" t="inlineStr">
        <is>
          <t>VÄRMLANDS LÄN</t>
        </is>
      </c>
      <c r="G156" t="inlineStr">
        <is>
          <t>SUNNE</t>
        </is>
      </c>
      <c r="I156" t="n">
        <v>3.1</v>
      </c>
      <c r="J156" t="n">
        <v>0</v>
      </c>
      <c r="K156" t="n">
        <v>0</v>
      </c>
      <c r="L156" t="n">
        <v>0</v>
      </c>
      <c r="M156" t="n">
        <v>0</v>
      </c>
      <c r="N156" t="n">
        <v>0</v>
      </c>
      <c r="O156" t="n">
        <v>0</v>
      </c>
      <c r="P156" t="n">
        <v>0</v>
      </c>
      <c r="Q156" t="n">
        <v>0</v>
      </c>
      <c r="R156" t="n">
        <v>0</v>
      </c>
      <c r="S156" t="n">
        <v>0</v>
      </c>
      <c r="T156" t="n">
        <v>0</v>
      </c>
      <c r="U156" s="2" t="inlineStr"/>
    </row>
    <row r="157" ht="15" customHeight="1">
      <c r="A157" t="inlineStr">
        <is>
          <t>A 41982-2021</t>
        </is>
      </c>
      <c r="B157" t="inlineStr">
        <is>
          <t>avverkningsanmälan</t>
        </is>
      </c>
      <c r="C157" t="inlineStr">
        <is>
          <t>Föryngringsavverkning</t>
        </is>
      </c>
      <c r="D157" s="1" t="n">
        <v>44426</v>
      </c>
      <c r="E157" s="1" t="n">
        <v>46219</v>
      </c>
      <c r="F157" t="inlineStr">
        <is>
          <t>VÄRMLANDS LÄN</t>
        </is>
      </c>
      <c r="G157" t="inlineStr">
        <is>
          <t>SUNNE</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9894-2022</t>
        </is>
      </c>
      <c r="B158" t="inlineStr">
        <is>
          <t>avverkningsanmälan</t>
        </is>
      </c>
      <c r="C158" t="inlineStr">
        <is>
          <t>Föryngringsavverkning</t>
        </is>
      </c>
      <c r="D158" s="1" t="n">
        <v>44620</v>
      </c>
      <c r="E158" s="1" t="n">
        <v>46219</v>
      </c>
      <c r="F158" t="inlineStr">
        <is>
          <t>VÄRMLANDS LÄN</t>
        </is>
      </c>
      <c r="G158" t="inlineStr">
        <is>
          <t>SUNNE</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37334-2022</t>
        </is>
      </c>
      <c r="B159" t="inlineStr">
        <is>
          <t>avverkningsanmälan</t>
        </is>
      </c>
      <c r="C159" t="inlineStr">
        <is>
          <t>Föryngringsavverkning</t>
        </is>
      </c>
      <c r="D159" s="1" t="n">
        <v>44809</v>
      </c>
      <c r="E159" s="1" t="n">
        <v>46219</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46219</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46219</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46219</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43839-2022</t>
        </is>
      </c>
      <c r="B163" t="inlineStr">
        <is>
          <t>avverkningsanmälan</t>
        </is>
      </c>
      <c r="C163" t="inlineStr">
        <is>
          <t>Föryngringsavverkning</t>
        </is>
      </c>
      <c r="D163" s="1" t="n">
        <v>44838</v>
      </c>
      <c r="E163" s="1" t="n">
        <v>46219</v>
      </c>
      <c r="F163" t="inlineStr">
        <is>
          <t>VÄRMLANDS LÄN</t>
        </is>
      </c>
      <c r="G163" t="inlineStr">
        <is>
          <t>SUNNE</t>
        </is>
      </c>
      <c r="I163" t="n">
        <v>6</v>
      </c>
      <c r="J163" t="n">
        <v>0</v>
      </c>
      <c r="K163" t="n">
        <v>0</v>
      </c>
      <c r="L163" t="n">
        <v>0</v>
      </c>
      <c r="M163" t="n">
        <v>0</v>
      </c>
      <c r="N163" t="n">
        <v>0</v>
      </c>
      <c r="O163" t="n">
        <v>0</v>
      </c>
      <c r="P163" t="n">
        <v>0</v>
      </c>
      <c r="Q163" t="n">
        <v>0</v>
      </c>
      <c r="R163" t="n">
        <v>0</v>
      </c>
      <c r="S163" t="n">
        <v>0</v>
      </c>
      <c r="T163" t="n">
        <v>0</v>
      </c>
      <c r="U163" s="2" t="inlineStr"/>
    </row>
    <row r="164" ht="15" customHeight="1">
      <c r="A164" t="inlineStr">
        <is>
          <t>A 36632-2022</t>
        </is>
      </c>
      <c r="B164" t="inlineStr">
        <is>
          <t>avverkningsanmälan</t>
        </is>
      </c>
      <c r="C164" t="inlineStr">
        <is>
          <t>Föryngringsavverkning</t>
        </is>
      </c>
      <c r="D164" s="1" t="n">
        <v>44804</v>
      </c>
      <c r="E164" s="1" t="n">
        <v>46219</v>
      </c>
      <c r="F164" t="inlineStr">
        <is>
          <t>VÄRMLANDS LÄN</t>
        </is>
      </c>
      <c r="G164" t="inlineStr">
        <is>
          <t>SUNNE</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39113-2021</t>
        </is>
      </c>
      <c r="B165" t="inlineStr">
        <is>
          <t>avverkningsanmälan</t>
        </is>
      </c>
      <c r="C165" t="inlineStr">
        <is>
          <t>Föryngringsavverkning</t>
        </is>
      </c>
      <c r="D165" s="1" t="n">
        <v>44412</v>
      </c>
      <c r="E165" s="1" t="n">
        <v>46219</v>
      </c>
      <c r="F165" t="inlineStr">
        <is>
          <t>VÄRMLANDS LÄN</t>
        </is>
      </c>
      <c r="G165" t="inlineStr">
        <is>
          <t>SUNNE</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72658-2021</t>
        </is>
      </c>
      <c r="B166" t="inlineStr">
        <is>
          <t>avverkningsanmälan</t>
        </is>
      </c>
      <c r="C166" t="inlineStr">
        <is>
          <t>Föryngringsavverkning</t>
        </is>
      </c>
      <c r="D166" s="1" t="n">
        <v>44546</v>
      </c>
      <c r="E166" s="1" t="n">
        <v>46219</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65910-2021</t>
        </is>
      </c>
      <c r="B167" t="inlineStr">
        <is>
          <t>avverkningsanmälan</t>
        </is>
      </c>
      <c r="C167" t="inlineStr">
        <is>
          <t>Föryngringsavverkning</t>
        </is>
      </c>
      <c r="D167" s="1" t="n">
        <v>44517</v>
      </c>
      <c r="E167" s="1" t="n">
        <v>46219</v>
      </c>
      <c r="F167" t="inlineStr">
        <is>
          <t>VÄRMLANDS LÄN</t>
        </is>
      </c>
      <c r="G167" t="inlineStr">
        <is>
          <t>SUNNE</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24600-2022</t>
        </is>
      </c>
      <c r="B168" t="inlineStr">
        <is>
          <t>avverkningsanmälan</t>
        </is>
      </c>
      <c r="C168" t="inlineStr">
        <is>
          <t>Föryngringsavverkning</t>
        </is>
      </c>
      <c r="D168" s="1" t="n">
        <v>44727</v>
      </c>
      <c r="E168" s="1" t="n">
        <v>46219</v>
      </c>
      <c r="F168" t="inlineStr">
        <is>
          <t>VÄRMLANDS LÄN</t>
        </is>
      </c>
      <c r="G168" t="inlineStr">
        <is>
          <t>SUNNE</t>
        </is>
      </c>
      <c r="I168" t="n">
        <v>3.5</v>
      </c>
      <c r="J168" t="n">
        <v>0</v>
      </c>
      <c r="K168" t="n">
        <v>0</v>
      </c>
      <c r="L168" t="n">
        <v>0</v>
      </c>
      <c r="M168" t="n">
        <v>0</v>
      </c>
      <c r="N168" t="n">
        <v>0</v>
      </c>
      <c r="O168" t="n">
        <v>0</v>
      </c>
      <c r="P168" t="n">
        <v>0</v>
      </c>
      <c r="Q168" t="n">
        <v>0</v>
      </c>
      <c r="R168" t="n">
        <v>0</v>
      </c>
      <c r="S168" t="n">
        <v>0</v>
      </c>
      <c r="T168" t="n">
        <v>0</v>
      </c>
      <c r="U168" s="2" t="inlineStr"/>
    </row>
    <row r="169" ht="15" customHeight="1">
      <c r="A169" t="inlineStr">
        <is>
          <t>A 40678-2021</t>
        </is>
      </c>
      <c r="B169" t="inlineStr">
        <is>
          <t>avverkningsanmälan</t>
        </is>
      </c>
      <c r="C169" t="inlineStr">
        <is>
          <t>Föryngringsavverkning</t>
        </is>
      </c>
      <c r="D169" s="1" t="n">
        <v>44420</v>
      </c>
      <c r="E169" s="1" t="n">
        <v>46219</v>
      </c>
      <c r="F169" t="inlineStr">
        <is>
          <t>VÄRMLANDS LÄN</t>
        </is>
      </c>
      <c r="G169" t="inlineStr">
        <is>
          <t>SUNNE</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38423-2021</t>
        </is>
      </c>
      <c r="B170" t="inlineStr">
        <is>
          <t>avverkningsanmälan</t>
        </is>
      </c>
      <c r="C170" t="inlineStr">
        <is>
          <t>Föryngringsavverkning</t>
        </is>
      </c>
      <c r="D170" s="1" t="n">
        <v>44406</v>
      </c>
      <c r="E170" s="1" t="n">
        <v>46219</v>
      </c>
      <c r="F170" t="inlineStr">
        <is>
          <t>VÄRMLANDS LÄN</t>
        </is>
      </c>
      <c r="G170" t="inlineStr">
        <is>
          <t>SUNNE</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37331-2022</t>
        </is>
      </c>
      <c r="B171" t="inlineStr">
        <is>
          <t>avverkningsanmälan</t>
        </is>
      </c>
      <c r="C171" t="inlineStr">
        <is>
          <t>Föryngringsavverkning</t>
        </is>
      </c>
      <c r="D171" s="1" t="n">
        <v>44809</v>
      </c>
      <c r="E171" s="1" t="n">
        <v>46219</v>
      </c>
      <c r="F171" t="inlineStr">
        <is>
          <t>VÄRMLANDS LÄN</t>
        </is>
      </c>
      <c r="G171" t="inlineStr">
        <is>
          <t>SUNNE</t>
        </is>
      </c>
      <c r="I171" t="n">
        <v>9.199999999999999</v>
      </c>
      <c r="J171" t="n">
        <v>0</v>
      </c>
      <c r="K171" t="n">
        <v>0</v>
      </c>
      <c r="L171" t="n">
        <v>0</v>
      </c>
      <c r="M171" t="n">
        <v>0</v>
      </c>
      <c r="N171" t="n">
        <v>0</v>
      </c>
      <c r="O171" t="n">
        <v>0</v>
      </c>
      <c r="P171" t="n">
        <v>0</v>
      </c>
      <c r="Q171" t="n">
        <v>0</v>
      </c>
      <c r="R171" t="n">
        <v>0</v>
      </c>
      <c r="S171" t="n">
        <v>0</v>
      </c>
      <c r="T171" t="n">
        <v>0</v>
      </c>
      <c r="U171" s="2" t="inlineStr"/>
    </row>
    <row r="172" ht="15" customHeight="1">
      <c r="A172" t="inlineStr">
        <is>
          <t>A 49732-2022</t>
        </is>
      </c>
      <c r="B172" t="inlineStr">
        <is>
          <t>avverkningsanmälan</t>
        </is>
      </c>
      <c r="C172" t="inlineStr">
        <is>
          <t>Föryngringsavverkning</t>
        </is>
      </c>
      <c r="D172" s="1" t="n">
        <v>44862</v>
      </c>
      <c r="E172" s="1" t="n">
        <v>46219</v>
      </c>
      <c r="F172" t="inlineStr">
        <is>
          <t>VÄRMLANDS LÄN</t>
        </is>
      </c>
      <c r="G172" t="inlineStr">
        <is>
          <t>SUNNE</t>
        </is>
      </c>
      <c r="I172" t="n">
        <v>4.3</v>
      </c>
      <c r="J172" t="n">
        <v>0</v>
      </c>
      <c r="K172" t="n">
        <v>0</v>
      </c>
      <c r="L172" t="n">
        <v>0</v>
      </c>
      <c r="M172" t="n">
        <v>0</v>
      </c>
      <c r="N172" t="n">
        <v>0</v>
      </c>
      <c r="O172" t="n">
        <v>0</v>
      </c>
      <c r="P172" t="n">
        <v>0</v>
      </c>
      <c r="Q172" t="n">
        <v>0</v>
      </c>
      <c r="R172" t="n">
        <v>0</v>
      </c>
      <c r="S172" t="n">
        <v>0</v>
      </c>
      <c r="T172" t="n">
        <v>0</v>
      </c>
      <c r="U172" s="2" t="inlineStr"/>
    </row>
    <row r="173" ht="15" customHeight="1">
      <c r="A173" t="inlineStr">
        <is>
          <t>A 56886-2021</t>
        </is>
      </c>
      <c r="B173" t="inlineStr">
        <is>
          <t>avverkningsanmälan</t>
        </is>
      </c>
      <c r="C173" t="inlineStr">
        <is>
          <t>Föryngringsavverkning</t>
        </is>
      </c>
      <c r="D173" s="1" t="n">
        <v>44481</v>
      </c>
      <c r="E173" s="1" t="n">
        <v>46219</v>
      </c>
      <c r="F173" t="inlineStr">
        <is>
          <t>VÄRMLANDS LÄN</t>
        </is>
      </c>
      <c r="G173" t="inlineStr">
        <is>
          <t>SUNNE</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14481-2022</t>
        </is>
      </c>
      <c r="B174" t="inlineStr">
        <is>
          <t>avverkningsanmälan</t>
        </is>
      </c>
      <c r="C174" t="inlineStr">
        <is>
          <t>Föryngringsavverkning</t>
        </is>
      </c>
      <c r="D174" s="1" t="n">
        <v>44655</v>
      </c>
      <c r="E174" s="1" t="n">
        <v>46219</v>
      </c>
      <c r="F174" t="inlineStr">
        <is>
          <t>VÄRMLANDS LÄN</t>
        </is>
      </c>
      <c r="G174" t="inlineStr">
        <is>
          <t>SUNNE</t>
        </is>
      </c>
      <c r="I174" t="n">
        <v>7.7</v>
      </c>
      <c r="J174" t="n">
        <v>0</v>
      </c>
      <c r="K174" t="n">
        <v>0</v>
      </c>
      <c r="L174" t="n">
        <v>0</v>
      </c>
      <c r="M174" t="n">
        <v>0</v>
      </c>
      <c r="N174" t="n">
        <v>0</v>
      </c>
      <c r="O174" t="n">
        <v>0</v>
      </c>
      <c r="P174" t="n">
        <v>0</v>
      </c>
      <c r="Q174" t="n">
        <v>0</v>
      </c>
      <c r="R174" t="n">
        <v>0</v>
      </c>
      <c r="S174" t="n">
        <v>0</v>
      </c>
      <c r="T174" t="n">
        <v>0</v>
      </c>
      <c r="U174" s="2" t="inlineStr"/>
    </row>
    <row r="175" ht="15" customHeight="1">
      <c r="A175" t="inlineStr">
        <is>
          <t>A 48134-2022</t>
        </is>
      </c>
      <c r="B175" t="inlineStr">
        <is>
          <t>avverkningsanmälan</t>
        </is>
      </c>
      <c r="C175" t="inlineStr">
        <is>
          <t>Föryngringsavverkning</t>
        </is>
      </c>
      <c r="D175" s="1" t="n">
        <v>44857</v>
      </c>
      <c r="E175" s="1" t="n">
        <v>46219</v>
      </c>
      <c r="F175" t="inlineStr">
        <is>
          <t>VÄRMLANDS LÄN</t>
        </is>
      </c>
      <c r="G175" t="inlineStr">
        <is>
          <t>SUNNE</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22491-2022</t>
        </is>
      </c>
      <c r="B176" t="inlineStr">
        <is>
          <t>avverkningsanmälan</t>
        </is>
      </c>
      <c r="C176" t="inlineStr">
        <is>
          <t>Avverkning för annat ändamål</t>
        </is>
      </c>
      <c r="D176" s="1" t="n">
        <v>44713</v>
      </c>
      <c r="E176" s="1" t="n">
        <v>46219</v>
      </c>
      <c r="F176" t="inlineStr">
        <is>
          <t>VÄRMLANDS LÄN</t>
        </is>
      </c>
      <c r="G176" t="inlineStr">
        <is>
          <t>SUNNE</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52146-2021</t>
        </is>
      </c>
      <c r="B177" t="inlineStr">
        <is>
          <t>avverkningsanmälan</t>
        </is>
      </c>
      <c r="C177" t="inlineStr">
        <is>
          <t>Föryngringsavverkning</t>
        </is>
      </c>
      <c r="D177" s="1" t="n">
        <v>44463</v>
      </c>
      <c r="E177" s="1" t="n">
        <v>46219</v>
      </c>
      <c r="F177" t="inlineStr">
        <is>
          <t>VÄRMLANDS LÄN</t>
        </is>
      </c>
      <c r="G177" t="inlineStr">
        <is>
          <t>SUNNE</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13644-2022</t>
        </is>
      </c>
      <c r="B178" t="inlineStr">
        <is>
          <t>avverkningsanmälan</t>
        </is>
      </c>
      <c r="C178" t="inlineStr">
        <is>
          <t>Föryngringsavverkning</t>
        </is>
      </c>
      <c r="D178" s="1" t="n">
        <v>44648</v>
      </c>
      <c r="E178" s="1" t="n">
        <v>46219</v>
      </c>
      <c r="F178" t="inlineStr">
        <is>
          <t>VÄRMLANDS LÄN</t>
        </is>
      </c>
      <c r="G178" t="inlineStr">
        <is>
          <t>SUNNE</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65074-2021</t>
        </is>
      </c>
      <c r="B179" t="inlineStr">
        <is>
          <t>avverkningsanmälan</t>
        </is>
      </c>
      <c r="C179" t="inlineStr">
        <is>
          <t>Föryngringsavverkning</t>
        </is>
      </c>
      <c r="D179" s="1" t="n">
        <v>44515</v>
      </c>
      <c r="E179" s="1" t="n">
        <v>46219</v>
      </c>
      <c r="F179" t="inlineStr">
        <is>
          <t>VÄRMLANDS LÄN</t>
        </is>
      </c>
      <c r="G179" t="inlineStr">
        <is>
          <t>SUNNE</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73470-2021</t>
        </is>
      </c>
      <c r="B180" t="inlineStr">
        <is>
          <t>avverkningsanmälan</t>
        </is>
      </c>
      <c r="C180" t="inlineStr">
        <is>
          <t>Föryngringsavverkning</t>
        </is>
      </c>
      <c r="D180" s="1" t="n">
        <v>44551</v>
      </c>
      <c r="E180" s="1" t="n">
        <v>46219</v>
      </c>
      <c r="F180" t="inlineStr">
        <is>
          <t>VÄRMLANDS LÄN</t>
        </is>
      </c>
      <c r="G180" t="inlineStr">
        <is>
          <t>SUNNE</t>
        </is>
      </c>
      <c r="I180" t="n">
        <v>6.1</v>
      </c>
      <c r="J180" t="n">
        <v>0</v>
      </c>
      <c r="K180" t="n">
        <v>0</v>
      </c>
      <c r="L180" t="n">
        <v>0</v>
      </c>
      <c r="M180" t="n">
        <v>0</v>
      </c>
      <c r="N180" t="n">
        <v>0</v>
      </c>
      <c r="O180" t="n">
        <v>0</v>
      </c>
      <c r="P180" t="n">
        <v>0</v>
      </c>
      <c r="Q180" t="n">
        <v>0</v>
      </c>
      <c r="R180" t="n">
        <v>0</v>
      </c>
      <c r="S180" t="n">
        <v>0</v>
      </c>
      <c r="T180" t="n">
        <v>0</v>
      </c>
      <c r="U180" s="2" t="inlineStr"/>
    </row>
    <row r="181" ht="15" customHeight="1">
      <c r="A181" t="inlineStr">
        <is>
          <t>A 62310-2021</t>
        </is>
      </c>
      <c r="B181" t="inlineStr">
        <is>
          <t>avverkningsanmälan</t>
        </is>
      </c>
      <c r="C181" t="inlineStr">
        <is>
          <t>Föryngringsavverkning</t>
        </is>
      </c>
      <c r="D181" s="1" t="n">
        <v>44501</v>
      </c>
      <c r="E181" s="1" t="n">
        <v>46219</v>
      </c>
      <c r="F181" t="inlineStr">
        <is>
          <t>VÄRMLANDS LÄN</t>
        </is>
      </c>
      <c r="G181" t="inlineStr">
        <is>
          <t>SUNNE</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62334-2021</t>
        </is>
      </c>
      <c r="B182" t="inlineStr">
        <is>
          <t>avverkningsanmälan</t>
        </is>
      </c>
      <c r="C182" t="inlineStr">
        <is>
          <t>Föryngringsavverkning</t>
        </is>
      </c>
      <c r="D182" s="1" t="n">
        <v>44501</v>
      </c>
      <c r="E182" s="1" t="n">
        <v>46219</v>
      </c>
      <c r="F182" t="inlineStr">
        <is>
          <t>VÄRMLANDS LÄN</t>
        </is>
      </c>
      <c r="G182" t="inlineStr">
        <is>
          <t>SUNNE</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39125-2021</t>
        </is>
      </c>
      <c r="B183" t="inlineStr">
        <is>
          <t>avverkningsanmälan</t>
        </is>
      </c>
      <c r="C183" t="inlineStr">
        <is>
          <t>Föryngringsavverkning</t>
        </is>
      </c>
      <c r="D183" s="1" t="n">
        <v>44412</v>
      </c>
      <c r="E183" s="1" t="n">
        <v>46219</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41974-2021</t>
        </is>
      </c>
      <c r="B184" t="inlineStr">
        <is>
          <t>avverkningsanmälan</t>
        </is>
      </c>
      <c r="C184" t="inlineStr">
        <is>
          <t>Föryngringsavverkning</t>
        </is>
      </c>
      <c r="D184" s="1" t="n">
        <v>44426</v>
      </c>
      <c r="E184" s="1" t="n">
        <v>46219</v>
      </c>
      <c r="F184" t="inlineStr">
        <is>
          <t>VÄRMLANDS LÄN</t>
        </is>
      </c>
      <c r="G184" t="inlineStr">
        <is>
          <t>SUNNE</t>
        </is>
      </c>
      <c r="I184" t="n">
        <v>4.7</v>
      </c>
      <c r="J184" t="n">
        <v>0</v>
      </c>
      <c r="K184" t="n">
        <v>0</v>
      </c>
      <c r="L184" t="n">
        <v>0</v>
      </c>
      <c r="M184" t="n">
        <v>0</v>
      </c>
      <c r="N184" t="n">
        <v>0</v>
      </c>
      <c r="O184" t="n">
        <v>0</v>
      </c>
      <c r="P184" t="n">
        <v>0</v>
      </c>
      <c r="Q184" t="n">
        <v>0</v>
      </c>
      <c r="R184" t="n">
        <v>0</v>
      </c>
      <c r="S184" t="n">
        <v>0</v>
      </c>
      <c r="T184" t="n">
        <v>0</v>
      </c>
      <c r="U184" s="2" t="inlineStr"/>
    </row>
    <row r="185" ht="15" customHeight="1">
      <c r="A185" t="inlineStr">
        <is>
          <t>A 41987-2021</t>
        </is>
      </c>
      <c r="B185" t="inlineStr">
        <is>
          <t>avverkningsanmälan</t>
        </is>
      </c>
      <c r="C185" t="inlineStr">
        <is>
          <t>Föryngringsavverkning</t>
        </is>
      </c>
      <c r="D185" s="1" t="n">
        <v>44426</v>
      </c>
      <c r="E185" s="1" t="n">
        <v>46219</v>
      </c>
      <c r="F185" t="inlineStr">
        <is>
          <t>VÄRMLANDS LÄN</t>
        </is>
      </c>
      <c r="G185" t="inlineStr">
        <is>
          <t>SUNNE</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35349-2022</t>
        </is>
      </c>
      <c r="B186" t="inlineStr">
        <is>
          <t>avverkningsanmälan</t>
        </is>
      </c>
      <c r="C186" t="inlineStr">
        <is>
          <t>Föryngringsavverkning</t>
        </is>
      </c>
      <c r="D186" s="1" t="n">
        <v>44798</v>
      </c>
      <c r="E186" s="1" t="n">
        <v>46219</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s="2" t="inlineStr"/>
    </row>
    <row r="187" ht="15" customHeight="1">
      <c r="A187" t="inlineStr">
        <is>
          <t>A 35973-2022</t>
        </is>
      </c>
      <c r="B187" t="inlineStr">
        <is>
          <t>avverkningsanmälan</t>
        </is>
      </c>
      <c r="C187" t="inlineStr">
        <is>
          <t>Föryngringsavverkning</t>
        </is>
      </c>
      <c r="D187" s="1" t="n">
        <v>44802</v>
      </c>
      <c r="E187" s="1" t="n">
        <v>46219</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45928-2022</t>
        </is>
      </c>
      <c r="B188" t="inlineStr">
        <is>
          <t>avverkningsanmälan</t>
        </is>
      </c>
      <c r="C188" t="inlineStr">
        <is>
          <t>Föryngringsavverkning</t>
        </is>
      </c>
      <c r="D188" s="1" t="n">
        <v>44846</v>
      </c>
      <c r="E188" s="1" t="n">
        <v>46219</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37927-2021</t>
        </is>
      </c>
      <c r="B189" t="inlineStr">
        <is>
          <t>avverkningsanmälan</t>
        </is>
      </c>
      <c r="C189" t="inlineStr">
        <is>
          <t>Föryngringsavverkning</t>
        </is>
      </c>
      <c r="D189" s="1" t="n">
        <v>44403</v>
      </c>
      <c r="E189" s="1" t="n">
        <v>46219</v>
      </c>
      <c r="F189" t="inlineStr">
        <is>
          <t>VÄRMLANDS LÄN</t>
        </is>
      </c>
      <c r="G189" t="inlineStr">
        <is>
          <t>SUNNE</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6692-2022</t>
        </is>
      </c>
      <c r="B190" t="inlineStr">
        <is>
          <t>avverkningsanmälan</t>
        </is>
      </c>
      <c r="C190" t="inlineStr">
        <is>
          <t>Föryngringsavverkning</t>
        </is>
      </c>
      <c r="D190" s="1" t="n">
        <v>44602</v>
      </c>
      <c r="E190" s="1" t="n">
        <v>46219</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42538-2022</t>
        </is>
      </c>
      <c r="B191" t="inlineStr">
        <is>
          <t>avverkningsanmälan</t>
        </is>
      </c>
      <c r="C191" t="inlineStr">
        <is>
          <t>Föryngringsavverkning</t>
        </is>
      </c>
      <c r="D191" s="1" t="n">
        <v>44831</v>
      </c>
      <c r="E191" s="1" t="n">
        <v>46219</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23318-2022</t>
        </is>
      </c>
      <c r="B192" t="inlineStr">
        <is>
          <t>avverkningsanmälan</t>
        </is>
      </c>
      <c r="C192" t="inlineStr">
        <is>
          <t>Föryngringsavverkning</t>
        </is>
      </c>
      <c r="D192" s="1" t="n">
        <v>44720</v>
      </c>
      <c r="E192" s="1" t="n">
        <v>46219</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41382-2021</t>
        </is>
      </c>
      <c r="B193" t="inlineStr">
        <is>
          <t>avverkningsanmälan</t>
        </is>
      </c>
      <c r="C193" t="inlineStr">
        <is>
          <t>Föryngringsavverkning</t>
        </is>
      </c>
      <c r="D193" s="1" t="n">
        <v>44424</v>
      </c>
      <c r="E193" s="1" t="n">
        <v>46219</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23062-2022</t>
        </is>
      </c>
      <c r="B194" t="inlineStr">
        <is>
          <t>avverkningsanmälan</t>
        </is>
      </c>
      <c r="C194" t="inlineStr">
        <is>
          <t>Föryngringsavverkning</t>
        </is>
      </c>
      <c r="D194" s="1" t="n">
        <v>44719</v>
      </c>
      <c r="E194" s="1" t="n">
        <v>46219</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53038-2021</t>
        </is>
      </c>
      <c r="B195" t="inlineStr">
        <is>
          <t>avverkningsanmälan</t>
        </is>
      </c>
      <c r="C195" t="inlineStr">
        <is>
          <t>Föryngringsavverkning</t>
        </is>
      </c>
      <c r="D195" s="1" t="n">
        <v>44466</v>
      </c>
      <c r="E195" s="1" t="n">
        <v>46219</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20042-2022</t>
        </is>
      </c>
      <c r="B196" t="inlineStr">
        <is>
          <t>avverkningsanmälan</t>
        </is>
      </c>
      <c r="C196" t="inlineStr">
        <is>
          <t>Föryngringsavverkning</t>
        </is>
      </c>
      <c r="D196" s="1" t="n">
        <v>44697</v>
      </c>
      <c r="E196" s="1" t="n">
        <v>46219</v>
      </c>
      <c r="F196" t="inlineStr">
        <is>
          <t>VÄRMLANDS LÄN</t>
        </is>
      </c>
      <c r="G196" t="inlineStr">
        <is>
          <t>SUNNE</t>
        </is>
      </c>
      <c r="I196" t="n">
        <v>2.6</v>
      </c>
      <c r="J196" t="n">
        <v>0</v>
      </c>
      <c r="K196" t="n">
        <v>0</v>
      </c>
      <c r="L196" t="n">
        <v>0</v>
      </c>
      <c r="M196" t="n">
        <v>0</v>
      </c>
      <c r="N196" t="n">
        <v>0</v>
      </c>
      <c r="O196" t="n">
        <v>0</v>
      </c>
      <c r="P196" t="n">
        <v>0</v>
      </c>
      <c r="Q196" t="n">
        <v>0</v>
      </c>
      <c r="R196" t="n">
        <v>0</v>
      </c>
      <c r="S196" t="n">
        <v>0</v>
      </c>
      <c r="T196" t="n">
        <v>0</v>
      </c>
      <c r="U196" s="2" t="inlineStr"/>
    </row>
    <row r="197" ht="15" customHeight="1">
      <c r="A197" t="inlineStr">
        <is>
          <t>A 32543-2022</t>
        </is>
      </c>
      <c r="B197" t="inlineStr">
        <is>
          <t>avverkningsanmälan</t>
        </is>
      </c>
      <c r="C197" t="inlineStr">
        <is>
          <t>Föryngringsavverkning</t>
        </is>
      </c>
      <c r="D197" s="1" t="n">
        <v>44783</v>
      </c>
      <c r="E197" s="1" t="n">
        <v>46219</v>
      </c>
      <c r="F197" t="inlineStr">
        <is>
          <t>VÄRMLANDS LÄN</t>
        </is>
      </c>
      <c r="G197" t="inlineStr">
        <is>
          <t>SUNNE</t>
        </is>
      </c>
      <c r="H197" t="inlineStr">
        <is>
          <t>Kommuner</t>
        </is>
      </c>
      <c r="I197" t="n">
        <v>4.2</v>
      </c>
      <c r="J197" t="n">
        <v>0</v>
      </c>
      <c r="K197" t="n">
        <v>0</v>
      </c>
      <c r="L197" t="n">
        <v>0</v>
      </c>
      <c r="M197" t="n">
        <v>0</v>
      </c>
      <c r="N197" t="n">
        <v>0</v>
      </c>
      <c r="O197" t="n">
        <v>0</v>
      </c>
      <c r="P197" t="n">
        <v>0</v>
      </c>
      <c r="Q197" t="n">
        <v>0</v>
      </c>
      <c r="R197" t="n">
        <v>0</v>
      </c>
      <c r="S197" t="n">
        <v>0</v>
      </c>
      <c r="T197" t="n">
        <v>0</v>
      </c>
      <c r="U197" s="2" t="inlineStr"/>
    </row>
    <row r="198" ht="15" customHeight="1">
      <c r="A198" t="inlineStr">
        <is>
          <t>A 73467-2021</t>
        </is>
      </c>
      <c r="B198" t="inlineStr">
        <is>
          <t>avverkningsanmälan</t>
        </is>
      </c>
      <c r="C198" t="inlineStr">
        <is>
          <t>Föryngringsavverkning</t>
        </is>
      </c>
      <c r="D198" s="1" t="n">
        <v>44551</v>
      </c>
      <c r="E198" s="1" t="n">
        <v>46219</v>
      </c>
      <c r="F198" t="inlineStr">
        <is>
          <t>VÄRMLANDS LÄN</t>
        </is>
      </c>
      <c r="G198" t="inlineStr">
        <is>
          <t>SUNNE</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60933-2021</t>
        </is>
      </c>
      <c r="B199" t="inlineStr">
        <is>
          <t>avverkningsanmälan</t>
        </is>
      </c>
      <c r="C199" t="inlineStr">
        <is>
          <t>Föryngringsavverkning</t>
        </is>
      </c>
      <c r="D199" s="1" t="n">
        <v>44497</v>
      </c>
      <c r="E199" s="1" t="n">
        <v>46219</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1605-2022</t>
        </is>
      </c>
      <c r="B200" t="inlineStr">
        <is>
          <t>avverkningsanmälan</t>
        </is>
      </c>
      <c r="C200" t="inlineStr">
        <is>
          <t>Föryngringsavverkning</t>
        </is>
      </c>
      <c r="D200" s="1" t="n">
        <v>44573</v>
      </c>
      <c r="E200" s="1" t="n">
        <v>46219</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43923-2022</t>
        </is>
      </c>
      <c r="B201" t="inlineStr">
        <is>
          <t>avverkningsanmälan</t>
        </is>
      </c>
      <c r="C201" t="inlineStr">
        <is>
          <t>Föryngringsavverkning</t>
        </is>
      </c>
      <c r="D201" s="1" t="n">
        <v>44838</v>
      </c>
      <c r="E201" s="1" t="n">
        <v>46219</v>
      </c>
      <c r="F201" t="inlineStr">
        <is>
          <t>VÄRMLANDS LÄN</t>
        </is>
      </c>
      <c r="G201" t="inlineStr">
        <is>
          <t>SUNNE</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39849-2021</t>
        </is>
      </c>
      <c r="B202" t="inlineStr">
        <is>
          <t>avverkningsanmälan</t>
        </is>
      </c>
      <c r="C202" t="inlineStr">
        <is>
          <t>Föryngringsavverkning</t>
        </is>
      </c>
      <c r="D202" s="1" t="n">
        <v>44417</v>
      </c>
      <c r="E202" s="1" t="n">
        <v>46219</v>
      </c>
      <c r="F202" t="inlineStr">
        <is>
          <t>VÄRMLANDS LÄN</t>
        </is>
      </c>
      <c r="G202" t="inlineStr">
        <is>
          <t>SUNNE</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10541-2022</t>
        </is>
      </c>
      <c r="B203" t="inlineStr">
        <is>
          <t>avverkningsanmälan</t>
        </is>
      </c>
      <c r="C203" t="inlineStr">
        <is>
          <t>Föryngringsavverkning</t>
        </is>
      </c>
      <c r="D203" s="1" t="n">
        <v>44623</v>
      </c>
      <c r="E203" s="1" t="n">
        <v>46219</v>
      </c>
      <c r="F203" t="inlineStr">
        <is>
          <t>VÄRMLANDS LÄN</t>
        </is>
      </c>
      <c r="G203" t="inlineStr">
        <is>
          <t>SUNNE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57728-2023</t>
        </is>
      </c>
      <c r="B204" t="inlineStr">
        <is>
          <t>avverkningsanmälan</t>
        </is>
      </c>
      <c r="C204" t="inlineStr">
        <is>
          <t>Föryngringsavverkning</t>
        </is>
      </c>
      <c r="D204" s="1" t="n">
        <v>45243</v>
      </c>
      <c r="E204" s="1" t="n">
        <v>46219</v>
      </c>
      <c r="F204" t="inlineStr">
        <is>
          <t>VÄRMLANDS LÄN</t>
        </is>
      </c>
      <c r="G204" t="inlineStr">
        <is>
          <t>SUNNE</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1301-2022</t>
        </is>
      </c>
      <c r="B205" t="inlineStr">
        <is>
          <t>avverkningsanmälan</t>
        </is>
      </c>
      <c r="C205" t="inlineStr">
        <is>
          <t>Föryngringsavverkning</t>
        </is>
      </c>
      <c r="D205" s="1" t="n">
        <v>44572</v>
      </c>
      <c r="E205" s="1" t="n">
        <v>46219</v>
      </c>
      <c r="F205" t="inlineStr">
        <is>
          <t>VÄRMLANDS LÄN</t>
        </is>
      </c>
      <c r="G205" t="inlineStr">
        <is>
          <t>SUNNE</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47162-2024</t>
        </is>
      </c>
      <c r="B206" t="inlineStr">
        <is>
          <t>avverkningsanmälan</t>
        </is>
      </c>
      <c r="C206" t="inlineStr">
        <is>
          <t>Föryngringsavverkning</t>
        </is>
      </c>
      <c r="D206" s="1" t="n">
        <v>45586</v>
      </c>
      <c r="E206" s="1" t="n">
        <v>46219</v>
      </c>
      <c r="F206" t="inlineStr">
        <is>
          <t>VÄRMLANDS LÄN</t>
        </is>
      </c>
      <c r="G206" t="inlineStr">
        <is>
          <t>SUNNE</t>
        </is>
      </c>
      <c r="H206" t="inlineStr">
        <is>
          <t>Kommuner</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17033-2022</t>
        </is>
      </c>
      <c r="B207" t="inlineStr">
        <is>
          <t>avverkningsanmälan</t>
        </is>
      </c>
      <c r="C207" t="inlineStr">
        <is>
          <t>Avverkning för annat ändamål</t>
        </is>
      </c>
      <c r="D207" s="1" t="n">
        <v>44676</v>
      </c>
      <c r="E207" s="1" t="n">
        <v>46219</v>
      </c>
      <c r="F207" t="inlineStr">
        <is>
          <t>VÄRMLANDS LÄN</t>
        </is>
      </c>
      <c r="G207" t="inlineStr">
        <is>
          <t>SUNNE</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17514-2022</t>
        </is>
      </c>
      <c r="B208" t="inlineStr">
        <is>
          <t>avverkningsanmälan</t>
        </is>
      </c>
      <c r="C208" t="inlineStr">
        <is>
          <t>Föryngringsavverkning</t>
        </is>
      </c>
      <c r="D208" s="1" t="n">
        <v>44679</v>
      </c>
      <c r="E208" s="1" t="n">
        <v>46219</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34909-2022</t>
        </is>
      </c>
      <c r="B209" t="inlineStr">
        <is>
          <t>avverkningsanmälan</t>
        </is>
      </c>
      <c r="C209" t="inlineStr">
        <is>
          <t>Föryngringsavverkning</t>
        </is>
      </c>
      <c r="D209" s="1" t="n">
        <v>44796</v>
      </c>
      <c r="E209" s="1" t="n">
        <v>46219</v>
      </c>
      <c r="F209" t="inlineStr">
        <is>
          <t>VÄRMLANDS LÄN</t>
        </is>
      </c>
      <c r="G209" t="inlineStr">
        <is>
          <t>SUNNE</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44383-2024</t>
        </is>
      </c>
      <c r="B210" t="inlineStr">
        <is>
          <t>avverkningsanmälan</t>
        </is>
      </c>
      <c r="C210" t="inlineStr">
        <is>
          <t>Avverkning för annat ändamål</t>
        </is>
      </c>
      <c r="D210" s="1" t="n">
        <v>45573</v>
      </c>
      <c r="E210" s="1" t="n">
        <v>46219</v>
      </c>
      <c r="F210" t="inlineStr">
        <is>
          <t>VÄRMLANDS LÄN</t>
        </is>
      </c>
      <c r="G210" t="inlineStr">
        <is>
          <t>SUNNE</t>
        </is>
      </c>
      <c r="I210" t="n">
        <v>5.4</v>
      </c>
      <c r="J210" t="n">
        <v>0</v>
      </c>
      <c r="K210" t="n">
        <v>0</v>
      </c>
      <c r="L210" t="n">
        <v>0</v>
      </c>
      <c r="M210" t="n">
        <v>0</v>
      </c>
      <c r="N210" t="n">
        <v>0</v>
      </c>
      <c r="O210" t="n">
        <v>0</v>
      </c>
      <c r="P210" t="n">
        <v>0</v>
      </c>
      <c r="Q210" t="n">
        <v>0</v>
      </c>
      <c r="R210" t="n">
        <v>0</v>
      </c>
      <c r="S210" t="n">
        <v>0</v>
      </c>
      <c r="T210" t="n">
        <v>0</v>
      </c>
      <c r="U210" s="2" t="inlineStr"/>
    </row>
    <row r="211" ht="15" customHeight="1">
      <c r="A211" t="inlineStr">
        <is>
          <t>A 10675-2025</t>
        </is>
      </c>
      <c r="B211" t="inlineStr">
        <is>
          <t>avverkningsanmälan</t>
        </is>
      </c>
      <c r="C211" t="inlineStr">
        <is>
          <t>Föryngringsavverkning</t>
        </is>
      </c>
      <c r="D211" s="1" t="n">
        <v>45721</v>
      </c>
      <c r="E211" s="1" t="n">
        <v>46219</v>
      </c>
      <c r="F211" t="inlineStr">
        <is>
          <t>VÄRMLANDS LÄN</t>
        </is>
      </c>
      <c r="G211" t="inlineStr">
        <is>
          <t>SUNNE</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7051-2023</t>
        </is>
      </c>
      <c r="B212" t="inlineStr">
        <is>
          <t>avverkningsanmälan</t>
        </is>
      </c>
      <c r="C212" t="inlineStr">
        <is>
          <t>Föryngringsavverkning</t>
        </is>
      </c>
      <c r="D212" s="1" t="n">
        <v>44969</v>
      </c>
      <c r="E212" s="1" t="n">
        <v>46219</v>
      </c>
      <c r="F212" t="inlineStr">
        <is>
          <t>VÄRMLANDS LÄN</t>
        </is>
      </c>
      <c r="G212" t="inlineStr">
        <is>
          <t>SUNNE</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43088-2023</t>
        </is>
      </c>
      <c r="B213" t="inlineStr">
        <is>
          <t>avverkningsanmälan</t>
        </is>
      </c>
      <c r="C213" t="inlineStr">
        <is>
          <t>Föryngringsavverkning</t>
        </is>
      </c>
      <c r="D213" s="1" t="n">
        <v>45182</v>
      </c>
      <c r="E213" s="1" t="n">
        <v>46219</v>
      </c>
      <c r="F213" t="inlineStr">
        <is>
          <t>VÄRMLANDS LÄN</t>
        </is>
      </c>
      <c r="G213" t="inlineStr">
        <is>
          <t>SUNNE</t>
        </is>
      </c>
      <c r="I213" t="n">
        <v>12.9</v>
      </c>
      <c r="J213" t="n">
        <v>0</v>
      </c>
      <c r="K213" t="n">
        <v>0</v>
      </c>
      <c r="L213" t="n">
        <v>0</v>
      </c>
      <c r="M213" t="n">
        <v>0</v>
      </c>
      <c r="N213" t="n">
        <v>0</v>
      </c>
      <c r="O213" t="n">
        <v>0</v>
      </c>
      <c r="P213" t="n">
        <v>0</v>
      </c>
      <c r="Q213" t="n">
        <v>0</v>
      </c>
      <c r="R213" t="n">
        <v>0</v>
      </c>
      <c r="S213" t="n">
        <v>0</v>
      </c>
      <c r="T213" t="n">
        <v>0</v>
      </c>
      <c r="U213" s="2" t="inlineStr"/>
    </row>
    <row r="214" ht="15" customHeight="1">
      <c r="A214" t="inlineStr">
        <is>
          <t>A 12097-2023</t>
        </is>
      </c>
      <c r="B214" t="inlineStr">
        <is>
          <t>avverkningsanmälan</t>
        </is>
      </c>
      <c r="C214" t="inlineStr">
        <is>
          <t>Föryngringsavverkning</t>
        </is>
      </c>
      <c r="D214" s="1" t="n">
        <v>44995</v>
      </c>
      <c r="E214" s="1" t="n">
        <v>46219</v>
      </c>
      <c r="F214" t="inlineStr">
        <is>
          <t>VÄRMLANDS LÄN</t>
        </is>
      </c>
      <c r="G214" t="inlineStr">
        <is>
          <t>SUNNE</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7052-2023</t>
        </is>
      </c>
      <c r="B215" t="inlineStr">
        <is>
          <t>avverkningsanmälan</t>
        </is>
      </c>
      <c r="C215" t="inlineStr">
        <is>
          <t>Föryngringsavverkning</t>
        </is>
      </c>
      <c r="D215" s="1" t="n">
        <v>44969</v>
      </c>
      <c r="E215" s="1" t="n">
        <v>46219</v>
      </c>
      <c r="F215" t="inlineStr">
        <is>
          <t>VÄRMLANDS LÄN</t>
        </is>
      </c>
      <c r="G215" t="inlineStr">
        <is>
          <t>SUNNE</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22121-2022</t>
        </is>
      </c>
      <c r="B216" t="inlineStr">
        <is>
          <t>avverkningsanmälan</t>
        </is>
      </c>
      <c r="C216" t="inlineStr">
        <is>
          <t>Föryngringsavverkning</t>
        </is>
      </c>
      <c r="D216" s="1" t="n">
        <v>44712</v>
      </c>
      <c r="E216" s="1" t="n">
        <v>46219</v>
      </c>
      <c r="F216" t="inlineStr">
        <is>
          <t>VÄRMLANDS LÄN</t>
        </is>
      </c>
      <c r="G216" t="inlineStr">
        <is>
          <t>SUNNE</t>
        </is>
      </c>
      <c r="I216" t="n">
        <v>5.8</v>
      </c>
      <c r="J216" t="n">
        <v>0</v>
      </c>
      <c r="K216" t="n">
        <v>0</v>
      </c>
      <c r="L216" t="n">
        <v>0</v>
      </c>
      <c r="M216" t="n">
        <v>0</v>
      </c>
      <c r="N216" t="n">
        <v>0</v>
      </c>
      <c r="O216" t="n">
        <v>0</v>
      </c>
      <c r="P216" t="n">
        <v>0</v>
      </c>
      <c r="Q216" t="n">
        <v>0</v>
      </c>
      <c r="R216" t="n">
        <v>0</v>
      </c>
      <c r="S216" t="n">
        <v>0</v>
      </c>
      <c r="T216" t="n">
        <v>0</v>
      </c>
      <c r="U216" s="2" t="inlineStr"/>
    </row>
    <row r="217" ht="15" customHeight="1">
      <c r="A217" t="inlineStr">
        <is>
          <t>A 17512-2022</t>
        </is>
      </c>
      <c r="B217" t="inlineStr">
        <is>
          <t>avverkningsanmälan</t>
        </is>
      </c>
      <c r="C217" t="inlineStr">
        <is>
          <t>Föryngringsavverkning</t>
        </is>
      </c>
      <c r="D217" s="1" t="n">
        <v>44679</v>
      </c>
      <c r="E217" s="1" t="n">
        <v>46219</v>
      </c>
      <c r="F217" t="inlineStr">
        <is>
          <t>VÄRMLANDS LÄN</t>
        </is>
      </c>
      <c r="G217" t="inlineStr">
        <is>
          <t>SUNNE</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72410-2021</t>
        </is>
      </c>
      <c r="B218" t="inlineStr">
        <is>
          <t>avverkningsanmälan</t>
        </is>
      </c>
      <c r="C218" t="inlineStr">
        <is>
          <t>Föryngringsavverkning</t>
        </is>
      </c>
      <c r="D218" s="1" t="n">
        <v>44545</v>
      </c>
      <c r="E218" s="1" t="n">
        <v>46219</v>
      </c>
      <c r="F218" t="inlineStr">
        <is>
          <t>VÄRMLANDS LÄN</t>
        </is>
      </c>
      <c r="G218" t="inlineStr">
        <is>
          <t>SUNNE</t>
        </is>
      </c>
      <c r="I218" t="n">
        <v>2.2</v>
      </c>
      <c r="J218" t="n">
        <v>0</v>
      </c>
      <c r="K218" t="n">
        <v>0</v>
      </c>
      <c r="L218" t="n">
        <v>0</v>
      </c>
      <c r="M218" t="n">
        <v>0</v>
      </c>
      <c r="N218" t="n">
        <v>0</v>
      </c>
      <c r="O218" t="n">
        <v>0</v>
      </c>
      <c r="P218" t="n">
        <v>0</v>
      </c>
      <c r="Q218" t="n">
        <v>0</v>
      </c>
      <c r="R218" t="n">
        <v>0</v>
      </c>
      <c r="S218" t="n">
        <v>0</v>
      </c>
      <c r="T218" t="n">
        <v>0</v>
      </c>
      <c r="U218" s="2" t="inlineStr"/>
    </row>
    <row r="219" ht="15" customHeight="1">
      <c r="A219" t="inlineStr">
        <is>
          <t>A 8285-2023</t>
        </is>
      </c>
      <c r="B219" t="inlineStr">
        <is>
          <t>avverkningsanmälan</t>
        </is>
      </c>
      <c r="C219" t="inlineStr">
        <is>
          <t>Föryngringsavverkning</t>
        </is>
      </c>
      <c r="D219" s="1" t="n">
        <v>44974</v>
      </c>
      <c r="E219" s="1" t="n">
        <v>46219</v>
      </c>
      <c r="F219" t="inlineStr">
        <is>
          <t>VÄRMLANDS LÄN</t>
        </is>
      </c>
      <c r="G219" t="inlineStr">
        <is>
          <t>SUNNE</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61373-2021</t>
        </is>
      </c>
      <c r="B220" t="inlineStr">
        <is>
          <t>avverkningsanmälan</t>
        </is>
      </c>
      <c r="C220" t="inlineStr">
        <is>
          <t>Föryngringsavverkning</t>
        </is>
      </c>
      <c r="D220" s="1" t="n">
        <v>44499</v>
      </c>
      <c r="E220" s="1" t="n">
        <v>46219</v>
      </c>
      <c r="F220" t="inlineStr">
        <is>
          <t>VÄRMLANDS LÄN</t>
        </is>
      </c>
      <c r="G220" t="inlineStr">
        <is>
          <t>SUNNE</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27091-2022</t>
        </is>
      </c>
      <c r="B221" t="inlineStr">
        <is>
          <t>avverkningsanmälan</t>
        </is>
      </c>
      <c r="C221" t="inlineStr">
        <is>
          <t>Föryngringsavverkning</t>
        </is>
      </c>
      <c r="D221" s="1" t="n">
        <v>44741</v>
      </c>
      <c r="E221" s="1" t="n">
        <v>46219</v>
      </c>
      <c r="F221" t="inlineStr">
        <is>
          <t>VÄRMLANDS LÄN</t>
        </is>
      </c>
      <c r="G221" t="inlineStr">
        <is>
          <t>SUNNE</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34374-2023</t>
        </is>
      </c>
      <c r="B222" t="inlineStr">
        <is>
          <t>avverkningsanmälan</t>
        </is>
      </c>
      <c r="C222" t="inlineStr">
        <is>
          <t>Föryngringsavverkning</t>
        </is>
      </c>
      <c r="D222" s="1" t="n">
        <v>45131</v>
      </c>
      <c r="E222" s="1" t="n">
        <v>46219</v>
      </c>
      <c r="F222" t="inlineStr">
        <is>
          <t>VÄRMLANDS LÄN</t>
        </is>
      </c>
      <c r="G222" t="inlineStr">
        <is>
          <t>SUNNE</t>
        </is>
      </c>
      <c r="I222" t="n">
        <v>11.7</v>
      </c>
      <c r="J222" t="n">
        <v>0</v>
      </c>
      <c r="K222" t="n">
        <v>0</v>
      </c>
      <c r="L222" t="n">
        <v>0</v>
      </c>
      <c r="M222" t="n">
        <v>0</v>
      </c>
      <c r="N222" t="n">
        <v>0</v>
      </c>
      <c r="O222" t="n">
        <v>0</v>
      </c>
      <c r="P222" t="n">
        <v>0</v>
      </c>
      <c r="Q222" t="n">
        <v>0</v>
      </c>
      <c r="R222" t="n">
        <v>0</v>
      </c>
      <c r="S222" t="n">
        <v>0</v>
      </c>
      <c r="T222" t="n">
        <v>0</v>
      </c>
      <c r="U222" s="2" t="inlineStr"/>
    </row>
    <row r="223" ht="15" customHeight="1">
      <c r="A223" t="inlineStr">
        <is>
          <t>A 7056-2023</t>
        </is>
      </c>
      <c r="B223" t="inlineStr">
        <is>
          <t>avverkningsanmälan</t>
        </is>
      </c>
      <c r="C223" t="inlineStr">
        <is>
          <t>Föryngringsavverkning</t>
        </is>
      </c>
      <c r="D223" s="1" t="n">
        <v>44969</v>
      </c>
      <c r="E223" s="1" t="n">
        <v>46219</v>
      </c>
      <c r="F223" t="inlineStr">
        <is>
          <t>VÄRMLANDS LÄN</t>
        </is>
      </c>
      <c r="G223" t="inlineStr">
        <is>
          <t>SUNNE</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50557-2021</t>
        </is>
      </c>
      <c r="B224" t="inlineStr">
        <is>
          <t>avverkningsanmälan</t>
        </is>
      </c>
      <c r="C224" t="inlineStr">
        <is>
          <t>Föryngringsavverkning</t>
        </is>
      </c>
      <c r="D224" s="1" t="n">
        <v>44459</v>
      </c>
      <c r="E224" s="1" t="n">
        <v>46219</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44066-2021</t>
        </is>
      </c>
      <c r="B225" t="inlineStr">
        <is>
          <t>avverkningsanmälan</t>
        </is>
      </c>
      <c r="C225" t="inlineStr">
        <is>
          <t>Föryngringsavverkning</t>
        </is>
      </c>
      <c r="D225" s="1" t="n">
        <v>44434</v>
      </c>
      <c r="E225" s="1" t="n">
        <v>46219</v>
      </c>
      <c r="F225" t="inlineStr">
        <is>
          <t>VÄRMLANDS LÄN</t>
        </is>
      </c>
      <c r="G225" t="inlineStr">
        <is>
          <t>SUNNE</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73322-2021</t>
        </is>
      </c>
      <c r="B226" t="inlineStr">
        <is>
          <t>avverkningsanmälan</t>
        </is>
      </c>
      <c r="C226" t="inlineStr">
        <is>
          <t>Föryngringsavverkning</t>
        </is>
      </c>
      <c r="D226" s="1" t="n">
        <v>44551</v>
      </c>
      <c r="E226" s="1" t="n">
        <v>46219</v>
      </c>
      <c r="F226" t="inlineStr">
        <is>
          <t>VÄRMLANDS LÄN</t>
        </is>
      </c>
      <c r="G226" t="inlineStr">
        <is>
          <t>SUNNE</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37212-2021</t>
        </is>
      </c>
      <c r="B227" t="inlineStr">
        <is>
          <t>avverkningsanmälan</t>
        </is>
      </c>
      <c r="C227" t="inlineStr">
        <is>
          <t>Föryngringsavverkning</t>
        </is>
      </c>
      <c r="D227" s="1" t="n">
        <v>44396</v>
      </c>
      <c r="E227" s="1" t="n">
        <v>46219</v>
      </c>
      <c r="F227" t="inlineStr">
        <is>
          <t>VÄRMLANDS LÄN</t>
        </is>
      </c>
      <c r="G227" t="inlineStr">
        <is>
          <t>SUNNE</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9138-2022</t>
        </is>
      </c>
      <c r="B228" t="inlineStr">
        <is>
          <t>avverkningsanmälan</t>
        </is>
      </c>
      <c r="C228" t="inlineStr">
        <is>
          <t>Föryngringsavverkning</t>
        </is>
      </c>
      <c r="D228" s="1" t="n">
        <v>44615</v>
      </c>
      <c r="E228" s="1" t="n">
        <v>46219</v>
      </c>
      <c r="F228" t="inlineStr">
        <is>
          <t>VÄRMLANDS LÄN</t>
        </is>
      </c>
      <c r="G228" t="inlineStr">
        <is>
          <t>SUNNE</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40599-2021</t>
        </is>
      </c>
      <c r="B229" t="inlineStr">
        <is>
          <t>avverkningsanmälan</t>
        </is>
      </c>
      <c r="C229" t="inlineStr">
        <is>
          <t>Föryngringsavverkning</t>
        </is>
      </c>
      <c r="D229" s="1" t="n">
        <v>44420</v>
      </c>
      <c r="E229" s="1" t="n">
        <v>46219</v>
      </c>
      <c r="F229" t="inlineStr">
        <is>
          <t>VÄRMLANDS LÄN</t>
        </is>
      </c>
      <c r="G229" t="inlineStr">
        <is>
          <t>SUNNE</t>
        </is>
      </c>
      <c r="I229" t="n">
        <v>12.8</v>
      </c>
      <c r="J229" t="n">
        <v>0</v>
      </c>
      <c r="K229" t="n">
        <v>0</v>
      </c>
      <c r="L229" t="n">
        <v>0</v>
      </c>
      <c r="M229" t="n">
        <v>0</v>
      </c>
      <c r="N229" t="n">
        <v>0</v>
      </c>
      <c r="O229" t="n">
        <v>0</v>
      </c>
      <c r="P229" t="n">
        <v>0</v>
      </c>
      <c r="Q229" t="n">
        <v>0</v>
      </c>
      <c r="R229" t="n">
        <v>0</v>
      </c>
      <c r="S229" t="n">
        <v>0</v>
      </c>
      <c r="T229" t="n">
        <v>0</v>
      </c>
      <c r="U229" s="2" t="inlineStr"/>
    </row>
    <row r="230" ht="15" customHeight="1">
      <c r="A230" t="inlineStr">
        <is>
          <t>A 35558-2023</t>
        </is>
      </c>
      <c r="B230" t="inlineStr">
        <is>
          <t>avverkningsanmälan</t>
        </is>
      </c>
      <c r="C230" t="inlineStr">
        <is>
          <t>Föryngringsavverkning</t>
        </is>
      </c>
      <c r="D230" s="1" t="n">
        <v>45147</v>
      </c>
      <c r="E230" s="1" t="n">
        <v>46219</v>
      </c>
      <c r="F230" t="inlineStr">
        <is>
          <t>VÄRMLANDS LÄN</t>
        </is>
      </c>
      <c r="G230" t="inlineStr">
        <is>
          <t>SUNNE</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10029-2022</t>
        </is>
      </c>
      <c r="B231" t="inlineStr">
        <is>
          <t>avverkningsanmälan</t>
        </is>
      </c>
      <c r="C231" t="inlineStr">
        <is>
          <t>Föryngringsavverkning</t>
        </is>
      </c>
      <c r="D231" s="1" t="n">
        <v>44621</v>
      </c>
      <c r="E231" s="1" t="n">
        <v>46219</v>
      </c>
      <c r="F231" t="inlineStr">
        <is>
          <t>VÄRMLANDS LÄN</t>
        </is>
      </c>
      <c r="G231" t="inlineStr">
        <is>
          <t>SUNNE</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52800-2024</t>
        </is>
      </c>
      <c r="B232" t="inlineStr">
        <is>
          <t>avverkningsanmälan</t>
        </is>
      </c>
      <c r="C232" t="inlineStr">
        <is>
          <t>Föryngringsavverkning</t>
        </is>
      </c>
      <c r="D232" s="1" t="n">
        <v>45610</v>
      </c>
      <c r="E232" s="1" t="n">
        <v>46219</v>
      </c>
      <c r="F232" t="inlineStr">
        <is>
          <t>VÄRMLANDS LÄN</t>
        </is>
      </c>
      <c r="G232" t="inlineStr">
        <is>
          <t>SUNNE</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54999-2021</t>
        </is>
      </c>
      <c r="B233" t="inlineStr">
        <is>
          <t>avverkningsanmälan</t>
        </is>
      </c>
      <c r="C233" t="inlineStr">
        <is>
          <t>Föryngringsavverkning</t>
        </is>
      </c>
      <c r="D233" s="1" t="n">
        <v>44473</v>
      </c>
      <c r="E233" s="1" t="n">
        <v>46219</v>
      </c>
      <c r="F233" t="inlineStr">
        <is>
          <t>VÄRMLANDS LÄN</t>
        </is>
      </c>
      <c r="G233" t="inlineStr">
        <is>
          <t>SUNNE</t>
        </is>
      </c>
      <c r="I233" t="n">
        <v>4.6</v>
      </c>
      <c r="J233" t="n">
        <v>0</v>
      </c>
      <c r="K233" t="n">
        <v>0</v>
      </c>
      <c r="L233" t="n">
        <v>0</v>
      </c>
      <c r="M233" t="n">
        <v>0</v>
      </c>
      <c r="N233" t="n">
        <v>0</v>
      </c>
      <c r="O233" t="n">
        <v>0</v>
      </c>
      <c r="P233" t="n">
        <v>0</v>
      </c>
      <c r="Q233" t="n">
        <v>0</v>
      </c>
      <c r="R233" t="n">
        <v>0</v>
      </c>
      <c r="S233" t="n">
        <v>0</v>
      </c>
      <c r="T233" t="n">
        <v>0</v>
      </c>
      <c r="U233" s="2" t="inlineStr"/>
    </row>
    <row r="234" ht="15" customHeight="1">
      <c r="A234" t="inlineStr">
        <is>
          <t>A 39040-2024</t>
        </is>
      </c>
      <c r="B234" t="inlineStr">
        <is>
          <t>avverkningsanmälan</t>
        </is>
      </c>
      <c r="C234" t="inlineStr">
        <is>
          <t>Föryngringsavverkning</t>
        </is>
      </c>
      <c r="D234" s="1" t="n">
        <v>45548</v>
      </c>
      <c r="E234" s="1" t="n">
        <v>46219</v>
      </c>
      <c r="F234" t="inlineStr">
        <is>
          <t>VÄRMLANDS LÄN</t>
        </is>
      </c>
      <c r="G234" t="inlineStr">
        <is>
          <t>SUNNE</t>
        </is>
      </c>
      <c r="I234" t="n">
        <v>5.6</v>
      </c>
      <c r="J234" t="n">
        <v>0</v>
      </c>
      <c r="K234" t="n">
        <v>0</v>
      </c>
      <c r="L234" t="n">
        <v>0</v>
      </c>
      <c r="M234" t="n">
        <v>0</v>
      </c>
      <c r="N234" t="n">
        <v>0</v>
      </c>
      <c r="O234" t="n">
        <v>0</v>
      </c>
      <c r="P234" t="n">
        <v>0</v>
      </c>
      <c r="Q234" t="n">
        <v>0</v>
      </c>
      <c r="R234" t="n">
        <v>0</v>
      </c>
      <c r="S234" t="n">
        <v>0</v>
      </c>
      <c r="T234" t="n">
        <v>0</v>
      </c>
      <c r="U234" s="2" t="inlineStr"/>
    </row>
    <row r="235" ht="15" customHeight="1">
      <c r="A235" t="inlineStr">
        <is>
          <t>A 15255-2022</t>
        </is>
      </c>
      <c r="B235" t="inlineStr">
        <is>
          <t>avverkningsanmälan</t>
        </is>
      </c>
      <c r="C235" t="inlineStr">
        <is>
          <t>Föryngringsavverkning</t>
        </is>
      </c>
      <c r="D235" s="1" t="n">
        <v>44659</v>
      </c>
      <c r="E235" s="1" t="n">
        <v>46219</v>
      </c>
      <c r="F235" t="inlineStr">
        <is>
          <t>VÄRMLANDS LÄN</t>
        </is>
      </c>
      <c r="G235" t="inlineStr">
        <is>
          <t>SUNNE</t>
        </is>
      </c>
      <c r="I235" t="n">
        <v>16.4</v>
      </c>
      <c r="J235" t="n">
        <v>0</v>
      </c>
      <c r="K235" t="n">
        <v>0</v>
      </c>
      <c r="L235" t="n">
        <v>0</v>
      </c>
      <c r="M235" t="n">
        <v>0</v>
      </c>
      <c r="N235" t="n">
        <v>0</v>
      </c>
      <c r="O235" t="n">
        <v>0</v>
      </c>
      <c r="P235" t="n">
        <v>0</v>
      </c>
      <c r="Q235" t="n">
        <v>0</v>
      </c>
      <c r="R235" t="n">
        <v>0</v>
      </c>
      <c r="S235" t="n">
        <v>0</v>
      </c>
      <c r="T235" t="n">
        <v>0</v>
      </c>
      <c r="U235" s="2" t="inlineStr"/>
    </row>
    <row r="236" ht="15" customHeight="1">
      <c r="A236" t="inlineStr">
        <is>
          <t>A 45922-2021</t>
        </is>
      </c>
      <c r="B236" t="inlineStr">
        <is>
          <t>avverkningsanmälan</t>
        </is>
      </c>
      <c r="C236" t="inlineStr">
        <is>
          <t>Föryngringsavverkning</t>
        </is>
      </c>
      <c r="D236" s="1" t="n">
        <v>44441</v>
      </c>
      <c r="E236" s="1" t="n">
        <v>46219</v>
      </c>
      <c r="F236" t="inlineStr">
        <is>
          <t>VÄRMLANDS LÄN</t>
        </is>
      </c>
      <c r="G236" t="inlineStr">
        <is>
          <t>SUNNE</t>
        </is>
      </c>
      <c r="H236" t="inlineStr">
        <is>
          <t>Kommuner</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48814-2023</t>
        </is>
      </c>
      <c r="B237" t="inlineStr">
        <is>
          <t>avverkningsanmälan</t>
        </is>
      </c>
      <c r="C237" t="inlineStr">
        <is>
          <t>Föryngringsavverkning</t>
        </is>
      </c>
      <c r="D237" s="1" t="n">
        <v>45209</v>
      </c>
      <c r="E237" s="1" t="n">
        <v>46219</v>
      </c>
      <c r="F237" t="inlineStr">
        <is>
          <t>VÄRMLANDS LÄN</t>
        </is>
      </c>
      <c r="G237" t="inlineStr">
        <is>
          <t>SUNNE</t>
        </is>
      </c>
      <c r="I237" t="n">
        <v>7.7</v>
      </c>
      <c r="J237" t="n">
        <v>0</v>
      </c>
      <c r="K237" t="n">
        <v>0</v>
      </c>
      <c r="L237" t="n">
        <v>0</v>
      </c>
      <c r="M237" t="n">
        <v>0</v>
      </c>
      <c r="N237" t="n">
        <v>0</v>
      </c>
      <c r="O237" t="n">
        <v>0</v>
      </c>
      <c r="P237" t="n">
        <v>0</v>
      </c>
      <c r="Q237" t="n">
        <v>0</v>
      </c>
      <c r="R237" t="n">
        <v>0</v>
      </c>
      <c r="S237" t="n">
        <v>0</v>
      </c>
      <c r="T237" t="n">
        <v>0</v>
      </c>
      <c r="U237" s="2" t="inlineStr"/>
    </row>
    <row r="238" ht="15" customHeight="1">
      <c r="A238" t="inlineStr">
        <is>
          <t>A 50827-2021</t>
        </is>
      </c>
      <c r="B238" t="inlineStr">
        <is>
          <t>avverkningsanmälan</t>
        </is>
      </c>
      <c r="C238" t="inlineStr">
        <is>
          <t>Föryngringsavverkning</t>
        </is>
      </c>
      <c r="D238" s="1" t="n">
        <v>44460</v>
      </c>
      <c r="E238" s="1" t="n">
        <v>46219</v>
      </c>
      <c r="F238" t="inlineStr">
        <is>
          <t>VÄRMLANDS LÄN</t>
        </is>
      </c>
      <c r="G238" t="inlineStr">
        <is>
          <t>SUNNE</t>
        </is>
      </c>
      <c r="I238" t="n">
        <v>3.2</v>
      </c>
      <c r="J238" t="n">
        <v>0</v>
      </c>
      <c r="K238" t="n">
        <v>0</v>
      </c>
      <c r="L238" t="n">
        <v>0</v>
      </c>
      <c r="M238" t="n">
        <v>0</v>
      </c>
      <c r="N238" t="n">
        <v>0</v>
      </c>
      <c r="O238" t="n">
        <v>0</v>
      </c>
      <c r="P238" t="n">
        <v>0</v>
      </c>
      <c r="Q238" t="n">
        <v>0</v>
      </c>
      <c r="R238" t="n">
        <v>0</v>
      </c>
      <c r="S238" t="n">
        <v>0</v>
      </c>
      <c r="T238" t="n">
        <v>0</v>
      </c>
      <c r="U238" s="2" t="inlineStr"/>
    </row>
    <row r="239" ht="15" customHeight="1">
      <c r="A239" t="inlineStr">
        <is>
          <t>A 31430-2022</t>
        </is>
      </c>
      <c r="B239" t="inlineStr">
        <is>
          <t>avverkningsanmälan</t>
        </is>
      </c>
      <c r="C239" t="inlineStr">
        <is>
          <t>Föryngringsavverkning</t>
        </is>
      </c>
      <c r="D239" s="1" t="n">
        <v>44774</v>
      </c>
      <c r="E239" s="1" t="n">
        <v>46219</v>
      </c>
      <c r="F239" t="inlineStr">
        <is>
          <t>VÄRMLANDS LÄN</t>
        </is>
      </c>
      <c r="G239" t="inlineStr">
        <is>
          <t>SUNNE</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43472-2021</t>
        </is>
      </c>
      <c r="B240" t="inlineStr">
        <is>
          <t>avverkningsanmälan</t>
        </is>
      </c>
      <c r="C240" t="inlineStr">
        <is>
          <t>Föryngringsavverkning</t>
        </is>
      </c>
      <c r="D240" s="1" t="n">
        <v>44432</v>
      </c>
      <c r="E240" s="1" t="n">
        <v>46219</v>
      </c>
      <c r="F240" t="inlineStr">
        <is>
          <t>VÄRMLANDS LÄN</t>
        </is>
      </c>
      <c r="G240" t="inlineStr">
        <is>
          <t>SUNNE</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14571-2025</t>
        </is>
      </c>
      <c r="B241" t="inlineStr">
        <is>
          <t>avverkningsanmälan</t>
        </is>
      </c>
      <c r="C241" t="inlineStr">
        <is>
          <t>Föryngringsavverkning</t>
        </is>
      </c>
      <c r="D241" s="1" t="n">
        <v>45741</v>
      </c>
      <c r="E241" s="1" t="n">
        <v>46219</v>
      </c>
      <c r="F241" t="inlineStr">
        <is>
          <t>VÄRMLANDS LÄN</t>
        </is>
      </c>
      <c r="G241" t="inlineStr">
        <is>
          <t>SUNNE</t>
        </is>
      </c>
      <c r="I241" t="n">
        <v>6.7</v>
      </c>
      <c r="J241" t="n">
        <v>0</v>
      </c>
      <c r="K241" t="n">
        <v>0</v>
      </c>
      <c r="L241" t="n">
        <v>0</v>
      </c>
      <c r="M241" t="n">
        <v>0</v>
      </c>
      <c r="N241" t="n">
        <v>0</v>
      </c>
      <c r="O241" t="n">
        <v>0</v>
      </c>
      <c r="P241" t="n">
        <v>0</v>
      </c>
      <c r="Q241" t="n">
        <v>0</v>
      </c>
      <c r="R241" t="n">
        <v>0</v>
      </c>
      <c r="S241" t="n">
        <v>0</v>
      </c>
      <c r="T241" t="n">
        <v>0</v>
      </c>
      <c r="U241" s="2" t="inlineStr"/>
    </row>
    <row r="242" ht="15" customHeight="1">
      <c r="A242" t="inlineStr">
        <is>
          <t>A 63356-2021</t>
        </is>
      </c>
      <c r="B242" t="inlineStr">
        <is>
          <t>avverkningsanmälan</t>
        </is>
      </c>
      <c r="C242" t="inlineStr">
        <is>
          <t>Föryngringsavverkning</t>
        </is>
      </c>
      <c r="D242" s="1" t="n">
        <v>44508</v>
      </c>
      <c r="E242" s="1" t="n">
        <v>46219</v>
      </c>
      <c r="F242" t="inlineStr">
        <is>
          <t>VÄRMLANDS LÄN</t>
        </is>
      </c>
      <c r="G242" t="inlineStr">
        <is>
          <t>SUNNE</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28876-2022</t>
        </is>
      </c>
      <c r="B243" t="inlineStr">
        <is>
          <t>avverkningsanmälan</t>
        </is>
      </c>
      <c r="C243" t="inlineStr">
        <is>
          <t>Föryngringsavverkning</t>
        </is>
      </c>
      <c r="D243" s="1" t="n">
        <v>44749</v>
      </c>
      <c r="E243" s="1" t="n">
        <v>46219</v>
      </c>
      <c r="F243" t="inlineStr">
        <is>
          <t>VÄRMLANDS LÄN</t>
        </is>
      </c>
      <c r="G243" t="inlineStr">
        <is>
          <t>SUNNE</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45299-2021</t>
        </is>
      </c>
      <c r="B244" t="inlineStr">
        <is>
          <t>avverkningsanmälan</t>
        </is>
      </c>
      <c r="C244" t="inlineStr">
        <is>
          <t>Föryngringsavverkning</t>
        </is>
      </c>
      <c r="D244" s="1" t="n">
        <v>44439</v>
      </c>
      <c r="E244" s="1" t="n">
        <v>46219</v>
      </c>
      <c r="F244" t="inlineStr">
        <is>
          <t>VÄRMLANDS LÄN</t>
        </is>
      </c>
      <c r="G244" t="inlineStr">
        <is>
          <t>SUNNE</t>
        </is>
      </c>
      <c r="I244" t="n">
        <v>3.9</v>
      </c>
      <c r="J244" t="n">
        <v>0</v>
      </c>
      <c r="K244" t="n">
        <v>0</v>
      </c>
      <c r="L244" t="n">
        <v>0</v>
      </c>
      <c r="M244" t="n">
        <v>0</v>
      </c>
      <c r="N244" t="n">
        <v>0</v>
      </c>
      <c r="O244" t="n">
        <v>0</v>
      </c>
      <c r="P244" t="n">
        <v>0</v>
      </c>
      <c r="Q244" t="n">
        <v>0</v>
      </c>
      <c r="R244" t="n">
        <v>0</v>
      </c>
      <c r="S244" t="n">
        <v>0</v>
      </c>
      <c r="T244" t="n">
        <v>0</v>
      </c>
      <c r="U244" s="2" t="inlineStr"/>
    </row>
    <row r="245" ht="15" customHeight="1">
      <c r="A245" t="inlineStr">
        <is>
          <t>A 39454-2024</t>
        </is>
      </c>
      <c r="B245" t="inlineStr">
        <is>
          <t>avverkningsanmälan</t>
        </is>
      </c>
      <c r="C245" t="inlineStr">
        <is>
          <t>Föryngringsavverkning</t>
        </is>
      </c>
      <c r="D245" s="1" t="n">
        <v>45551</v>
      </c>
      <c r="E245" s="1" t="n">
        <v>46219</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11424-2022</t>
        </is>
      </c>
      <c r="B246" t="inlineStr">
        <is>
          <t>avverkningsanmälan</t>
        </is>
      </c>
      <c r="C246" t="inlineStr">
        <is>
          <t>Föryngringsavverkning</t>
        </is>
      </c>
      <c r="D246" s="1" t="n">
        <v>44630</v>
      </c>
      <c r="E246" s="1" t="n">
        <v>46219</v>
      </c>
      <c r="F246" t="inlineStr">
        <is>
          <t>VÄRMLANDS LÄN</t>
        </is>
      </c>
      <c r="G246" t="inlineStr">
        <is>
          <t>SUNNE</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42705-2021</t>
        </is>
      </c>
      <c r="B247" t="inlineStr">
        <is>
          <t>avverkningsanmälan</t>
        </is>
      </c>
      <c r="C247" t="inlineStr">
        <is>
          <t>Föryngringsavverkning</t>
        </is>
      </c>
      <c r="D247" s="1" t="n">
        <v>44428</v>
      </c>
      <c r="E247" s="1" t="n">
        <v>46219</v>
      </c>
      <c r="F247" t="inlineStr">
        <is>
          <t>VÄRMLANDS LÄN</t>
        </is>
      </c>
      <c r="G247" t="inlineStr">
        <is>
          <t>SUNNE</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13035-2025</t>
        </is>
      </c>
      <c r="B248" t="inlineStr">
        <is>
          <t>avverkningsanmälan</t>
        </is>
      </c>
      <c r="C248" t="inlineStr">
        <is>
          <t>Föryngringsavverkning</t>
        </is>
      </c>
      <c r="D248" s="1" t="n">
        <v>45734</v>
      </c>
      <c r="E248" s="1" t="n">
        <v>46219</v>
      </c>
      <c r="F248" t="inlineStr">
        <is>
          <t>VÄRMLANDS LÄN</t>
        </is>
      </c>
      <c r="G248" t="inlineStr">
        <is>
          <t>SUNNE</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49887-2021</t>
        </is>
      </c>
      <c r="B249" t="inlineStr">
        <is>
          <t>avverkningsanmälan</t>
        </is>
      </c>
      <c r="C249" t="inlineStr">
        <is>
          <t>Föryngringsavverkning</t>
        </is>
      </c>
      <c r="D249" s="1" t="n">
        <v>44455</v>
      </c>
      <c r="E249" s="1" t="n">
        <v>46219</v>
      </c>
      <c r="F249" t="inlineStr">
        <is>
          <t>VÄRMLANDS LÄN</t>
        </is>
      </c>
      <c r="G249" t="inlineStr">
        <is>
          <t>SUNNE</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13728-2023</t>
        </is>
      </c>
      <c r="B250" t="inlineStr">
        <is>
          <t>avverkningsanmälan</t>
        </is>
      </c>
      <c r="C250" t="inlineStr">
        <is>
          <t>Föryngringsavverkning</t>
        </is>
      </c>
      <c r="D250" s="1" t="n">
        <v>45007</v>
      </c>
      <c r="E250" s="1" t="n">
        <v>46219</v>
      </c>
      <c r="F250" t="inlineStr">
        <is>
          <t>VÄRMLANDS LÄN</t>
        </is>
      </c>
      <c r="G250" t="inlineStr">
        <is>
          <t>SUNNE</t>
        </is>
      </c>
      <c r="I250" t="n">
        <v>3.7</v>
      </c>
      <c r="J250" t="n">
        <v>0</v>
      </c>
      <c r="K250" t="n">
        <v>0</v>
      </c>
      <c r="L250" t="n">
        <v>0</v>
      </c>
      <c r="M250" t="n">
        <v>0</v>
      </c>
      <c r="N250" t="n">
        <v>0</v>
      </c>
      <c r="O250" t="n">
        <v>0</v>
      </c>
      <c r="P250" t="n">
        <v>0</v>
      </c>
      <c r="Q250" t="n">
        <v>0</v>
      </c>
      <c r="R250" t="n">
        <v>0</v>
      </c>
      <c r="S250" t="n">
        <v>0</v>
      </c>
      <c r="T250" t="n">
        <v>0</v>
      </c>
      <c r="U250" s="2" t="inlineStr"/>
    </row>
    <row r="251" ht="15" customHeight="1">
      <c r="A251" t="inlineStr">
        <is>
          <t>A 18406-2022</t>
        </is>
      </c>
      <c r="B251" t="inlineStr">
        <is>
          <t>avverkningsanmälan</t>
        </is>
      </c>
      <c r="C251" t="inlineStr">
        <is>
          <t>Föryngringsavverkning</t>
        </is>
      </c>
      <c r="D251" s="1" t="n">
        <v>44686</v>
      </c>
      <c r="E251" s="1" t="n">
        <v>46219</v>
      </c>
      <c r="F251" t="inlineStr">
        <is>
          <t>VÄRMLANDS LÄN</t>
        </is>
      </c>
      <c r="G251" t="inlineStr">
        <is>
          <t>SUNNE</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51194-2021</t>
        </is>
      </c>
      <c r="B252" t="inlineStr">
        <is>
          <t>avverkningsanmälan</t>
        </is>
      </c>
      <c r="C252" t="inlineStr">
        <is>
          <t>Föryngringsavverkning</t>
        </is>
      </c>
      <c r="D252" s="1" t="n">
        <v>44461</v>
      </c>
      <c r="E252" s="1" t="n">
        <v>46219</v>
      </c>
      <c r="F252" t="inlineStr">
        <is>
          <t>VÄRMLANDS LÄN</t>
        </is>
      </c>
      <c r="G252" t="inlineStr">
        <is>
          <t>SUNNE</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12442-2022</t>
        </is>
      </c>
      <c r="B253" t="inlineStr">
        <is>
          <t>avverkningsanmälan</t>
        </is>
      </c>
      <c r="C253" t="inlineStr">
        <is>
          <t>Föryngringsavverkning</t>
        </is>
      </c>
      <c r="D253" s="1" t="n">
        <v>44638</v>
      </c>
      <c r="E253" s="1" t="n">
        <v>46219</v>
      </c>
      <c r="F253" t="inlineStr">
        <is>
          <t>VÄRMLANDS LÄN</t>
        </is>
      </c>
      <c r="G253" t="inlineStr">
        <is>
          <t>SUNNE</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46683-2022</t>
        </is>
      </c>
      <c r="B254" t="inlineStr">
        <is>
          <t>avverkningsanmälan</t>
        </is>
      </c>
      <c r="C254" t="inlineStr">
        <is>
          <t>Föryngringsavverkning</t>
        </is>
      </c>
      <c r="D254" s="1" t="n">
        <v>44851</v>
      </c>
      <c r="E254" s="1" t="n">
        <v>46219</v>
      </c>
      <c r="F254" t="inlineStr">
        <is>
          <t>VÄRMLANDS LÄN</t>
        </is>
      </c>
      <c r="G254" t="inlineStr">
        <is>
          <t>SUNNE</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19543-2025</t>
        </is>
      </c>
      <c r="B255" t="inlineStr">
        <is>
          <t>avverkningsanmälan</t>
        </is>
      </c>
      <c r="C255" t="inlineStr">
        <is>
          <t>Föryngringsavverkning</t>
        </is>
      </c>
      <c r="D255" s="1" t="n">
        <v>45770</v>
      </c>
      <c r="E255" s="1" t="n">
        <v>46219</v>
      </c>
      <c r="F255" t="inlineStr">
        <is>
          <t>VÄRMLANDS LÄN</t>
        </is>
      </c>
      <c r="G255" t="inlineStr">
        <is>
          <t>SUNNE</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13306-2025</t>
        </is>
      </c>
      <c r="B256" t="inlineStr">
        <is>
          <t>avverkningsanmälan</t>
        </is>
      </c>
      <c r="C256" t="inlineStr">
        <is>
          <t>Föryngringsavverkning</t>
        </is>
      </c>
      <c r="D256" s="1" t="n">
        <v>45735</v>
      </c>
      <c r="E256" s="1" t="n">
        <v>46219</v>
      </c>
      <c r="F256" t="inlineStr">
        <is>
          <t>VÄRMLANDS LÄN</t>
        </is>
      </c>
      <c r="G256" t="inlineStr">
        <is>
          <t>SUNNE</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42985-2023</t>
        </is>
      </c>
      <c r="B257" t="inlineStr">
        <is>
          <t>avverkningsanmälan</t>
        </is>
      </c>
      <c r="C257" t="inlineStr">
        <is>
          <t>Föryngringsavverkning</t>
        </is>
      </c>
      <c r="D257" s="1" t="n">
        <v>45182</v>
      </c>
      <c r="E257" s="1" t="n">
        <v>46219</v>
      </c>
      <c r="F257" t="inlineStr">
        <is>
          <t>VÄRMLANDS LÄN</t>
        </is>
      </c>
      <c r="G257" t="inlineStr">
        <is>
          <t>SUNNE</t>
        </is>
      </c>
      <c r="I257" t="n">
        <v>5.6</v>
      </c>
      <c r="J257" t="n">
        <v>0</v>
      </c>
      <c r="K257" t="n">
        <v>0</v>
      </c>
      <c r="L257" t="n">
        <v>0</v>
      </c>
      <c r="M257" t="n">
        <v>0</v>
      </c>
      <c r="N257" t="n">
        <v>0</v>
      </c>
      <c r="O257" t="n">
        <v>0</v>
      </c>
      <c r="P257" t="n">
        <v>0</v>
      </c>
      <c r="Q257" t="n">
        <v>0</v>
      </c>
      <c r="R257" t="n">
        <v>0</v>
      </c>
      <c r="S257" t="n">
        <v>0</v>
      </c>
      <c r="T257" t="n">
        <v>0</v>
      </c>
      <c r="U257" s="2" t="inlineStr"/>
    </row>
    <row r="258" ht="15" customHeight="1">
      <c r="A258" t="inlineStr">
        <is>
          <t>A 13880-2025</t>
        </is>
      </c>
      <c r="B258" t="inlineStr">
        <is>
          <t>avverkningsanmälan</t>
        </is>
      </c>
      <c r="C258" t="inlineStr">
        <is>
          <t>Föryngringsavverkning</t>
        </is>
      </c>
      <c r="D258" s="1" t="n">
        <v>45737</v>
      </c>
      <c r="E258" s="1" t="n">
        <v>46219</v>
      </c>
      <c r="F258" t="inlineStr">
        <is>
          <t>VÄRMLANDS LÄN</t>
        </is>
      </c>
      <c r="G258" t="inlineStr">
        <is>
          <t>SUNNE</t>
        </is>
      </c>
      <c r="H258" t="inlineStr">
        <is>
          <t>Kommuner</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14743-2025</t>
        </is>
      </c>
      <c r="B259" t="inlineStr">
        <is>
          <t>avverkningsanmälan</t>
        </is>
      </c>
      <c r="C259" t="inlineStr">
        <is>
          <t>Föryngringsavverkning</t>
        </is>
      </c>
      <c r="D259" s="1" t="n">
        <v>45742</v>
      </c>
      <c r="E259" s="1" t="n">
        <v>46219</v>
      </c>
      <c r="F259" t="inlineStr">
        <is>
          <t>VÄRMLANDS LÄN</t>
        </is>
      </c>
      <c r="G259" t="inlineStr">
        <is>
          <t>SUNNE</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14874-2025</t>
        </is>
      </c>
      <c r="B260" t="inlineStr">
        <is>
          <t>avverkningsanmälan</t>
        </is>
      </c>
      <c r="C260" t="inlineStr">
        <is>
          <t>Föryngringsavverkning</t>
        </is>
      </c>
      <c r="D260" s="1" t="n">
        <v>45743</v>
      </c>
      <c r="E260" s="1" t="n">
        <v>46219</v>
      </c>
      <c r="F260" t="inlineStr">
        <is>
          <t>VÄRMLANDS LÄN</t>
        </is>
      </c>
      <c r="G260" t="inlineStr">
        <is>
          <t>SUNNE</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32393-2022</t>
        </is>
      </c>
      <c r="B261" t="inlineStr">
        <is>
          <t>avverkningsanmälan</t>
        </is>
      </c>
      <c r="C261" t="inlineStr">
        <is>
          <t>Föryngringsavverkning</t>
        </is>
      </c>
      <c r="D261" s="1" t="n">
        <v>44781</v>
      </c>
      <c r="E261" s="1" t="n">
        <v>46219</v>
      </c>
      <c r="F261" t="inlineStr">
        <is>
          <t>VÄRMLANDS LÄN</t>
        </is>
      </c>
      <c r="G261" t="inlineStr">
        <is>
          <t>SUNNE</t>
        </is>
      </c>
      <c r="I261" t="n">
        <v>4</v>
      </c>
      <c r="J261" t="n">
        <v>0</v>
      </c>
      <c r="K261" t="n">
        <v>0</v>
      </c>
      <c r="L261" t="n">
        <v>0</v>
      </c>
      <c r="M261" t="n">
        <v>0</v>
      </c>
      <c r="N261" t="n">
        <v>0</v>
      </c>
      <c r="O261" t="n">
        <v>0</v>
      </c>
      <c r="P261" t="n">
        <v>0</v>
      </c>
      <c r="Q261" t="n">
        <v>0</v>
      </c>
      <c r="R261" t="n">
        <v>0</v>
      </c>
      <c r="S261" t="n">
        <v>0</v>
      </c>
      <c r="T261" t="n">
        <v>0</v>
      </c>
      <c r="U261" s="2" t="inlineStr"/>
    </row>
    <row r="262" ht="15" customHeight="1">
      <c r="A262" t="inlineStr">
        <is>
          <t>A 51046-2024</t>
        </is>
      </c>
      <c r="B262" t="inlineStr">
        <is>
          <t>avverkningsanmälan</t>
        </is>
      </c>
      <c r="C262" t="inlineStr">
        <is>
          <t>Föryngringsavverkning</t>
        </is>
      </c>
      <c r="D262" s="1" t="n">
        <v>45603</v>
      </c>
      <c r="E262" s="1" t="n">
        <v>46219</v>
      </c>
      <c r="F262" t="inlineStr">
        <is>
          <t>VÄRMLANDS LÄN</t>
        </is>
      </c>
      <c r="G262" t="inlineStr">
        <is>
          <t>SUNNE</t>
        </is>
      </c>
      <c r="H262" t="inlineStr">
        <is>
          <t>Bergvik skog väst AB</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45473-2023</t>
        </is>
      </c>
      <c r="B263" t="inlineStr">
        <is>
          <t>avverkningsanmälan</t>
        </is>
      </c>
      <c r="C263" t="inlineStr">
        <is>
          <t>Föryngringsavverkning</t>
        </is>
      </c>
      <c r="D263" s="1" t="n">
        <v>45188</v>
      </c>
      <c r="E263" s="1" t="n">
        <v>46219</v>
      </c>
      <c r="F263" t="inlineStr">
        <is>
          <t>VÄRMLANDS LÄN</t>
        </is>
      </c>
      <c r="G263" t="inlineStr">
        <is>
          <t>SUNNE</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11640-2023</t>
        </is>
      </c>
      <c r="B264" t="inlineStr">
        <is>
          <t>avverkningsanmälan</t>
        </is>
      </c>
      <c r="C264" t="inlineStr">
        <is>
          <t>Föryngringsavverkning</t>
        </is>
      </c>
      <c r="D264" s="1" t="n">
        <v>44994</v>
      </c>
      <c r="E264" s="1" t="n">
        <v>46219</v>
      </c>
      <c r="F264" t="inlineStr">
        <is>
          <t>VÄRMLANDS LÄN</t>
        </is>
      </c>
      <c r="G264" t="inlineStr">
        <is>
          <t>SUNNE</t>
        </is>
      </c>
      <c r="I264" t="n">
        <v>3.1</v>
      </c>
      <c r="J264" t="n">
        <v>0</v>
      </c>
      <c r="K264" t="n">
        <v>0</v>
      </c>
      <c r="L264" t="n">
        <v>0</v>
      </c>
      <c r="M264" t="n">
        <v>0</v>
      </c>
      <c r="N264" t="n">
        <v>0</v>
      </c>
      <c r="O264" t="n">
        <v>0</v>
      </c>
      <c r="P264" t="n">
        <v>0</v>
      </c>
      <c r="Q264" t="n">
        <v>0</v>
      </c>
      <c r="R264" t="n">
        <v>0</v>
      </c>
      <c r="S264" t="n">
        <v>0</v>
      </c>
      <c r="T264" t="n">
        <v>0</v>
      </c>
      <c r="U264" s="2" t="inlineStr"/>
    </row>
    <row r="265" ht="15" customHeight="1">
      <c r="A265" t="inlineStr">
        <is>
          <t>A 37290-2022</t>
        </is>
      </c>
      <c r="B265" t="inlineStr">
        <is>
          <t>avverkningsanmälan</t>
        </is>
      </c>
      <c r="C265" t="inlineStr">
        <is>
          <t>Föryngringsavverkning</t>
        </is>
      </c>
      <c r="D265" s="1" t="n">
        <v>44808</v>
      </c>
      <c r="E265" s="1" t="n">
        <v>46219</v>
      </c>
      <c r="F265" t="inlineStr">
        <is>
          <t>VÄRMLANDS LÄN</t>
        </is>
      </c>
      <c r="G265" t="inlineStr">
        <is>
          <t>SUNNE</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41954-2023</t>
        </is>
      </c>
      <c r="B266" t="inlineStr">
        <is>
          <t>avverkningsanmälan</t>
        </is>
      </c>
      <c r="C266" t="inlineStr">
        <is>
          <t>Föryngringsavverkning</t>
        </is>
      </c>
      <c r="D266" s="1" t="n">
        <v>45177</v>
      </c>
      <c r="E266" s="1" t="n">
        <v>46219</v>
      </c>
      <c r="F266" t="inlineStr">
        <is>
          <t>VÄRMLANDS LÄN</t>
        </is>
      </c>
      <c r="G266" t="inlineStr">
        <is>
          <t>SUNNE</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8714-2025</t>
        </is>
      </c>
      <c r="B267" t="inlineStr">
        <is>
          <t>avverkningsanmälan</t>
        </is>
      </c>
      <c r="C267" t="inlineStr">
        <is>
          <t>Föryngringsavverkning</t>
        </is>
      </c>
      <c r="D267" s="1" t="n">
        <v>45712</v>
      </c>
      <c r="E267" s="1" t="n">
        <v>46219</v>
      </c>
      <c r="F267" t="inlineStr">
        <is>
          <t>VÄRMLANDS LÄN</t>
        </is>
      </c>
      <c r="G267" t="inlineStr">
        <is>
          <t>SUNNE</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30853-2024</t>
        </is>
      </c>
      <c r="B268" t="inlineStr">
        <is>
          <t>avverkningsanmälan</t>
        </is>
      </c>
      <c r="C268" t="inlineStr">
        <is>
          <t>Föryngringsavverkning</t>
        </is>
      </c>
      <c r="D268" s="1" t="n">
        <v>45497</v>
      </c>
      <c r="E268" s="1" t="n">
        <v>46219</v>
      </c>
      <c r="F268" t="inlineStr">
        <is>
          <t>VÄRMLANDS LÄN</t>
        </is>
      </c>
      <c r="G268" t="inlineStr">
        <is>
          <t>SUNNE</t>
        </is>
      </c>
      <c r="H268" t="inlineStr">
        <is>
          <t>Bergvik skog väst AB</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30855-2024</t>
        </is>
      </c>
      <c r="B269" t="inlineStr">
        <is>
          <t>avverkningsanmälan</t>
        </is>
      </c>
      <c r="C269" t="inlineStr">
        <is>
          <t>Föryngringsavverkning</t>
        </is>
      </c>
      <c r="D269" s="1" t="n">
        <v>45497</v>
      </c>
      <c r="E269" s="1" t="n">
        <v>46219</v>
      </c>
      <c r="F269" t="inlineStr">
        <is>
          <t>VÄRMLANDS LÄN</t>
        </is>
      </c>
      <c r="G269" t="inlineStr">
        <is>
          <t>SUNNE</t>
        </is>
      </c>
      <c r="H269" t="inlineStr">
        <is>
          <t>Bergvik skog väst AB</t>
        </is>
      </c>
      <c r="I269" t="n">
        <v>0.4</v>
      </c>
      <c r="J269" t="n">
        <v>0</v>
      </c>
      <c r="K269" t="n">
        <v>0</v>
      </c>
      <c r="L269" t="n">
        <v>0</v>
      </c>
      <c r="M269" t="n">
        <v>0</v>
      </c>
      <c r="N269" t="n">
        <v>0</v>
      </c>
      <c r="O269" t="n">
        <v>0</v>
      </c>
      <c r="P269" t="n">
        <v>0</v>
      </c>
      <c r="Q269" t="n">
        <v>0</v>
      </c>
      <c r="R269" t="n">
        <v>0</v>
      </c>
      <c r="S269" t="n">
        <v>0</v>
      </c>
      <c r="T269" t="n">
        <v>0</v>
      </c>
      <c r="U269" s="2" t="inlineStr"/>
    </row>
    <row r="270" ht="15" customHeight="1">
      <c r="A270" t="inlineStr">
        <is>
          <t>A 47278-2024</t>
        </is>
      </c>
      <c r="B270" t="inlineStr">
        <is>
          <t>avverkningsanmälan</t>
        </is>
      </c>
      <c r="C270" t="inlineStr">
        <is>
          <t>Föryngringsavverkning</t>
        </is>
      </c>
      <c r="D270" s="1" t="n">
        <v>45586</v>
      </c>
      <c r="E270" s="1" t="n">
        <v>46219</v>
      </c>
      <c r="F270" t="inlineStr">
        <is>
          <t>VÄRMLANDS LÄN</t>
        </is>
      </c>
      <c r="G270" t="inlineStr">
        <is>
          <t>SUNNE</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21925-2023</t>
        </is>
      </c>
      <c r="B271" t="inlineStr">
        <is>
          <t>avverkningsanmälan</t>
        </is>
      </c>
      <c r="C271" t="inlineStr">
        <is>
          <t>Föryngringsavverkning</t>
        </is>
      </c>
      <c r="D271" s="1" t="n">
        <v>45068</v>
      </c>
      <c r="E271" s="1" t="n">
        <v>46219</v>
      </c>
      <c r="F271" t="inlineStr">
        <is>
          <t>VÄRMLANDS LÄN</t>
        </is>
      </c>
      <c r="G271" t="inlineStr">
        <is>
          <t>SUNNE</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19340-2022</t>
        </is>
      </c>
      <c r="B272" t="inlineStr">
        <is>
          <t>avverkningsanmälan</t>
        </is>
      </c>
      <c r="C272" t="inlineStr">
        <is>
          <t>Föryngringsavverkning</t>
        </is>
      </c>
      <c r="D272" s="1" t="n">
        <v>44692</v>
      </c>
      <c r="E272" s="1" t="n">
        <v>46219</v>
      </c>
      <c r="F272" t="inlineStr">
        <is>
          <t>VÄRMLANDS LÄN</t>
        </is>
      </c>
      <c r="G272" t="inlineStr">
        <is>
          <t>SUNNE</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55900-2024</t>
        </is>
      </c>
      <c r="B273" t="inlineStr">
        <is>
          <t>avverkningsanmälan</t>
        </is>
      </c>
      <c r="C273" t="inlineStr">
        <is>
          <t>Föryngringsavverkning</t>
        </is>
      </c>
      <c r="D273" s="1" t="n">
        <v>45623</v>
      </c>
      <c r="E273" s="1" t="n">
        <v>46219</v>
      </c>
      <c r="F273" t="inlineStr">
        <is>
          <t>VÄRMLANDS LÄN</t>
        </is>
      </c>
      <c r="G273" t="inlineStr">
        <is>
          <t>SUNNE</t>
        </is>
      </c>
      <c r="H273" t="inlineStr">
        <is>
          <t>Övriga Aktiebolag</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62703-2023</t>
        </is>
      </c>
      <c r="B274" t="inlineStr">
        <is>
          <t>avverkningsanmälan</t>
        </is>
      </c>
      <c r="C274" t="inlineStr">
        <is>
          <t>Föryngringsavverkning</t>
        </is>
      </c>
      <c r="D274" s="1" t="n">
        <v>45271</v>
      </c>
      <c r="E274" s="1" t="n">
        <v>46219</v>
      </c>
      <c r="F274" t="inlineStr">
        <is>
          <t>VÄRMLANDS LÄN</t>
        </is>
      </c>
      <c r="G274" t="inlineStr">
        <is>
          <t>SUNNE</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11428-2023</t>
        </is>
      </c>
      <c r="B275" t="inlineStr">
        <is>
          <t>avverkningsanmälan</t>
        </is>
      </c>
      <c r="C275" t="inlineStr">
        <is>
          <t>Föryngringsavverkning</t>
        </is>
      </c>
      <c r="D275" s="1" t="n">
        <v>44993</v>
      </c>
      <c r="E275" s="1" t="n">
        <v>46219</v>
      </c>
      <c r="F275" t="inlineStr">
        <is>
          <t>VÄRMLANDS LÄN</t>
        </is>
      </c>
      <c r="G275" t="inlineStr">
        <is>
          <t>SUNNE</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45327-2021</t>
        </is>
      </c>
      <c r="B276" t="inlineStr">
        <is>
          <t>avverkningsanmälan</t>
        </is>
      </c>
      <c r="C276" t="inlineStr">
        <is>
          <t>Föryngringsavverkning</t>
        </is>
      </c>
      <c r="D276" s="1" t="n">
        <v>44439</v>
      </c>
      <c r="E276" s="1" t="n">
        <v>46219</v>
      </c>
      <c r="F276" t="inlineStr">
        <is>
          <t>VÄRMLANDS LÄN</t>
        </is>
      </c>
      <c r="G276" t="inlineStr">
        <is>
          <t>SUNNE</t>
        </is>
      </c>
      <c r="I276" t="n">
        <v>8</v>
      </c>
      <c r="J276" t="n">
        <v>0</v>
      </c>
      <c r="K276" t="n">
        <v>0</v>
      </c>
      <c r="L276" t="n">
        <v>0</v>
      </c>
      <c r="M276" t="n">
        <v>0</v>
      </c>
      <c r="N276" t="n">
        <v>0</v>
      </c>
      <c r="O276" t="n">
        <v>0</v>
      </c>
      <c r="P276" t="n">
        <v>0</v>
      </c>
      <c r="Q276" t="n">
        <v>0</v>
      </c>
      <c r="R276" t="n">
        <v>0</v>
      </c>
      <c r="S276" t="n">
        <v>0</v>
      </c>
      <c r="T276" t="n">
        <v>0</v>
      </c>
      <c r="U276" s="2" t="inlineStr"/>
    </row>
    <row r="277" ht="15" customHeight="1">
      <c r="A277" t="inlineStr">
        <is>
          <t>A 43305-2022</t>
        </is>
      </c>
      <c r="B277" t="inlineStr">
        <is>
          <t>avverkningsanmälan</t>
        </is>
      </c>
      <c r="C277" t="inlineStr">
        <is>
          <t>Föryngringsavverkning</t>
        </is>
      </c>
      <c r="D277" s="1" t="n">
        <v>44834</v>
      </c>
      <c r="E277" s="1" t="n">
        <v>46219</v>
      </c>
      <c r="F277" t="inlineStr">
        <is>
          <t>VÄRMLANDS LÄN</t>
        </is>
      </c>
      <c r="G277" t="inlineStr">
        <is>
          <t>SUNNE</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34295-2022</t>
        </is>
      </c>
      <c r="B278" t="inlineStr">
        <is>
          <t>avverkningsanmälan</t>
        </is>
      </c>
      <c r="C278" t="inlineStr">
        <is>
          <t>Föryngringsavverkning</t>
        </is>
      </c>
      <c r="D278" s="1" t="n">
        <v>44792</v>
      </c>
      <c r="E278" s="1" t="n">
        <v>46219</v>
      </c>
      <c r="F278" t="inlineStr">
        <is>
          <t>VÄRMLANDS LÄN</t>
        </is>
      </c>
      <c r="G278" t="inlineStr">
        <is>
          <t>SUNNE</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16864-2025</t>
        </is>
      </c>
      <c r="B279" t="inlineStr">
        <is>
          <t>avverkningsanmälan</t>
        </is>
      </c>
      <c r="C279" t="inlineStr">
        <is>
          <t>Föryngringsavverkning</t>
        </is>
      </c>
      <c r="D279" s="1" t="n">
        <v>45754</v>
      </c>
      <c r="E279" s="1" t="n">
        <v>46219</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64539-2023</t>
        </is>
      </c>
      <c r="B280" t="inlineStr">
        <is>
          <t>avverkningsanmälan</t>
        </is>
      </c>
      <c r="C280" t="inlineStr">
        <is>
          <t>Föryngringsavverkning</t>
        </is>
      </c>
      <c r="D280" s="1" t="n">
        <v>45281</v>
      </c>
      <c r="E280" s="1" t="n">
        <v>46219</v>
      </c>
      <c r="F280" t="inlineStr">
        <is>
          <t>VÄRMLANDS LÄN</t>
        </is>
      </c>
      <c r="G280" t="inlineStr">
        <is>
          <t>SUNNE</t>
        </is>
      </c>
      <c r="I280" t="n">
        <v>12.5</v>
      </c>
      <c r="J280" t="n">
        <v>0</v>
      </c>
      <c r="K280" t="n">
        <v>0</v>
      </c>
      <c r="L280" t="n">
        <v>0</v>
      </c>
      <c r="M280" t="n">
        <v>0</v>
      </c>
      <c r="N280" t="n">
        <v>0</v>
      </c>
      <c r="O280" t="n">
        <v>0</v>
      </c>
      <c r="P280" t="n">
        <v>0</v>
      </c>
      <c r="Q280" t="n">
        <v>0</v>
      </c>
      <c r="R280" t="n">
        <v>0</v>
      </c>
      <c r="S280" t="n">
        <v>0</v>
      </c>
      <c r="T280" t="n">
        <v>0</v>
      </c>
      <c r="U280" s="2" t="inlineStr"/>
    </row>
    <row r="281" ht="15" customHeight="1">
      <c r="A281" t="inlineStr">
        <is>
          <t>A 24796-2023</t>
        </is>
      </c>
      <c r="B281" t="inlineStr">
        <is>
          <t>avverkningsanmälan</t>
        </is>
      </c>
      <c r="C281" t="inlineStr">
        <is>
          <t>Föryngringsavverkning</t>
        </is>
      </c>
      <c r="D281" s="1" t="n">
        <v>45084</v>
      </c>
      <c r="E281" s="1" t="n">
        <v>46219</v>
      </c>
      <c r="F281" t="inlineStr">
        <is>
          <t>VÄRMLANDS LÄN</t>
        </is>
      </c>
      <c r="G281" t="inlineStr">
        <is>
          <t>SUNNE</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62183-2022</t>
        </is>
      </c>
      <c r="B282" t="inlineStr">
        <is>
          <t>avverkningsanmälan</t>
        </is>
      </c>
      <c r="C282" t="inlineStr">
        <is>
          <t>Föryngringsavverkning</t>
        </is>
      </c>
      <c r="D282" s="1" t="n">
        <v>44922</v>
      </c>
      <c r="E282" s="1" t="n">
        <v>46219</v>
      </c>
      <c r="F282" t="inlineStr">
        <is>
          <t>VÄRMLANDS LÄN</t>
        </is>
      </c>
      <c r="G282" t="inlineStr">
        <is>
          <t>SUNNE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3335-2024</t>
        </is>
      </c>
      <c r="B283" t="inlineStr">
        <is>
          <t>avverkningsanmälan</t>
        </is>
      </c>
      <c r="C283" t="inlineStr">
        <is>
          <t>Föryngringsavverkning</t>
        </is>
      </c>
      <c r="D283" s="1" t="n">
        <v>45317</v>
      </c>
      <c r="E283" s="1" t="n">
        <v>46219</v>
      </c>
      <c r="F283" t="inlineStr">
        <is>
          <t>VÄRMLANDS LÄN</t>
        </is>
      </c>
      <c r="G283" t="inlineStr">
        <is>
          <t>SUNNE</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27442-2022</t>
        </is>
      </c>
      <c r="B284" t="inlineStr">
        <is>
          <t>avverkningsanmälan</t>
        </is>
      </c>
      <c r="C284" t="inlineStr">
        <is>
          <t>Föryngringsavverkning</t>
        </is>
      </c>
      <c r="D284" s="1" t="n">
        <v>44742</v>
      </c>
      <c r="E284" s="1" t="n">
        <v>46219</v>
      </c>
      <c r="F284" t="inlineStr">
        <is>
          <t>VÄRMLANDS LÄN</t>
        </is>
      </c>
      <c r="G284" t="inlineStr">
        <is>
          <t>SUNNE</t>
        </is>
      </c>
      <c r="I284" t="n">
        <v>3.7</v>
      </c>
      <c r="J284" t="n">
        <v>0</v>
      </c>
      <c r="K284" t="n">
        <v>0</v>
      </c>
      <c r="L284" t="n">
        <v>0</v>
      </c>
      <c r="M284" t="n">
        <v>0</v>
      </c>
      <c r="N284" t="n">
        <v>0</v>
      </c>
      <c r="O284" t="n">
        <v>0</v>
      </c>
      <c r="P284" t="n">
        <v>0</v>
      </c>
      <c r="Q284" t="n">
        <v>0</v>
      </c>
      <c r="R284" t="n">
        <v>0</v>
      </c>
      <c r="S284" t="n">
        <v>0</v>
      </c>
      <c r="T284" t="n">
        <v>0</v>
      </c>
      <c r="U284" s="2" t="inlineStr"/>
    </row>
    <row r="285" ht="15" customHeight="1">
      <c r="A285" t="inlineStr">
        <is>
          <t>A 12527-2024</t>
        </is>
      </c>
      <c r="B285" t="inlineStr">
        <is>
          <t>avverkningsanmälan</t>
        </is>
      </c>
      <c r="C285" t="inlineStr">
        <is>
          <t>Föryngringsavverkning</t>
        </is>
      </c>
      <c r="D285" s="1" t="n">
        <v>45379</v>
      </c>
      <c r="E285" s="1" t="n">
        <v>46219</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17042-2023</t>
        </is>
      </c>
      <c r="B286" t="inlineStr">
        <is>
          <t>avverkningsanmälan</t>
        </is>
      </c>
      <c r="C286" t="inlineStr">
        <is>
          <t>Föryngringsavverkning</t>
        </is>
      </c>
      <c r="D286" s="1" t="n">
        <v>45034</v>
      </c>
      <c r="E286" s="1" t="n">
        <v>46219</v>
      </c>
      <c r="F286" t="inlineStr">
        <is>
          <t>VÄRMLANDS LÄN</t>
        </is>
      </c>
      <c r="G286" t="inlineStr">
        <is>
          <t>SUNNE</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17124-2024</t>
        </is>
      </c>
      <c r="B287" t="inlineStr">
        <is>
          <t>avverkningsanmälan</t>
        </is>
      </c>
      <c r="C287" t="inlineStr">
        <is>
          <t>Föryngringsavverkning</t>
        </is>
      </c>
      <c r="D287" s="1" t="n">
        <v>45412</v>
      </c>
      <c r="E287" s="1" t="n">
        <v>46219</v>
      </c>
      <c r="F287" t="inlineStr">
        <is>
          <t>VÄRMLANDS LÄN</t>
        </is>
      </c>
      <c r="G287" t="inlineStr">
        <is>
          <t>SUNNE</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34541-2022</t>
        </is>
      </c>
      <c r="B288" t="inlineStr">
        <is>
          <t>avverkningsanmälan</t>
        </is>
      </c>
      <c r="C288" t="inlineStr">
        <is>
          <t>Föryngringsavverkning</t>
        </is>
      </c>
      <c r="D288" s="1" t="n">
        <v>44793</v>
      </c>
      <c r="E288" s="1" t="n">
        <v>46219</v>
      </c>
      <c r="F288" t="inlineStr">
        <is>
          <t>VÄRMLANDS LÄN</t>
        </is>
      </c>
      <c r="G288" t="inlineStr">
        <is>
          <t>SUNNE</t>
        </is>
      </c>
      <c r="I288" t="n">
        <v>3.4</v>
      </c>
      <c r="J288" t="n">
        <v>0</v>
      </c>
      <c r="K288" t="n">
        <v>0</v>
      </c>
      <c r="L288" t="n">
        <v>0</v>
      </c>
      <c r="M288" t="n">
        <v>0</v>
      </c>
      <c r="N288" t="n">
        <v>0</v>
      </c>
      <c r="O288" t="n">
        <v>0</v>
      </c>
      <c r="P288" t="n">
        <v>0</v>
      </c>
      <c r="Q288" t="n">
        <v>0</v>
      </c>
      <c r="R288" t="n">
        <v>0</v>
      </c>
      <c r="S288" t="n">
        <v>0</v>
      </c>
      <c r="T288" t="n">
        <v>0</v>
      </c>
      <c r="U288" s="2" t="inlineStr"/>
    </row>
    <row r="289" ht="15" customHeight="1">
      <c r="A289" t="inlineStr">
        <is>
          <t>A 17030-2023</t>
        </is>
      </c>
      <c r="B289" t="inlineStr">
        <is>
          <t>avverkningsanmälan</t>
        </is>
      </c>
      <c r="C289" t="inlineStr">
        <is>
          <t>Föryngringsavverkning</t>
        </is>
      </c>
      <c r="D289" s="1" t="n">
        <v>45034</v>
      </c>
      <c r="E289" s="1" t="n">
        <v>46219</v>
      </c>
      <c r="F289" t="inlineStr">
        <is>
          <t>VÄRMLANDS LÄN</t>
        </is>
      </c>
      <c r="G289" t="inlineStr">
        <is>
          <t>SUNNE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68000-2021</t>
        </is>
      </c>
      <c r="B290" t="inlineStr">
        <is>
          <t>avverkningsanmälan</t>
        </is>
      </c>
      <c r="C290" t="inlineStr">
        <is>
          <t>Föryngringsavverkning</t>
        </is>
      </c>
      <c r="D290" s="1" t="n">
        <v>44525</v>
      </c>
      <c r="E290" s="1" t="n">
        <v>46219</v>
      </c>
      <c r="F290" t="inlineStr">
        <is>
          <t>VÄRMLANDS LÄN</t>
        </is>
      </c>
      <c r="G290" t="inlineStr">
        <is>
          <t>SUNNE</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52467-2024</t>
        </is>
      </c>
      <c r="B291" t="inlineStr">
        <is>
          <t>avverkningsanmälan</t>
        </is>
      </c>
      <c r="C291" t="inlineStr">
        <is>
          <t>Föryngringsavverkning</t>
        </is>
      </c>
      <c r="D291" s="1" t="n">
        <v>45609</v>
      </c>
      <c r="E291" s="1" t="n">
        <v>46219</v>
      </c>
      <c r="F291" t="inlineStr">
        <is>
          <t>VÄRMLANDS LÄN</t>
        </is>
      </c>
      <c r="G291" t="inlineStr">
        <is>
          <t>SUNNE</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29742-2023</t>
        </is>
      </c>
      <c r="B292" t="inlineStr">
        <is>
          <t>avverkningsanmälan</t>
        </is>
      </c>
      <c r="C292" t="inlineStr">
        <is>
          <t>Föryngringsavverkning</t>
        </is>
      </c>
      <c r="D292" s="1" t="n">
        <v>45107</v>
      </c>
      <c r="E292" s="1" t="n">
        <v>46219</v>
      </c>
      <c r="F292" t="inlineStr">
        <is>
          <t>VÄRMLANDS LÄN</t>
        </is>
      </c>
      <c r="G292" t="inlineStr">
        <is>
          <t>SUNNE</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10232-2024</t>
        </is>
      </c>
      <c r="B293" t="inlineStr">
        <is>
          <t>avverkningsanmälan</t>
        </is>
      </c>
      <c r="C293" t="inlineStr">
        <is>
          <t>Föryngringsavverkning</t>
        </is>
      </c>
      <c r="D293" s="1" t="n">
        <v>45365</v>
      </c>
      <c r="E293" s="1" t="n">
        <v>46219</v>
      </c>
      <c r="F293" t="inlineStr">
        <is>
          <t>VÄRMLANDS LÄN</t>
        </is>
      </c>
      <c r="G293" t="inlineStr">
        <is>
          <t>SUNNE</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56744-2024</t>
        </is>
      </c>
      <c r="B294" t="inlineStr">
        <is>
          <t>avverkningsanmälan</t>
        </is>
      </c>
      <c r="C294" t="inlineStr">
        <is>
          <t>Föryngringsavverkning</t>
        </is>
      </c>
      <c r="D294" s="1" t="n">
        <v>45628</v>
      </c>
      <c r="E294" s="1" t="n">
        <v>46219</v>
      </c>
      <c r="F294" t="inlineStr">
        <is>
          <t>VÄRMLANDS LÄN</t>
        </is>
      </c>
      <c r="G294" t="inlineStr">
        <is>
          <t>SUNNE</t>
        </is>
      </c>
      <c r="I294" t="n">
        <v>6.9</v>
      </c>
      <c r="J294" t="n">
        <v>0</v>
      </c>
      <c r="K294" t="n">
        <v>0</v>
      </c>
      <c r="L294" t="n">
        <v>0</v>
      </c>
      <c r="M294" t="n">
        <v>0</v>
      </c>
      <c r="N294" t="n">
        <v>0</v>
      </c>
      <c r="O294" t="n">
        <v>0</v>
      </c>
      <c r="P294" t="n">
        <v>0</v>
      </c>
      <c r="Q294" t="n">
        <v>0</v>
      </c>
      <c r="R294" t="n">
        <v>0</v>
      </c>
      <c r="S294" t="n">
        <v>0</v>
      </c>
      <c r="T294" t="n">
        <v>0</v>
      </c>
      <c r="U294" s="2" t="inlineStr"/>
    </row>
    <row r="295" ht="15" customHeight="1">
      <c r="A295" t="inlineStr">
        <is>
          <t>A 6328-2023</t>
        </is>
      </c>
      <c r="B295" t="inlineStr">
        <is>
          <t>avverkningsanmälan</t>
        </is>
      </c>
      <c r="C295" t="inlineStr">
        <is>
          <t>Föryngringsavverkning</t>
        </is>
      </c>
      <c r="D295" s="1" t="n">
        <v>44965</v>
      </c>
      <c r="E295" s="1" t="n">
        <v>46219</v>
      </c>
      <c r="F295" t="inlineStr">
        <is>
          <t>VÄRMLANDS LÄN</t>
        </is>
      </c>
      <c r="G295" t="inlineStr">
        <is>
          <t>SUNNE</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36310-2022</t>
        </is>
      </c>
      <c r="B296" t="inlineStr">
        <is>
          <t>avverkningsanmälan</t>
        </is>
      </c>
      <c r="C296" t="inlineStr">
        <is>
          <t>Föryngringsavverkning</t>
        </is>
      </c>
      <c r="D296" s="1" t="n">
        <v>44803</v>
      </c>
      <c r="E296" s="1" t="n">
        <v>46219</v>
      </c>
      <c r="F296" t="inlineStr">
        <is>
          <t>VÄRMLANDS LÄN</t>
        </is>
      </c>
      <c r="G296" t="inlineStr">
        <is>
          <t>SUNNE</t>
        </is>
      </c>
      <c r="I296" t="n">
        <v>3.1</v>
      </c>
      <c r="J296" t="n">
        <v>0</v>
      </c>
      <c r="K296" t="n">
        <v>0</v>
      </c>
      <c r="L296" t="n">
        <v>0</v>
      </c>
      <c r="M296" t="n">
        <v>0</v>
      </c>
      <c r="N296" t="n">
        <v>0</v>
      </c>
      <c r="O296" t="n">
        <v>0</v>
      </c>
      <c r="P296" t="n">
        <v>0</v>
      </c>
      <c r="Q296" t="n">
        <v>0</v>
      </c>
      <c r="R296" t="n">
        <v>0</v>
      </c>
      <c r="S296" t="n">
        <v>0</v>
      </c>
      <c r="T296" t="n">
        <v>0</v>
      </c>
      <c r="U296" s="2" t="inlineStr"/>
    </row>
    <row r="297" ht="15" customHeight="1">
      <c r="A297" t="inlineStr">
        <is>
          <t>A 31602-2023</t>
        </is>
      </c>
      <c r="B297" t="inlineStr">
        <is>
          <t>avverkningsanmälan</t>
        </is>
      </c>
      <c r="C297" t="inlineStr">
        <is>
          <t>Föryngringsavverkning</t>
        </is>
      </c>
      <c r="D297" s="1" t="n">
        <v>45117</v>
      </c>
      <c r="E297" s="1" t="n">
        <v>46219</v>
      </c>
      <c r="F297" t="inlineStr">
        <is>
          <t>VÄRMLANDS LÄN</t>
        </is>
      </c>
      <c r="G297" t="inlineStr">
        <is>
          <t>SUNNE</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11229-2024</t>
        </is>
      </c>
      <c r="B298" t="inlineStr">
        <is>
          <t>avverkningsanmälan</t>
        </is>
      </c>
      <c r="C298" t="inlineStr">
        <is>
          <t>Föryngringsavverkning</t>
        </is>
      </c>
      <c r="D298" s="1" t="n">
        <v>45371</v>
      </c>
      <c r="E298" s="1" t="n">
        <v>46219</v>
      </c>
      <c r="F298" t="inlineStr">
        <is>
          <t>VÄRMLANDS LÄN</t>
        </is>
      </c>
      <c r="G298" t="inlineStr">
        <is>
          <t>SUNNE</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48052-2023</t>
        </is>
      </c>
      <c r="B299" t="inlineStr">
        <is>
          <t>avverkningsanmälan</t>
        </is>
      </c>
      <c r="C299" t="inlineStr">
        <is>
          <t>Föryngringsavverkning</t>
        </is>
      </c>
      <c r="D299" s="1" t="n">
        <v>45204</v>
      </c>
      <c r="E299" s="1" t="n">
        <v>46219</v>
      </c>
      <c r="F299" t="inlineStr">
        <is>
          <t>VÄRMLANDS LÄN</t>
        </is>
      </c>
      <c r="G299" t="inlineStr">
        <is>
          <t>SUNNE</t>
        </is>
      </c>
      <c r="I299" t="n">
        <v>11.9</v>
      </c>
      <c r="J299" t="n">
        <v>0</v>
      </c>
      <c r="K299" t="n">
        <v>0</v>
      </c>
      <c r="L299" t="n">
        <v>0</v>
      </c>
      <c r="M299" t="n">
        <v>0</v>
      </c>
      <c r="N299" t="n">
        <v>0</v>
      </c>
      <c r="O299" t="n">
        <v>0</v>
      </c>
      <c r="P299" t="n">
        <v>0</v>
      </c>
      <c r="Q299" t="n">
        <v>0</v>
      </c>
      <c r="R299" t="n">
        <v>0</v>
      </c>
      <c r="S299" t="n">
        <v>0</v>
      </c>
      <c r="T299" t="n">
        <v>0</v>
      </c>
      <c r="U299" s="2" t="inlineStr"/>
    </row>
    <row r="300" ht="15" customHeight="1">
      <c r="A300" t="inlineStr">
        <is>
          <t>A 40485-2022</t>
        </is>
      </c>
      <c r="B300" t="inlineStr">
        <is>
          <t>avverkningsanmälan</t>
        </is>
      </c>
      <c r="C300" t="inlineStr">
        <is>
          <t>Föryngringsavverkning</t>
        </is>
      </c>
      <c r="D300" s="1" t="n">
        <v>44823</v>
      </c>
      <c r="E300" s="1" t="n">
        <v>46219</v>
      </c>
      <c r="F300" t="inlineStr">
        <is>
          <t>VÄRMLANDS LÄN</t>
        </is>
      </c>
      <c r="G300" t="inlineStr">
        <is>
          <t>SUNNE</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46804-2024</t>
        </is>
      </c>
      <c r="B301" t="inlineStr">
        <is>
          <t>avverkningsanmälan</t>
        </is>
      </c>
      <c r="C301" t="inlineStr">
        <is>
          <t>Föryngringsavverkning</t>
        </is>
      </c>
      <c r="D301" s="1" t="n">
        <v>45583</v>
      </c>
      <c r="E301" s="1" t="n">
        <v>46219</v>
      </c>
      <c r="F301" t="inlineStr">
        <is>
          <t>VÄRMLANDS LÄN</t>
        </is>
      </c>
      <c r="G301" t="inlineStr">
        <is>
          <t>SUNNE</t>
        </is>
      </c>
      <c r="H301" t="inlineStr">
        <is>
          <t>Kommuner</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2385-2024</t>
        </is>
      </c>
      <c r="B302" t="inlineStr">
        <is>
          <t>avverkningsanmälan</t>
        </is>
      </c>
      <c r="C302" t="inlineStr">
        <is>
          <t>Föryngringsavverkning</t>
        </is>
      </c>
      <c r="D302" s="1" t="n">
        <v>45310</v>
      </c>
      <c r="E302" s="1" t="n">
        <v>46219</v>
      </c>
      <c r="F302" t="inlineStr">
        <is>
          <t>VÄRMLANDS LÄN</t>
        </is>
      </c>
      <c r="G302" t="inlineStr">
        <is>
          <t>SUNNE</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44796-2021</t>
        </is>
      </c>
      <c r="B303" t="inlineStr">
        <is>
          <t>avverkningsanmälan</t>
        </is>
      </c>
      <c r="C303" t="inlineStr">
        <is>
          <t>Föryngringsavverkning</t>
        </is>
      </c>
      <c r="D303" s="1" t="n">
        <v>44438</v>
      </c>
      <c r="E303" s="1" t="n">
        <v>46219</v>
      </c>
      <c r="F303" t="inlineStr">
        <is>
          <t>VÄRMLANDS LÄN</t>
        </is>
      </c>
      <c r="G303" t="inlineStr">
        <is>
          <t>SUNNE</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978-2023</t>
        </is>
      </c>
      <c r="B304" t="inlineStr">
        <is>
          <t>avverkningsanmälan</t>
        </is>
      </c>
      <c r="C304" t="inlineStr">
        <is>
          <t>Föryngringsavverkning</t>
        </is>
      </c>
      <c r="D304" s="1" t="n">
        <v>44935</v>
      </c>
      <c r="E304" s="1" t="n">
        <v>46219</v>
      </c>
      <c r="F304" t="inlineStr">
        <is>
          <t>VÄRMLANDS LÄN</t>
        </is>
      </c>
      <c r="G304" t="inlineStr">
        <is>
          <t>SUNNE</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9076-2023</t>
        </is>
      </c>
      <c r="B305" t="inlineStr">
        <is>
          <t>avverkningsanmälan</t>
        </is>
      </c>
      <c r="C305" t="inlineStr">
        <is>
          <t>Föryngringsavverkning</t>
        </is>
      </c>
      <c r="D305" s="1" t="n">
        <v>44979</v>
      </c>
      <c r="E305" s="1" t="n">
        <v>46219</v>
      </c>
      <c r="F305" t="inlineStr">
        <is>
          <t>VÄRMLANDS LÄN</t>
        </is>
      </c>
      <c r="G305" t="inlineStr">
        <is>
          <t>SUNNE</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34141-2023</t>
        </is>
      </c>
      <c r="B306" t="inlineStr">
        <is>
          <t>avverkningsanmälan</t>
        </is>
      </c>
      <c r="C306" t="inlineStr">
        <is>
          <t>Föryngringsavverkning</t>
        </is>
      </c>
      <c r="D306" s="1" t="n">
        <v>45136</v>
      </c>
      <c r="E306" s="1" t="n">
        <v>46219</v>
      </c>
      <c r="F306" t="inlineStr">
        <is>
          <t>VÄRMLANDS LÄN</t>
        </is>
      </c>
      <c r="G306" t="inlineStr">
        <is>
          <t>SUNNE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18736-2024</t>
        </is>
      </c>
      <c r="B307" t="inlineStr">
        <is>
          <t>avverkningsanmälan</t>
        </is>
      </c>
      <c r="C307" t="inlineStr">
        <is>
          <t>Föryngringsavverkning</t>
        </is>
      </c>
      <c r="D307" s="1" t="n">
        <v>45426</v>
      </c>
      <c r="E307" s="1" t="n">
        <v>46219</v>
      </c>
      <c r="F307" t="inlineStr">
        <is>
          <t>VÄRMLANDS LÄN</t>
        </is>
      </c>
      <c r="G307" t="inlineStr">
        <is>
          <t>SUNNE</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7400-2023</t>
        </is>
      </c>
      <c r="B308" t="inlineStr">
        <is>
          <t>avverkningsanmälan</t>
        </is>
      </c>
      <c r="C308" t="inlineStr">
        <is>
          <t>Föryngringsavverkning</t>
        </is>
      </c>
      <c r="D308" s="1" t="n">
        <v>44971</v>
      </c>
      <c r="E308" s="1" t="n">
        <v>46219</v>
      </c>
      <c r="F308" t="inlineStr">
        <is>
          <t>VÄRMLANDS LÄN</t>
        </is>
      </c>
      <c r="G308" t="inlineStr">
        <is>
          <t>SUNNE</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60145-2022</t>
        </is>
      </c>
      <c r="B309" t="inlineStr">
        <is>
          <t>avverkningsanmälan</t>
        </is>
      </c>
      <c r="C309" t="inlineStr">
        <is>
          <t>Föryngringsavverkning</t>
        </is>
      </c>
      <c r="D309" s="1" t="n">
        <v>44909</v>
      </c>
      <c r="E309" s="1" t="n">
        <v>46219</v>
      </c>
      <c r="F309" t="inlineStr">
        <is>
          <t>VÄRMLANDS LÄN</t>
        </is>
      </c>
      <c r="G309" t="inlineStr">
        <is>
          <t>SUNNE</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43865-2024</t>
        </is>
      </c>
      <c r="B310" t="inlineStr">
        <is>
          <t>avverkningsanmälan</t>
        </is>
      </c>
      <c r="C310" t="inlineStr">
        <is>
          <t>Föryngringsavverkning</t>
        </is>
      </c>
      <c r="D310" s="1" t="n">
        <v>45572</v>
      </c>
      <c r="E310" s="1" t="n">
        <v>46219</v>
      </c>
      <c r="F310" t="inlineStr">
        <is>
          <t>VÄRMLANDS LÄN</t>
        </is>
      </c>
      <c r="G310" t="inlineStr">
        <is>
          <t>SUNNE</t>
        </is>
      </c>
      <c r="H310" t="inlineStr">
        <is>
          <t>Bergvik skog väst AB</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34380-2023</t>
        </is>
      </c>
      <c r="B311" t="inlineStr">
        <is>
          <t>avverkningsanmälan</t>
        </is>
      </c>
      <c r="C311" t="inlineStr">
        <is>
          <t>Föryngringsavverkning</t>
        </is>
      </c>
      <c r="D311" s="1" t="n">
        <v>45131</v>
      </c>
      <c r="E311" s="1" t="n">
        <v>46219</v>
      </c>
      <c r="F311" t="inlineStr">
        <is>
          <t>VÄRMLANDS LÄN</t>
        </is>
      </c>
      <c r="G311" t="inlineStr">
        <is>
          <t>SUNNE</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55828-2024</t>
        </is>
      </c>
      <c r="B312" t="inlineStr">
        <is>
          <t>avverkningsanmälan</t>
        </is>
      </c>
      <c r="C312" t="inlineStr">
        <is>
          <t>Föryngringsavverkning</t>
        </is>
      </c>
      <c r="D312" s="1" t="n">
        <v>45622</v>
      </c>
      <c r="E312" s="1" t="n">
        <v>46219</v>
      </c>
      <c r="F312" t="inlineStr">
        <is>
          <t>VÄRMLANDS LÄN</t>
        </is>
      </c>
      <c r="G312" t="inlineStr">
        <is>
          <t>SUNNE</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43157-2024</t>
        </is>
      </c>
      <c r="B313" t="inlineStr">
        <is>
          <t>avverkningsanmälan</t>
        </is>
      </c>
      <c r="C313" t="inlineStr">
        <is>
          <t>Föryngringsavverkning</t>
        </is>
      </c>
      <c r="D313" s="1" t="n">
        <v>45567</v>
      </c>
      <c r="E313" s="1" t="n">
        <v>46219</v>
      </c>
      <c r="F313" t="inlineStr">
        <is>
          <t>VÄRMLANDS LÄN</t>
        </is>
      </c>
      <c r="G313" t="inlineStr">
        <is>
          <t>SUNNE</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52309-2024</t>
        </is>
      </c>
      <c r="B314" t="inlineStr">
        <is>
          <t>avverkningsanmälan</t>
        </is>
      </c>
      <c r="C314" t="inlineStr">
        <is>
          <t>Föryngringsavverkning</t>
        </is>
      </c>
      <c r="D314" s="1" t="n">
        <v>45608</v>
      </c>
      <c r="E314" s="1" t="n">
        <v>46219</v>
      </c>
      <c r="F314" t="inlineStr">
        <is>
          <t>VÄRMLANDS LÄN</t>
        </is>
      </c>
      <c r="G314" t="inlineStr">
        <is>
          <t>SUNNE</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53755-2022</t>
        </is>
      </c>
      <c r="B315" t="inlineStr">
        <is>
          <t>avverkningsanmälan</t>
        </is>
      </c>
      <c r="C315" t="inlineStr">
        <is>
          <t>Föryngringsavverkning</t>
        </is>
      </c>
      <c r="D315" s="1" t="n">
        <v>44880</v>
      </c>
      <c r="E315" s="1" t="n">
        <v>46219</v>
      </c>
      <c r="F315" t="inlineStr">
        <is>
          <t>VÄRMLANDS LÄN</t>
        </is>
      </c>
      <c r="G315" t="inlineStr">
        <is>
          <t>SUNNE</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37083-2021</t>
        </is>
      </c>
      <c r="B316" t="inlineStr">
        <is>
          <t>avverkningsanmälan</t>
        </is>
      </c>
      <c r="C316" t="inlineStr">
        <is>
          <t>Föryngringsavverkning</t>
        </is>
      </c>
      <c r="D316" s="1" t="n">
        <v>44395</v>
      </c>
      <c r="E316" s="1" t="n">
        <v>46219</v>
      </c>
      <c r="F316" t="inlineStr">
        <is>
          <t>VÄRMLANDS LÄN</t>
        </is>
      </c>
      <c r="G316" t="inlineStr">
        <is>
          <t>SUNNE</t>
        </is>
      </c>
      <c r="I316" t="n">
        <v>2.8</v>
      </c>
      <c r="J316" t="n">
        <v>0</v>
      </c>
      <c r="K316" t="n">
        <v>0</v>
      </c>
      <c r="L316" t="n">
        <v>0</v>
      </c>
      <c r="M316" t="n">
        <v>0</v>
      </c>
      <c r="N316" t="n">
        <v>0</v>
      </c>
      <c r="O316" t="n">
        <v>0</v>
      </c>
      <c r="P316" t="n">
        <v>0</v>
      </c>
      <c r="Q316" t="n">
        <v>0</v>
      </c>
      <c r="R316" t="n">
        <v>0</v>
      </c>
      <c r="S316" t="n">
        <v>0</v>
      </c>
      <c r="T316" t="n">
        <v>0</v>
      </c>
      <c r="U316" s="2" t="inlineStr"/>
    </row>
    <row r="317" ht="15" customHeight="1">
      <c r="A317" t="inlineStr">
        <is>
          <t>A 24393-2023</t>
        </is>
      </c>
      <c r="B317" t="inlineStr">
        <is>
          <t>avverkningsanmälan</t>
        </is>
      </c>
      <c r="C317" t="inlineStr">
        <is>
          <t>Föryngringsavverkning</t>
        </is>
      </c>
      <c r="D317" s="1" t="n">
        <v>45082</v>
      </c>
      <c r="E317" s="1" t="n">
        <v>46219</v>
      </c>
      <c r="F317" t="inlineStr">
        <is>
          <t>VÄRMLANDS LÄN</t>
        </is>
      </c>
      <c r="G317" t="inlineStr">
        <is>
          <t>SUNNE</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48861-2024</t>
        </is>
      </c>
      <c r="B318" t="inlineStr">
        <is>
          <t>avverkningsanmälan</t>
        </is>
      </c>
      <c r="C318" t="inlineStr">
        <is>
          <t>Föryngringsavverkning</t>
        </is>
      </c>
      <c r="D318" s="1" t="n">
        <v>45593</v>
      </c>
      <c r="E318" s="1" t="n">
        <v>46219</v>
      </c>
      <c r="F318" t="inlineStr">
        <is>
          <t>VÄRMLANDS LÄN</t>
        </is>
      </c>
      <c r="G318" t="inlineStr">
        <is>
          <t>SUNNE</t>
        </is>
      </c>
      <c r="H318" t="inlineStr">
        <is>
          <t>Kyrkan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21577-2024</t>
        </is>
      </c>
      <c r="B319" t="inlineStr">
        <is>
          <t>avverkningsanmälan</t>
        </is>
      </c>
      <c r="C319" t="inlineStr">
        <is>
          <t>Föryngringsavverkning</t>
        </is>
      </c>
      <c r="D319" s="1" t="n">
        <v>45441</v>
      </c>
      <c r="E319" s="1" t="n">
        <v>46219</v>
      </c>
      <c r="F319" t="inlineStr">
        <is>
          <t>VÄRMLANDS LÄN</t>
        </is>
      </c>
      <c r="G319" t="inlineStr">
        <is>
          <t>SUNNE</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18208-2024</t>
        </is>
      </c>
      <c r="B320" t="inlineStr">
        <is>
          <t>avverkningsanmälan</t>
        </is>
      </c>
      <c r="C320" t="inlineStr">
        <is>
          <t>Föryngringsavverkning</t>
        </is>
      </c>
      <c r="D320" s="1" t="n">
        <v>45420</v>
      </c>
      <c r="E320" s="1" t="n">
        <v>46219</v>
      </c>
      <c r="F320" t="inlineStr">
        <is>
          <t>VÄRMLANDS LÄN</t>
        </is>
      </c>
      <c r="G320" t="inlineStr">
        <is>
          <t>SUNNE</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56433-2022</t>
        </is>
      </c>
      <c r="B321" t="inlineStr">
        <is>
          <t>avverkningsanmälan</t>
        </is>
      </c>
      <c r="C321" t="inlineStr">
        <is>
          <t>Föryngringsavverkning</t>
        </is>
      </c>
      <c r="D321" s="1" t="n">
        <v>44891</v>
      </c>
      <c r="E321" s="1" t="n">
        <v>46219</v>
      </c>
      <c r="F321" t="inlineStr">
        <is>
          <t>VÄRMLANDS LÄN</t>
        </is>
      </c>
      <c r="G321" t="inlineStr">
        <is>
          <t>SUNNE</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71195-2021</t>
        </is>
      </c>
      <c r="B322" t="inlineStr">
        <is>
          <t>avverkningsanmälan</t>
        </is>
      </c>
      <c r="C322" t="inlineStr">
        <is>
          <t>Föryngringsavverkning</t>
        </is>
      </c>
      <c r="D322" s="1" t="n">
        <v>44539</v>
      </c>
      <c r="E322" s="1" t="n">
        <v>46219</v>
      </c>
      <c r="F322" t="inlineStr">
        <is>
          <t>VÄRMLANDS LÄN</t>
        </is>
      </c>
      <c r="G322" t="inlineStr">
        <is>
          <t>SUNNE</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16403-2024</t>
        </is>
      </c>
      <c r="B323" t="inlineStr">
        <is>
          <t>avverkningsanmälan</t>
        </is>
      </c>
      <c r="C323" t="inlineStr">
        <is>
          <t>Föryngringsavverkning</t>
        </is>
      </c>
      <c r="D323" s="1" t="n">
        <v>45407</v>
      </c>
      <c r="E323" s="1" t="n">
        <v>46219</v>
      </c>
      <c r="F323" t="inlineStr">
        <is>
          <t>VÄRMLANDS LÄN</t>
        </is>
      </c>
      <c r="G323" t="inlineStr">
        <is>
          <t>SUNNE</t>
        </is>
      </c>
      <c r="H323" t="inlineStr">
        <is>
          <t>Bergvik skog väst AB</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3852-2024</t>
        </is>
      </c>
      <c r="B324" t="inlineStr">
        <is>
          <t>avverkningsanmälan</t>
        </is>
      </c>
      <c r="C324" t="inlineStr">
        <is>
          <t>Föryngringsavverkning</t>
        </is>
      </c>
      <c r="D324" s="1" t="n">
        <v>45322</v>
      </c>
      <c r="E324" s="1" t="n">
        <v>46219</v>
      </c>
      <c r="F324" t="inlineStr">
        <is>
          <t>VÄRMLANDS LÄN</t>
        </is>
      </c>
      <c r="G324" t="inlineStr">
        <is>
          <t>SUNNE</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38289-2025</t>
        </is>
      </c>
      <c r="B325" t="inlineStr">
        <is>
          <t>avverkningsanmälan</t>
        </is>
      </c>
      <c r="C325" t="inlineStr">
        <is>
          <t>Föryngringsavverkning</t>
        </is>
      </c>
      <c r="D325" s="1" t="n">
        <v>45883</v>
      </c>
      <c r="E325" s="1" t="n">
        <v>46219</v>
      </c>
      <c r="F325" t="inlineStr">
        <is>
          <t>VÄRMLANDS LÄN</t>
        </is>
      </c>
      <c r="G325" t="inlineStr">
        <is>
          <t>SUNNE</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56738-2024</t>
        </is>
      </c>
      <c r="B326" t="inlineStr">
        <is>
          <t>avverkningsanmälan</t>
        </is>
      </c>
      <c r="C326" t="inlineStr">
        <is>
          <t>Föryngringsavverkning</t>
        </is>
      </c>
      <c r="D326" s="1" t="n">
        <v>45628</v>
      </c>
      <c r="E326" s="1" t="n">
        <v>46219</v>
      </c>
      <c r="F326" t="inlineStr">
        <is>
          <t>VÄRMLANDS LÄN</t>
        </is>
      </c>
      <c r="G326" t="inlineStr">
        <is>
          <t>SUNNE</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16015-2023</t>
        </is>
      </c>
      <c r="B327" t="inlineStr">
        <is>
          <t>avverkningsanmälan</t>
        </is>
      </c>
      <c r="C327" t="inlineStr">
        <is>
          <t>Föryngringsavverkning</t>
        </is>
      </c>
      <c r="D327" s="1" t="n">
        <v>45026</v>
      </c>
      <c r="E327" s="1" t="n">
        <v>46219</v>
      </c>
      <c r="F327" t="inlineStr">
        <is>
          <t>VÄRMLANDS LÄN</t>
        </is>
      </c>
      <c r="G327" t="inlineStr">
        <is>
          <t>SUNNE</t>
        </is>
      </c>
      <c r="I327" t="n">
        <v>4.9</v>
      </c>
      <c r="J327" t="n">
        <v>0</v>
      </c>
      <c r="K327" t="n">
        <v>0</v>
      </c>
      <c r="L327" t="n">
        <v>0</v>
      </c>
      <c r="M327" t="n">
        <v>0</v>
      </c>
      <c r="N327" t="n">
        <v>0</v>
      </c>
      <c r="O327" t="n">
        <v>0</v>
      </c>
      <c r="P327" t="n">
        <v>0</v>
      </c>
      <c r="Q327" t="n">
        <v>0</v>
      </c>
      <c r="R327" t="n">
        <v>0</v>
      </c>
      <c r="S327" t="n">
        <v>0</v>
      </c>
      <c r="T327" t="n">
        <v>0</v>
      </c>
      <c r="U327" s="2" t="inlineStr"/>
    </row>
    <row r="328" ht="15" customHeight="1">
      <c r="A328" t="inlineStr">
        <is>
          <t>A 1963-2024</t>
        </is>
      </c>
      <c r="B328" t="inlineStr">
        <is>
          <t>avverkningsanmälan</t>
        </is>
      </c>
      <c r="C328" t="inlineStr">
        <is>
          <t>Föryngringsavverkning</t>
        </is>
      </c>
      <c r="D328" s="1" t="n">
        <v>45308</v>
      </c>
      <c r="E328" s="1" t="n">
        <v>46219</v>
      </c>
      <c r="F328" t="inlineStr">
        <is>
          <t>VÄRMLANDS LÄN</t>
        </is>
      </c>
      <c r="G328" t="inlineStr">
        <is>
          <t>SUNNE</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18179-2023</t>
        </is>
      </c>
      <c r="B329" t="inlineStr">
        <is>
          <t>avverkningsanmälan</t>
        </is>
      </c>
      <c r="C329" t="inlineStr">
        <is>
          <t>Föryngringsavverkning</t>
        </is>
      </c>
      <c r="D329" s="1" t="n">
        <v>45041</v>
      </c>
      <c r="E329" s="1" t="n">
        <v>46219</v>
      </c>
      <c r="F329" t="inlineStr">
        <is>
          <t>VÄRMLANDS LÄN</t>
        </is>
      </c>
      <c r="G329" t="inlineStr">
        <is>
          <t>SUNNE</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56871-2023</t>
        </is>
      </c>
      <c r="B330" t="inlineStr">
        <is>
          <t>avverkningsanmälan</t>
        </is>
      </c>
      <c r="C330" t="inlineStr">
        <is>
          <t>Föryngringsavverkning</t>
        </is>
      </c>
      <c r="D330" s="1" t="n">
        <v>45244</v>
      </c>
      <c r="E330" s="1" t="n">
        <v>46219</v>
      </c>
      <c r="F330" t="inlineStr">
        <is>
          <t>VÄRMLANDS LÄN</t>
        </is>
      </c>
      <c r="G330" t="inlineStr">
        <is>
          <t>SUNNE</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20650-2023</t>
        </is>
      </c>
      <c r="B331" t="inlineStr">
        <is>
          <t>avverkningsanmälan</t>
        </is>
      </c>
      <c r="C331" t="inlineStr">
        <is>
          <t>Föryngringsavverkning</t>
        </is>
      </c>
      <c r="D331" s="1" t="n">
        <v>45058</v>
      </c>
      <c r="E331" s="1" t="n">
        <v>46219</v>
      </c>
      <c r="F331" t="inlineStr">
        <is>
          <t>VÄRMLANDS LÄN</t>
        </is>
      </c>
      <c r="G331" t="inlineStr">
        <is>
          <t>SUNNE</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23460-2023</t>
        </is>
      </c>
      <c r="B332" t="inlineStr">
        <is>
          <t>avverkningsanmälan</t>
        </is>
      </c>
      <c r="C332" t="inlineStr">
        <is>
          <t>Föryngringsavverkning</t>
        </is>
      </c>
      <c r="D332" s="1" t="n">
        <v>45076</v>
      </c>
      <c r="E332" s="1" t="n">
        <v>46219</v>
      </c>
      <c r="F332" t="inlineStr">
        <is>
          <t>VÄRMLANDS LÄN</t>
        </is>
      </c>
      <c r="G332" t="inlineStr">
        <is>
          <t>SUNNE</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43302-2022</t>
        </is>
      </c>
      <c r="B333" t="inlineStr">
        <is>
          <t>avverkningsanmälan</t>
        </is>
      </c>
      <c r="C333" t="inlineStr">
        <is>
          <t>Föryngringsavverkning</t>
        </is>
      </c>
      <c r="D333" s="1" t="n">
        <v>44834</v>
      </c>
      <c r="E333" s="1" t="n">
        <v>46219</v>
      </c>
      <c r="F333" t="inlineStr">
        <is>
          <t>VÄRMLANDS LÄN</t>
        </is>
      </c>
      <c r="G333" t="inlineStr">
        <is>
          <t>SUNNE</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52521-2023</t>
        </is>
      </c>
      <c r="B334" t="inlineStr">
        <is>
          <t>avverkningsanmälan</t>
        </is>
      </c>
      <c r="C334" t="inlineStr">
        <is>
          <t>Föryngringsavverkning</t>
        </is>
      </c>
      <c r="D334" s="1" t="n">
        <v>45225</v>
      </c>
      <c r="E334" s="1" t="n">
        <v>46219</v>
      </c>
      <c r="F334" t="inlineStr">
        <is>
          <t>VÄRMLANDS LÄN</t>
        </is>
      </c>
      <c r="G334" t="inlineStr">
        <is>
          <t>SUNNE</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18740-2024</t>
        </is>
      </c>
      <c r="B335" t="inlineStr">
        <is>
          <t>avverkningsanmälan</t>
        </is>
      </c>
      <c r="C335" t="inlineStr">
        <is>
          <t>Föryngringsavverkning</t>
        </is>
      </c>
      <c r="D335" s="1" t="n">
        <v>45426</v>
      </c>
      <c r="E335" s="1" t="n">
        <v>46219</v>
      </c>
      <c r="F335" t="inlineStr">
        <is>
          <t>VÄRMLANDS LÄN</t>
        </is>
      </c>
      <c r="G335" t="inlineStr">
        <is>
          <t>SUNNE</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17031-2022</t>
        </is>
      </c>
      <c r="B336" t="inlineStr">
        <is>
          <t>avverkningsanmälan</t>
        </is>
      </c>
      <c r="C336" t="inlineStr">
        <is>
          <t>Avverkning för annat ändamål</t>
        </is>
      </c>
      <c r="D336" s="1" t="n">
        <v>44676</v>
      </c>
      <c r="E336" s="1" t="n">
        <v>46219</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34055-2023</t>
        </is>
      </c>
      <c r="B337" t="inlineStr">
        <is>
          <t>avverkningsanmälan</t>
        </is>
      </c>
      <c r="C337" t="inlineStr">
        <is>
          <t>Föryngringsavverkning</t>
        </is>
      </c>
      <c r="D337" s="1" t="n">
        <v>45125</v>
      </c>
      <c r="E337" s="1" t="n">
        <v>46219</v>
      </c>
      <c r="F337" t="inlineStr">
        <is>
          <t>VÄRMLANDS LÄN</t>
        </is>
      </c>
      <c r="G337" t="inlineStr">
        <is>
          <t>SUNNE</t>
        </is>
      </c>
      <c r="I337" t="n">
        <v>5.5</v>
      </c>
      <c r="J337" t="n">
        <v>0</v>
      </c>
      <c r="K337" t="n">
        <v>0</v>
      </c>
      <c r="L337" t="n">
        <v>0</v>
      </c>
      <c r="M337" t="n">
        <v>0</v>
      </c>
      <c r="N337" t="n">
        <v>0</v>
      </c>
      <c r="O337" t="n">
        <v>0</v>
      </c>
      <c r="P337" t="n">
        <v>0</v>
      </c>
      <c r="Q337" t="n">
        <v>0</v>
      </c>
      <c r="R337" t="n">
        <v>0</v>
      </c>
      <c r="S337" t="n">
        <v>0</v>
      </c>
      <c r="T337" t="n">
        <v>0</v>
      </c>
      <c r="U337" s="2" t="inlineStr"/>
    </row>
    <row r="338" ht="15" customHeight="1">
      <c r="A338" t="inlineStr">
        <is>
          <t>A 14492-2023</t>
        </is>
      </c>
      <c r="B338" t="inlineStr">
        <is>
          <t>avverkningsanmälan</t>
        </is>
      </c>
      <c r="C338" t="inlineStr">
        <is>
          <t>Föryngringsavverkning</t>
        </is>
      </c>
      <c r="D338" s="1" t="n">
        <v>45012</v>
      </c>
      <c r="E338" s="1" t="n">
        <v>46219</v>
      </c>
      <c r="F338" t="inlineStr">
        <is>
          <t>VÄRMLANDS LÄN</t>
        </is>
      </c>
      <c r="G338" t="inlineStr">
        <is>
          <t>SUNNE</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23061-2024</t>
        </is>
      </c>
      <c r="B339" t="inlineStr">
        <is>
          <t>avverkningsanmälan</t>
        </is>
      </c>
      <c r="C339" t="inlineStr">
        <is>
          <t>Föryngringsavverkning</t>
        </is>
      </c>
      <c r="D339" s="1" t="n">
        <v>45449</v>
      </c>
      <c r="E339" s="1" t="n">
        <v>46219</v>
      </c>
      <c r="F339" t="inlineStr">
        <is>
          <t>VÄRMLANDS LÄN</t>
        </is>
      </c>
      <c r="G339" t="inlineStr">
        <is>
          <t>SUNNE</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29746-2023</t>
        </is>
      </c>
      <c r="B340" t="inlineStr">
        <is>
          <t>avverkningsanmälan</t>
        </is>
      </c>
      <c r="C340" t="inlineStr">
        <is>
          <t>Föryngringsavverkning</t>
        </is>
      </c>
      <c r="D340" s="1" t="n">
        <v>45107</v>
      </c>
      <c r="E340" s="1" t="n">
        <v>46219</v>
      </c>
      <c r="F340" t="inlineStr">
        <is>
          <t>VÄRMLANDS LÄN</t>
        </is>
      </c>
      <c r="G340" t="inlineStr">
        <is>
          <t>SUNNE</t>
        </is>
      </c>
      <c r="I340" t="n">
        <v>0.1</v>
      </c>
      <c r="J340" t="n">
        <v>0</v>
      </c>
      <c r="K340" t="n">
        <v>0</v>
      </c>
      <c r="L340" t="n">
        <v>0</v>
      </c>
      <c r="M340" t="n">
        <v>0</v>
      </c>
      <c r="N340" t="n">
        <v>0</v>
      </c>
      <c r="O340" t="n">
        <v>0</v>
      </c>
      <c r="P340" t="n">
        <v>0</v>
      </c>
      <c r="Q340" t="n">
        <v>0</v>
      </c>
      <c r="R340" t="n">
        <v>0</v>
      </c>
      <c r="S340" t="n">
        <v>0</v>
      </c>
      <c r="T340" t="n">
        <v>0</v>
      </c>
      <c r="U340" s="2" t="inlineStr"/>
    </row>
    <row r="341" ht="15" customHeight="1">
      <c r="A341" t="inlineStr">
        <is>
          <t>A 44369-2022</t>
        </is>
      </c>
      <c r="B341" t="inlineStr">
        <is>
          <t>avverkningsanmälan</t>
        </is>
      </c>
      <c r="C341" t="inlineStr">
        <is>
          <t>Föryngringsavverkning</t>
        </is>
      </c>
      <c r="D341" s="1" t="n">
        <v>44839</v>
      </c>
      <c r="E341" s="1" t="n">
        <v>46219</v>
      </c>
      <c r="F341" t="inlineStr">
        <is>
          <t>VÄRMLANDS LÄN</t>
        </is>
      </c>
      <c r="G341" t="inlineStr">
        <is>
          <t>SUNNE</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9703-2023</t>
        </is>
      </c>
      <c r="B342" t="inlineStr">
        <is>
          <t>avverkningsanmälan</t>
        </is>
      </c>
      <c r="C342" t="inlineStr">
        <is>
          <t>Föryngringsavverkning</t>
        </is>
      </c>
      <c r="D342" s="1" t="n">
        <v>44984</v>
      </c>
      <c r="E342" s="1" t="n">
        <v>46219</v>
      </c>
      <c r="F342" t="inlineStr">
        <is>
          <t>VÄRMLANDS LÄN</t>
        </is>
      </c>
      <c r="G342" t="inlineStr">
        <is>
          <t>SUNNE</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13142-2024</t>
        </is>
      </c>
      <c r="B343" t="inlineStr">
        <is>
          <t>avverkningsanmälan</t>
        </is>
      </c>
      <c r="C343" t="inlineStr">
        <is>
          <t>Föryngringsavverkning</t>
        </is>
      </c>
      <c r="D343" s="1" t="n">
        <v>45386</v>
      </c>
      <c r="E343" s="1" t="n">
        <v>46219</v>
      </c>
      <c r="F343" t="inlineStr">
        <is>
          <t>VÄRMLANDS LÄN</t>
        </is>
      </c>
      <c r="G343" t="inlineStr">
        <is>
          <t>SUNNE</t>
        </is>
      </c>
      <c r="I343" t="n">
        <v>4</v>
      </c>
      <c r="J343" t="n">
        <v>0</v>
      </c>
      <c r="K343" t="n">
        <v>0</v>
      </c>
      <c r="L343" t="n">
        <v>0</v>
      </c>
      <c r="M343" t="n">
        <v>0</v>
      </c>
      <c r="N343" t="n">
        <v>0</v>
      </c>
      <c r="O343" t="n">
        <v>0</v>
      </c>
      <c r="P343" t="n">
        <v>0</v>
      </c>
      <c r="Q343" t="n">
        <v>0</v>
      </c>
      <c r="R343" t="n">
        <v>0</v>
      </c>
      <c r="S343" t="n">
        <v>0</v>
      </c>
      <c r="T343" t="n">
        <v>0</v>
      </c>
      <c r="U343" s="2" t="inlineStr"/>
    </row>
    <row r="344" ht="15" customHeight="1">
      <c r="A344" t="inlineStr">
        <is>
          <t>A 52512-2023</t>
        </is>
      </c>
      <c r="B344" t="inlineStr">
        <is>
          <t>avverkningsanmälan</t>
        </is>
      </c>
      <c r="C344" t="inlineStr">
        <is>
          <t>Föryngringsavverkning</t>
        </is>
      </c>
      <c r="D344" s="1" t="n">
        <v>45225</v>
      </c>
      <c r="E344" s="1" t="n">
        <v>46219</v>
      </c>
      <c r="F344" t="inlineStr">
        <is>
          <t>VÄRMLANDS LÄN</t>
        </is>
      </c>
      <c r="G344" t="inlineStr">
        <is>
          <t>SUNNE</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17580-2024</t>
        </is>
      </c>
      <c r="B345" t="inlineStr">
        <is>
          <t>avverkningsanmälan</t>
        </is>
      </c>
      <c r="C345" t="inlineStr">
        <is>
          <t>Föryngringsavverkning</t>
        </is>
      </c>
      <c r="D345" s="1" t="n">
        <v>45415</v>
      </c>
      <c r="E345" s="1" t="n">
        <v>46219</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2980-2022</t>
        </is>
      </c>
      <c r="B346" t="inlineStr">
        <is>
          <t>avverkningsanmälan</t>
        </is>
      </c>
      <c r="C346" t="inlineStr">
        <is>
          <t>Föryngringsavverkning</t>
        </is>
      </c>
      <c r="D346" s="1" t="n">
        <v>44581</v>
      </c>
      <c r="E346" s="1" t="n">
        <v>46219</v>
      </c>
      <c r="F346" t="inlineStr">
        <is>
          <t>VÄRMLANDS LÄN</t>
        </is>
      </c>
      <c r="G346" t="inlineStr">
        <is>
          <t>SUNNE</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55487-2024</t>
        </is>
      </c>
      <c r="B347" t="inlineStr">
        <is>
          <t>avverkningsanmälan</t>
        </is>
      </c>
      <c r="C347" t="inlineStr">
        <is>
          <t>Föryngringsavverkning</t>
        </is>
      </c>
      <c r="D347" s="1" t="n">
        <v>45622</v>
      </c>
      <c r="E347" s="1" t="n">
        <v>46219</v>
      </c>
      <c r="F347" t="inlineStr">
        <is>
          <t>VÄRMLANDS LÄN</t>
        </is>
      </c>
      <c r="G347" t="inlineStr">
        <is>
          <t>SUNNE</t>
        </is>
      </c>
      <c r="I347" t="n">
        <v>5.1</v>
      </c>
      <c r="J347" t="n">
        <v>0</v>
      </c>
      <c r="K347" t="n">
        <v>0</v>
      </c>
      <c r="L347" t="n">
        <v>0</v>
      </c>
      <c r="M347" t="n">
        <v>0</v>
      </c>
      <c r="N347" t="n">
        <v>0</v>
      </c>
      <c r="O347" t="n">
        <v>0</v>
      </c>
      <c r="P347" t="n">
        <v>0</v>
      </c>
      <c r="Q347" t="n">
        <v>0</v>
      </c>
      <c r="R347" t="n">
        <v>0</v>
      </c>
      <c r="S347" t="n">
        <v>0</v>
      </c>
      <c r="T347" t="n">
        <v>0</v>
      </c>
      <c r="U347" s="2" t="inlineStr"/>
    </row>
    <row r="348" ht="15" customHeight="1">
      <c r="A348" t="inlineStr">
        <is>
          <t>A 47225-2023</t>
        </is>
      </c>
      <c r="B348" t="inlineStr">
        <is>
          <t>avverkningsanmälan</t>
        </is>
      </c>
      <c r="C348" t="inlineStr">
        <is>
          <t>Föryngringsavverkning</t>
        </is>
      </c>
      <c r="D348" s="1" t="n">
        <v>45196</v>
      </c>
      <c r="E348" s="1" t="n">
        <v>46219</v>
      </c>
      <c r="F348" t="inlineStr">
        <is>
          <t>VÄRMLANDS LÄN</t>
        </is>
      </c>
      <c r="G348" t="inlineStr">
        <is>
          <t>SUNNE</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23406-2022</t>
        </is>
      </c>
      <c r="B349" t="inlineStr">
        <is>
          <t>avverkningsanmälan</t>
        </is>
      </c>
      <c r="C349" t="inlineStr">
        <is>
          <t>Föryngringsavverkning</t>
        </is>
      </c>
      <c r="D349" s="1" t="n">
        <v>44720</v>
      </c>
      <c r="E349" s="1" t="n">
        <v>46219</v>
      </c>
      <c r="F349" t="inlineStr">
        <is>
          <t>VÄRMLANDS LÄN</t>
        </is>
      </c>
      <c r="G349" t="inlineStr">
        <is>
          <t>SUNNE</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11732-2022</t>
        </is>
      </c>
      <c r="B350" t="inlineStr">
        <is>
          <t>avverkningsanmälan</t>
        </is>
      </c>
      <c r="C350" t="inlineStr">
        <is>
          <t>Föryngringsavverkning</t>
        </is>
      </c>
      <c r="D350" s="1" t="n">
        <v>44634</v>
      </c>
      <c r="E350" s="1" t="n">
        <v>46219</v>
      </c>
      <c r="F350" t="inlineStr">
        <is>
          <t>VÄRMLANDS LÄN</t>
        </is>
      </c>
      <c r="G350" t="inlineStr">
        <is>
          <t>SUNNE</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45327-2021</t>
        </is>
      </c>
      <c r="B351" t="inlineStr">
        <is>
          <t>avverkningsanmälan</t>
        </is>
      </c>
      <c r="C351" t="inlineStr">
        <is>
          <t>Föryngringsavverkning</t>
        </is>
      </c>
      <c r="D351" s="1" t="n">
        <v>44439</v>
      </c>
      <c r="E351" s="1" t="n">
        <v>46219</v>
      </c>
      <c r="F351" t="inlineStr">
        <is>
          <t>VÄRMLANDS LÄN</t>
        </is>
      </c>
      <c r="G351" t="inlineStr">
        <is>
          <t>SUNNE</t>
        </is>
      </c>
      <c r="I351" t="n">
        <v>8</v>
      </c>
      <c r="J351" t="n">
        <v>0</v>
      </c>
      <c r="K351" t="n">
        <v>0</v>
      </c>
      <c r="L351" t="n">
        <v>0</v>
      </c>
      <c r="M351" t="n">
        <v>0</v>
      </c>
      <c r="N351" t="n">
        <v>0</v>
      </c>
      <c r="O351" t="n">
        <v>0</v>
      </c>
      <c r="P351" t="n">
        <v>0</v>
      </c>
      <c r="Q351" t="n">
        <v>0</v>
      </c>
      <c r="R351" t="n">
        <v>0</v>
      </c>
      <c r="S351" t="n">
        <v>0</v>
      </c>
      <c r="T351" t="n">
        <v>0</v>
      </c>
      <c r="U351" s="2" t="inlineStr"/>
    </row>
    <row r="352" ht="15" customHeight="1">
      <c r="A352" t="inlineStr">
        <is>
          <t>A 13397-2024</t>
        </is>
      </c>
      <c r="B352" t="inlineStr">
        <is>
          <t>avverkningsanmälan</t>
        </is>
      </c>
      <c r="C352" t="inlineStr">
        <is>
          <t>Föryngringsavverkning</t>
        </is>
      </c>
      <c r="D352" s="1" t="n">
        <v>45387</v>
      </c>
      <c r="E352" s="1" t="n">
        <v>46219</v>
      </c>
      <c r="F352" t="inlineStr">
        <is>
          <t>VÄRMLANDS LÄN</t>
        </is>
      </c>
      <c r="G352" t="inlineStr">
        <is>
          <t>SUNNE</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37221-2022</t>
        </is>
      </c>
      <c r="B353" t="inlineStr">
        <is>
          <t>avverkningsanmälan</t>
        </is>
      </c>
      <c r="C353" t="inlineStr">
        <is>
          <t>Föryngringsavverkning</t>
        </is>
      </c>
      <c r="D353" s="1" t="n">
        <v>44806</v>
      </c>
      <c r="E353" s="1" t="n">
        <v>46219</v>
      </c>
      <c r="F353" t="inlineStr">
        <is>
          <t>VÄRMLANDS LÄN</t>
        </is>
      </c>
      <c r="G353" t="inlineStr">
        <is>
          <t>SUNNE</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60996-2024</t>
        </is>
      </c>
      <c r="B354" t="inlineStr">
        <is>
          <t>avverkningsanmälan</t>
        </is>
      </c>
      <c r="C354" t="inlineStr">
        <is>
          <t>Föryngringsavverkning</t>
        </is>
      </c>
      <c r="D354" s="1" t="n">
        <v>45645</v>
      </c>
      <c r="E354" s="1" t="n">
        <v>46219</v>
      </c>
      <c r="F354" t="inlineStr">
        <is>
          <t>VÄRMLANDS LÄN</t>
        </is>
      </c>
      <c r="G354" t="inlineStr">
        <is>
          <t>SUNNE</t>
        </is>
      </c>
      <c r="I354" t="n">
        <v>8</v>
      </c>
      <c r="J354" t="n">
        <v>0</v>
      </c>
      <c r="K354" t="n">
        <v>0</v>
      </c>
      <c r="L354" t="n">
        <v>0</v>
      </c>
      <c r="M354" t="n">
        <v>0</v>
      </c>
      <c r="N354" t="n">
        <v>0</v>
      </c>
      <c r="O354" t="n">
        <v>0</v>
      </c>
      <c r="P354" t="n">
        <v>0</v>
      </c>
      <c r="Q354" t="n">
        <v>0</v>
      </c>
      <c r="R354" t="n">
        <v>0</v>
      </c>
      <c r="S354" t="n">
        <v>0</v>
      </c>
      <c r="T354" t="n">
        <v>0</v>
      </c>
      <c r="U354" s="2" t="inlineStr"/>
    </row>
    <row r="355" ht="15" customHeight="1">
      <c r="A355" t="inlineStr">
        <is>
          <t>A 48237-2021</t>
        </is>
      </c>
      <c r="B355" t="inlineStr">
        <is>
          <t>avverkningsanmälan</t>
        </is>
      </c>
      <c r="C355" t="inlineStr">
        <is>
          <t>Avverkning för annat ändamål</t>
        </is>
      </c>
      <c r="D355" s="1" t="n">
        <v>44449</v>
      </c>
      <c r="E355" s="1" t="n">
        <v>46219</v>
      </c>
      <c r="F355" t="inlineStr">
        <is>
          <t>VÄRMLANDS LÄN</t>
        </is>
      </c>
      <c r="G355" t="inlineStr">
        <is>
          <t>SUNNE</t>
        </is>
      </c>
      <c r="I355" t="n">
        <v>0.1</v>
      </c>
      <c r="J355" t="n">
        <v>0</v>
      </c>
      <c r="K355" t="n">
        <v>0</v>
      </c>
      <c r="L355" t="n">
        <v>0</v>
      </c>
      <c r="M355" t="n">
        <v>0</v>
      </c>
      <c r="N355" t="n">
        <v>0</v>
      </c>
      <c r="O355" t="n">
        <v>0</v>
      </c>
      <c r="P355" t="n">
        <v>0</v>
      </c>
      <c r="Q355" t="n">
        <v>0</v>
      </c>
      <c r="R355" t="n">
        <v>0</v>
      </c>
      <c r="S355" t="n">
        <v>0</v>
      </c>
      <c r="T355" t="n">
        <v>0</v>
      </c>
      <c r="U355" s="2" t="inlineStr"/>
    </row>
    <row r="356" ht="15" customHeight="1">
      <c r="A356" t="inlineStr">
        <is>
          <t>A 10231-2023</t>
        </is>
      </c>
      <c r="B356" t="inlineStr">
        <is>
          <t>avverkningsanmälan</t>
        </is>
      </c>
      <c r="C356" t="inlineStr">
        <is>
          <t>Avverkning för annat ändamål</t>
        </is>
      </c>
      <c r="D356" s="1" t="n">
        <v>44980</v>
      </c>
      <c r="E356" s="1" t="n">
        <v>46219</v>
      </c>
      <c r="F356" t="inlineStr">
        <is>
          <t>VÄRMLANDS LÄN</t>
        </is>
      </c>
      <c r="G356" t="inlineStr">
        <is>
          <t>SUNNE</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28499-2023</t>
        </is>
      </c>
      <c r="B357" t="inlineStr">
        <is>
          <t>avverkningsanmälan</t>
        </is>
      </c>
      <c r="C357" t="inlineStr">
        <is>
          <t>Föryngringsavverkning</t>
        </is>
      </c>
      <c r="D357" s="1" t="n">
        <v>45103</v>
      </c>
      <c r="E357" s="1" t="n">
        <v>46219</v>
      </c>
      <c r="F357" t="inlineStr">
        <is>
          <t>VÄRMLANDS LÄN</t>
        </is>
      </c>
      <c r="G357" t="inlineStr">
        <is>
          <t>SUNNE</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12119-2023</t>
        </is>
      </c>
      <c r="B358" t="inlineStr">
        <is>
          <t>avverkningsanmälan</t>
        </is>
      </c>
      <c r="C358" t="inlineStr">
        <is>
          <t>Föryngringsavverkning</t>
        </is>
      </c>
      <c r="D358" s="1" t="n">
        <v>44998</v>
      </c>
      <c r="E358" s="1" t="n">
        <v>46219</v>
      </c>
      <c r="F358" t="inlineStr">
        <is>
          <t>VÄRMLANDS LÄN</t>
        </is>
      </c>
      <c r="G358" t="inlineStr">
        <is>
          <t>SUNNE</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72781-2021</t>
        </is>
      </c>
      <c r="B359" t="inlineStr">
        <is>
          <t>avverkningsanmälan</t>
        </is>
      </c>
      <c r="C359" t="inlineStr">
        <is>
          <t>Föryngringsavverkning</t>
        </is>
      </c>
      <c r="D359" s="1" t="n">
        <v>44547</v>
      </c>
      <c r="E359" s="1" t="n">
        <v>46219</v>
      </c>
      <c r="F359" t="inlineStr">
        <is>
          <t>VÄRMLANDS LÄN</t>
        </is>
      </c>
      <c r="G359" t="inlineStr">
        <is>
          <t>SUNNE</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18542-2024</t>
        </is>
      </c>
      <c r="B360" t="inlineStr">
        <is>
          <t>avverkningsanmälan</t>
        </is>
      </c>
      <c r="C360" t="inlineStr">
        <is>
          <t>Föryngringsavverkning</t>
        </is>
      </c>
      <c r="D360" s="1" t="n">
        <v>45425</v>
      </c>
      <c r="E360" s="1" t="n">
        <v>46219</v>
      </c>
      <c r="F360" t="inlineStr">
        <is>
          <t>VÄRMLANDS LÄN</t>
        </is>
      </c>
      <c r="G360" t="inlineStr">
        <is>
          <t>SUNNE</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19454-2022</t>
        </is>
      </c>
      <c r="B361" t="inlineStr">
        <is>
          <t>avverkningsanmälan</t>
        </is>
      </c>
      <c r="C361" t="inlineStr">
        <is>
          <t>Föryngringsavverkning</t>
        </is>
      </c>
      <c r="D361" s="1" t="n">
        <v>44693</v>
      </c>
      <c r="E361" s="1" t="n">
        <v>46219</v>
      </c>
      <c r="F361" t="inlineStr">
        <is>
          <t>VÄRMLANDS LÄN</t>
        </is>
      </c>
      <c r="G361" t="inlineStr">
        <is>
          <t>SUNNE</t>
        </is>
      </c>
      <c r="I361" t="n">
        <v>8.9</v>
      </c>
      <c r="J361" t="n">
        <v>0</v>
      </c>
      <c r="K361" t="n">
        <v>0</v>
      </c>
      <c r="L361" t="n">
        <v>0</v>
      </c>
      <c r="M361" t="n">
        <v>0</v>
      </c>
      <c r="N361" t="n">
        <v>0</v>
      </c>
      <c r="O361" t="n">
        <v>0</v>
      </c>
      <c r="P361" t="n">
        <v>0</v>
      </c>
      <c r="Q361" t="n">
        <v>0</v>
      </c>
      <c r="R361" t="n">
        <v>0</v>
      </c>
      <c r="S361" t="n">
        <v>0</v>
      </c>
      <c r="T361" t="n">
        <v>0</v>
      </c>
      <c r="U361" s="2" t="inlineStr"/>
    </row>
    <row r="362" ht="15" customHeight="1">
      <c r="A362" t="inlineStr">
        <is>
          <t>A 24331-2024</t>
        </is>
      </c>
      <c r="B362" t="inlineStr">
        <is>
          <t>avverkningsanmälan</t>
        </is>
      </c>
      <c r="C362" t="inlineStr">
        <is>
          <t>Föryngringsavverkning</t>
        </is>
      </c>
      <c r="D362" s="1" t="n">
        <v>45457</v>
      </c>
      <c r="E362" s="1" t="n">
        <v>46219</v>
      </c>
      <c r="F362" t="inlineStr">
        <is>
          <t>VÄRMLANDS LÄN</t>
        </is>
      </c>
      <c r="G362" t="inlineStr">
        <is>
          <t>SUNNE</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34059-2023</t>
        </is>
      </c>
      <c r="B363" t="inlineStr">
        <is>
          <t>avverkningsanmälan</t>
        </is>
      </c>
      <c r="C363" t="inlineStr">
        <is>
          <t>Föryngringsavverkning</t>
        </is>
      </c>
      <c r="D363" s="1" t="n">
        <v>45125</v>
      </c>
      <c r="E363" s="1" t="n">
        <v>46219</v>
      </c>
      <c r="F363" t="inlineStr">
        <is>
          <t>VÄRMLANDS LÄN</t>
        </is>
      </c>
      <c r="G363" t="inlineStr">
        <is>
          <t>SUNNE</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19494-2023</t>
        </is>
      </c>
      <c r="B364" t="inlineStr">
        <is>
          <t>avverkningsanmälan</t>
        </is>
      </c>
      <c r="C364" t="inlineStr">
        <is>
          <t>Föryngringsavverkning</t>
        </is>
      </c>
      <c r="D364" s="1" t="n">
        <v>45050</v>
      </c>
      <c r="E364" s="1" t="n">
        <v>46219</v>
      </c>
      <c r="F364" t="inlineStr">
        <is>
          <t>VÄRMLANDS LÄN</t>
        </is>
      </c>
      <c r="G364" t="inlineStr">
        <is>
          <t>SUNNE</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52994-2021</t>
        </is>
      </c>
      <c r="B365" t="inlineStr">
        <is>
          <t>avverkningsanmälan</t>
        </is>
      </c>
      <c r="C365" t="inlineStr">
        <is>
          <t>Föryngringsavverkning</t>
        </is>
      </c>
      <c r="D365" s="1" t="n">
        <v>44467</v>
      </c>
      <c r="E365" s="1" t="n">
        <v>46219</v>
      </c>
      <c r="F365" t="inlineStr">
        <is>
          <t>VÄRMLANDS LÄN</t>
        </is>
      </c>
      <c r="G365" t="inlineStr">
        <is>
          <t>SUNNE</t>
        </is>
      </c>
      <c r="I365" t="n">
        <v>4.2</v>
      </c>
      <c r="J365" t="n">
        <v>0</v>
      </c>
      <c r="K365" t="n">
        <v>0</v>
      </c>
      <c r="L365" t="n">
        <v>0</v>
      </c>
      <c r="M365" t="n">
        <v>0</v>
      </c>
      <c r="N365" t="n">
        <v>0</v>
      </c>
      <c r="O365" t="n">
        <v>0</v>
      </c>
      <c r="P365" t="n">
        <v>0</v>
      </c>
      <c r="Q365" t="n">
        <v>0</v>
      </c>
      <c r="R365" t="n">
        <v>0</v>
      </c>
      <c r="S365" t="n">
        <v>0</v>
      </c>
      <c r="T365" t="n">
        <v>0</v>
      </c>
      <c r="U365" s="2" t="inlineStr"/>
    </row>
    <row r="366" ht="15" customHeight="1">
      <c r="A366" t="inlineStr">
        <is>
          <t>A 12408-2024</t>
        </is>
      </c>
      <c r="B366" t="inlineStr">
        <is>
          <t>avverkningsanmälan</t>
        </is>
      </c>
      <c r="C366" t="inlineStr">
        <is>
          <t>Föryngringsavverkning</t>
        </is>
      </c>
      <c r="D366" s="1" t="n">
        <v>45379</v>
      </c>
      <c r="E366" s="1" t="n">
        <v>46219</v>
      </c>
      <c r="F366" t="inlineStr">
        <is>
          <t>VÄRMLANDS LÄN</t>
        </is>
      </c>
      <c r="G366" t="inlineStr">
        <is>
          <t>SUNNE</t>
        </is>
      </c>
      <c r="I366" t="n">
        <v>3.7</v>
      </c>
      <c r="J366" t="n">
        <v>0</v>
      </c>
      <c r="K366" t="n">
        <v>0</v>
      </c>
      <c r="L366" t="n">
        <v>0</v>
      </c>
      <c r="M366" t="n">
        <v>0</v>
      </c>
      <c r="N366" t="n">
        <v>0</v>
      </c>
      <c r="O366" t="n">
        <v>0</v>
      </c>
      <c r="P366" t="n">
        <v>0</v>
      </c>
      <c r="Q366" t="n">
        <v>0</v>
      </c>
      <c r="R366" t="n">
        <v>0</v>
      </c>
      <c r="S366" t="n">
        <v>0</v>
      </c>
      <c r="T366" t="n">
        <v>0</v>
      </c>
      <c r="U366" s="2" t="inlineStr"/>
    </row>
    <row r="367" ht="15" customHeight="1">
      <c r="A367" t="inlineStr">
        <is>
          <t>A 9445-2024</t>
        </is>
      </c>
      <c r="B367" t="inlineStr">
        <is>
          <t>avverkningsanmälan</t>
        </is>
      </c>
      <c r="C367" t="inlineStr">
        <is>
          <t>Föryngringsavverkning</t>
        </is>
      </c>
      <c r="D367" s="1" t="n">
        <v>45359</v>
      </c>
      <c r="E367" s="1" t="n">
        <v>46219</v>
      </c>
      <c r="F367" t="inlineStr">
        <is>
          <t>VÄRMLANDS LÄN</t>
        </is>
      </c>
      <c r="G367" t="inlineStr">
        <is>
          <t>SUNNE</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40740-2024</t>
        </is>
      </c>
      <c r="B368" t="inlineStr">
        <is>
          <t>avverkningsanmälan</t>
        </is>
      </c>
      <c r="C368" t="inlineStr">
        <is>
          <t>Föryngringsavverkning</t>
        </is>
      </c>
      <c r="D368" s="1" t="n">
        <v>45558</v>
      </c>
      <c r="E368" s="1" t="n">
        <v>46219</v>
      </c>
      <c r="F368" t="inlineStr">
        <is>
          <t>VÄRMLANDS LÄN</t>
        </is>
      </c>
      <c r="G368" t="inlineStr">
        <is>
          <t>SUNNE</t>
        </is>
      </c>
      <c r="I368" t="n">
        <v>21.9</v>
      </c>
      <c r="J368" t="n">
        <v>0</v>
      </c>
      <c r="K368" t="n">
        <v>0</v>
      </c>
      <c r="L368" t="n">
        <v>0</v>
      </c>
      <c r="M368" t="n">
        <v>0</v>
      </c>
      <c r="N368" t="n">
        <v>0</v>
      </c>
      <c r="O368" t="n">
        <v>0</v>
      </c>
      <c r="P368" t="n">
        <v>0</v>
      </c>
      <c r="Q368" t="n">
        <v>0</v>
      </c>
      <c r="R368" t="n">
        <v>0</v>
      </c>
      <c r="S368" t="n">
        <v>0</v>
      </c>
      <c r="T368" t="n">
        <v>0</v>
      </c>
      <c r="U368" s="2" t="inlineStr"/>
    </row>
    <row r="369" ht="15" customHeight="1">
      <c r="A369" t="inlineStr">
        <is>
          <t>A 29129-2022</t>
        </is>
      </c>
      <c r="B369" t="inlineStr">
        <is>
          <t>avverkningsanmälan</t>
        </is>
      </c>
      <c r="C369" t="inlineStr">
        <is>
          <t>Föryngringsavverkning</t>
        </is>
      </c>
      <c r="D369" s="1" t="n">
        <v>44750</v>
      </c>
      <c r="E369" s="1" t="n">
        <v>46219</v>
      </c>
      <c r="F369" t="inlineStr">
        <is>
          <t>VÄRMLANDS LÄN</t>
        </is>
      </c>
      <c r="G369" t="inlineStr">
        <is>
          <t>SUNNE</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28205-2025</t>
        </is>
      </c>
      <c r="B370" t="inlineStr">
        <is>
          <t>avverkningsanmälan</t>
        </is>
      </c>
      <c r="C370" t="inlineStr">
        <is>
          <t>Föryngringsavverkning</t>
        </is>
      </c>
      <c r="D370" s="1" t="n">
        <v>45818</v>
      </c>
      <c r="E370" s="1" t="n">
        <v>46219</v>
      </c>
      <c r="F370" t="inlineStr">
        <is>
          <t>VÄRMLANDS LÄN</t>
        </is>
      </c>
      <c r="G370" t="inlineStr">
        <is>
          <t>SUNNE</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27088-2022</t>
        </is>
      </c>
      <c r="B371" t="inlineStr">
        <is>
          <t>avverkningsanmälan</t>
        </is>
      </c>
      <c r="C371" t="inlineStr">
        <is>
          <t>Föryngringsavverkning</t>
        </is>
      </c>
      <c r="D371" s="1" t="n">
        <v>44741</v>
      </c>
      <c r="E371" s="1" t="n">
        <v>46219</v>
      </c>
      <c r="F371" t="inlineStr">
        <is>
          <t>VÄRMLANDS LÄN</t>
        </is>
      </c>
      <c r="G371" t="inlineStr">
        <is>
          <t>SUNNE</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7230-2022</t>
        </is>
      </c>
      <c r="B372" t="inlineStr">
        <is>
          <t>avverkningsanmälan</t>
        </is>
      </c>
      <c r="C372" t="inlineStr">
        <is>
          <t>Föryngringsavverkning</t>
        </is>
      </c>
      <c r="D372" s="1" t="n">
        <v>44606</v>
      </c>
      <c r="E372" s="1" t="n">
        <v>46219</v>
      </c>
      <c r="F372" t="inlineStr">
        <is>
          <t>VÄRMLANDS LÄN</t>
        </is>
      </c>
      <c r="G372" t="inlineStr">
        <is>
          <t>SUNNE</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24289-2025</t>
        </is>
      </c>
      <c r="B373" t="inlineStr">
        <is>
          <t>avverkningsanmälan</t>
        </is>
      </c>
      <c r="C373" t="inlineStr">
        <is>
          <t>Föryngringsavverkning</t>
        </is>
      </c>
      <c r="D373" s="1" t="n">
        <v>45797</v>
      </c>
      <c r="E373" s="1" t="n">
        <v>46219</v>
      </c>
      <c r="F373" t="inlineStr">
        <is>
          <t>VÄRMLANDS LÄN</t>
        </is>
      </c>
      <c r="G373" t="inlineStr">
        <is>
          <t>SUNNE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40612-2023</t>
        </is>
      </c>
      <c r="B374" t="inlineStr">
        <is>
          <t>avverkningsanmälan</t>
        </is>
      </c>
      <c r="C374" t="inlineStr">
        <is>
          <t>Föryngringsavverkning</t>
        </is>
      </c>
      <c r="D374" s="1" t="n">
        <v>45170</v>
      </c>
      <c r="E374" s="1" t="n">
        <v>46219</v>
      </c>
      <c r="F374" t="inlineStr">
        <is>
          <t>VÄRMLANDS LÄN</t>
        </is>
      </c>
      <c r="G374" t="inlineStr">
        <is>
          <t>SUNNE</t>
        </is>
      </c>
      <c r="I374" t="n">
        <v>2.1</v>
      </c>
      <c r="J374" t="n">
        <v>0</v>
      </c>
      <c r="K374" t="n">
        <v>0</v>
      </c>
      <c r="L374" t="n">
        <v>0</v>
      </c>
      <c r="M374" t="n">
        <v>0</v>
      </c>
      <c r="N374" t="n">
        <v>0</v>
      </c>
      <c r="O374" t="n">
        <v>0</v>
      </c>
      <c r="P374" t="n">
        <v>0</v>
      </c>
      <c r="Q374" t="n">
        <v>0</v>
      </c>
      <c r="R374" t="n">
        <v>0</v>
      </c>
      <c r="S374" t="n">
        <v>0</v>
      </c>
      <c r="T374" t="n">
        <v>0</v>
      </c>
      <c r="U374" s="2" t="inlineStr"/>
    </row>
    <row r="375" ht="15" customHeight="1">
      <c r="A375" t="inlineStr">
        <is>
          <t>A 6930-2025</t>
        </is>
      </c>
      <c r="B375" t="inlineStr">
        <is>
          <t>avverkningsanmälan</t>
        </is>
      </c>
      <c r="C375" t="inlineStr">
        <is>
          <t>Föryngringsavverkning</t>
        </is>
      </c>
      <c r="D375" s="1" t="n">
        <v>45701</v>
      </c>
      <c r="E375" s="1" t="n">
        <v>46219</v>
      </c>
      <c r="F375" t="inlineStr">
        <is>
          <t>VÄRMLANDS LÄN</t>
        </is>
      </c>
      <c r="G375" t="inlineStr">
        <is>
          <t>SUNNE</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44904-2021</t>
        </is>
      </c>
      <c r="B376" t="inlineStr">
        <is>
          <t>avverkningsanmälan</t>
        </is>
      </c>
      <c r="C376" t="inlineStr">
        <is>
          <t>Föryngringsavverkning</t>
        </is>
      </c>
      <c r="D376" s="1" t="n">
        <v>44438</v>
      </c>
      <c r="E376" s="1" t="n">
        <v>46219</v>
      </c>
      <c r="F376" t="inlineStr">
        <is>
          <t>VÄRMLANDS LÄN</t>
        </is>
      </c>
      <c r="G376" t="inlineStr">
        <is>
          <t>SUNNE</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43067-2023</t>
        </is>
      </c>
      <c r="B377" t="inlineStr">
        <is>
          <t>avverkningsanmälan</t>
        </is>
      </c>
      <c r="C377" t="inlineStr">
        <is>
          <t>Föryngringsavverkning</t>
        </is>
      </c>
      <c r="D377" s="1" t="n">
        <v>45182</v>
      </c>
      <c r="E377" s="1" t="n">
        <v>46219</v>
      </c>
      <c r="F377" t="inlineStr">
        <is>
          <t>VÄRMLANDS LÄN</t>
        </is>
      </c>
      <c r="G377" t="inlineStr">
        <is>
          <t>SUNNE</t>
        </is>
      </c>
      <c r="I377" t="n">
        <v>4.9</v>
      </c>
      <c r="J377" t="n">
        <v>0</v>
      </c>
      <c r="K377" t="n">
        <v>0</v>
      </c>
      <c r="L377" t="n">
        <v>0</v>
      </c>
      <c r="M377" t="n">
        <v>0</v>
      </c>
      <c r="N377" t="n">
        <v>0</v>
      </c>
      <c r="O377" t="n">
        <v>0</v>
      </c>
      <c r="P377" t="n">
        <v>0</v>
      </c>
      <c r="Q377" t="n">
        <v>0</v>
      </c>
      <c r="R377" t="n">
        <v>0</v>
      </c>
      <c r="S377" t="n">
        <v>0</v>
      </c>
      <c r="T377" t="n">
        <v>0</v>
      </c>
      <c r="U377" s="2" t="inlineStr"/>
    </row>
    <row r="378" ht="15" customHeight="1">
      <c r="A378" t="inlineStr">
        <is>
          <t>A 41915-2021</t>
        </is>
      </c>
      <c r="B378" t="inlineStr">
        <is>
          <t>avverkningsanmälan</t>
        </is>
      </c>
      <c r="C378" t="inlineStr">
        <is>
          <t>Föryngringsavverkning</t>
        </is>
      </c>
      <c r="D378" s="1" t="n">
        <v>44426</v>
      </c>
      <c r="E378" s="1" t="n">
        <v>46219</v>
      </c>
      <c r="F378" t="inlineStr">
        <is>
          <t>VÄRMLANDS LÄN</t>
        </is>
      </c>
      <c r="G378" t="inlineStr">
        <is>
          <t>SUNNE</t>
        </is>
      </c>
      <c r="I378" t="n">
        <v>5.2</v>
      </c>
      <c r="J378" t="n">
        <v>0</v>
      </c>
      <c r="K378" t="n">
        <v>0</v>
      </c>
      <c r="L378" t="n">
        <v>0</v>
      </c>
      <c r="M378" t="n">
        <v>0</v>
      </c>
      <c r="N378" t="n">
        <v>0</v>
      </c>
      <c r="O378" t="n">
        <v>0</v>
      </c>
      <c r="P378" t="n">
        <v>0</v>
      </c>
      <c r="Q378" t="n">
        <v>0</v>
      </c>
      <c r="R378" t="n">
        <v>0</v>
      </c>
      <c r="S378" t="n">
        <v>0</v>
      </c>
      <c r="T378" t="n">
        <v>0</v>
      </c>
      <c r="U378" s="2" t="inlineStr"/>
    </row>
    <row r="379" ht="15" customHeight="1">
      <c r="A379" t="inlineStr">
        <is>
          <t>A 8941-2023</t>
        </is>
      </c>
      <c r="B379" t="inlineStr">
        <is>
          <t>avverkningsanmälan</t>
        </is>
      </c>
      <c r="C379" t="inlineStr">
        <is>
          <t>Föryngringsavverkning</t>
        </is>
      </c>
      <c r="D379" s="1" t="n">
        <v>44979</v>
      </c>
      <c r="E379" s="1" t="n">
        <v>46219</v>
      </c>
      <c r="F379" t="inlineStr">
        <is>
          <t>VÄRMLANDS LÄN</t>
        </is>
      </c>
      <c r="G379" t="inlineStr">
        <is>
          <t>SUNNE</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39277-2025</t>
        </is>
      </c>
      <c r="B380" t="inlineStr">
        <is>
          <t>avverkningsanmälan</t>
        </is>
      </c>
      <c r="C380" t="inlineStr">
        <is>
          <t>Föryngringsavverkning</t>
        </is>
      </c>
      <c r="D380" s="1" t="n">
        <v>45889</v>
      </c>
      <c r="E380" s="1" t="n">
        <v>46219</v>
      </c>
      <c r="F380" t="inlineStr">
        <is>
          <t>VÄRMLANDS LÄN</t>
        </is>
      </c>
      <c r="G380" t="inlineStr">
        <is>
          <t>SUNNE</t>
        </is>
      </c>
      <c r="I380" t="n">
        <v>6</v>
      </c>
      <c r="J380" t="n">
        <v>0</v>
      </c>
      <c r="K380" t="n">
        <v>0</v>
      </c>
      <c r="L380" t="n">
        <v>0</v>
      </c>
      <c r="M380" t="n">
        <v>0</v>
      </c>
      <c r="N380" t="n">
        <v>0</v>
      </c>
      <c r="O380" t="n">
        <v>0</v>
      </c>
      <c r="P380" t="n">
        <v>0</v>
      </c>
      <c r="Q380" t="n">
        <v>0</v>
      </c>
      <c r="R380" t="n">
        <v>0</v>
      </c>
      <c r="S380" t="n">
        <v>0</v>
      </c>
      <c r="T380" t="n">
        <v>0</v>
      </c>
      <c r="U380" s="2" t="inlineStr"/>
    </row>
    <row r="381" ht="15" customHeight="1">
      <c r="A381" t="inlineStr">
        <is>
          <t>A 27061-2024</t>
        </is>
      </c>
      <c r="B381" t="inlineStr">
        <is>
          <t>avverkningsanmälan</t>
        </is>
      </c>
      <c r="C381" t="inlineStr">
        <is>
          <t>Föryngringsavverkning</t>
        </is>
      </c>
      <c r="D381" s="1" t="n">
        <v>45471</v>
      </c>
      <c r="E381" s="1" t="n">
        <v>46219</v>
      </c>
      <c r="F381" t="inlineStr">
        <is>
          <t>VÄRMLANDS LÄN</t>
        </is>
      </c>
      <c r="G381" t="inlineStr">
        <is>
          <t>SUNNE</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5861-2023</t>
        </is>
      </c>
      <c r="B382" t="inlineStr">
        <is>
          <t>avverkningsanmälan</t>
        </is>
      </c>
      <c r="C382" t="inlineStr">
        <is>
          <t>Föryngringsavverkning</t>
        </is>
      </c>
      <c r="D382" s="1" t="n">
        <v>44959</v>
      </c>
      <c r="E382" s="1" t="n">
        <v>46219</v>
      </c>
      <c r="F382" t="inlineStr">
        <is>
          <t>VÄRMLANDS LÄN</t>
        </is>
      </c>
      <c r="G382" t="inlineStr">
        <is>
          <t>SUNNE</t>
        </is>
      </c>
      <c r="I382" t="n">
        <v>2.1</v>
      </c>
      <c r="J382" t="n">
        <v>0</v>
      </c>
      <c r="K382" t="n">
        <v>0</v>
      </c>
      <c r="L382" t="n">
        <v>0</v>
      </c>
      <c r="M382" t="n">
        <v>0</v>
      </c>
      <c r="N382" t="n">
        <v>0</v>
      </c>
      <c r="O382" t="n">
        <v>0</v>
      </c>
      <c r="P382" t="n">
        <v>0</v>
      </c>
      <c r="Q382" t="n">
        <v>0</v>
      </c>
      <c r="R382" t="n">
        <v>0</v>
      </c>
      <c r="S382" t="n">
        <v>0</v>
      </c>
      <c r="T382" t="n">
        <v>0</v>
      </c>
      <c r="U382" s="2" t="inlineStr"/>
    </row>
    <row r="383" ht="15" customHeight="1">
      <c r="A383" t="inlineStr">
        <is>
          <t>A 49030-2022</t>
        </is>
      </c>
      <c r="B383" t="inlineStr">
        <is>
          <t>avverkningsanmälan</t>
        </is>
      </c>
      <c r="C383" t="inlineStr">
        <is>
          <t>Avverkning för annat ändamål</t>
        </is>
      </c>
      <c r="D383" s="1" t="n">
        <v>44860</v>
      </c>
      <c r="E383" s="1" t="n">
        <v>46219</v>
      </c>
      <c r="F383" t="inlineStr">
        <is>
          <t>VÄRMLANDS LÄN</t>
        </is>
      </c>
      <c r="G383" t="inlineStr">
        <is>
          <t>SUNNE</t>
        </is>
      </c>
      <c r="I383" t="n">
        <v>0.3</v>
      </c>
      <c r="J383" t="n">
        <v>0</v>
      </c>
      <c r="K383" t="n">
        <v>0</v>
      </c>
      <c r="L383" t="n">
        <v>0</v>
      </c>
      <c r="M383" t="n">
        <v>0</v>
      </c>
      <c r="N383" t="n">
        <v>0</v>
      </c>
      <c r="O383" t="n">
        <v>0</v>
      </c>
      <c r="P383" t="n">
        <v>0</v>
      </c>
      <c r="Q383" t="n">
        <v>0</v>
      </c>
      <c r="R383" t="n">
        <v>0</v>
      </c>
      <c r="S383" t="n">
        <v>0</v>
      </c>
      <c r="T383" t="n">
        <v>0</v>
      </c>
      <c r="U383" s="2" t="inlineStr"/>
    </row>
    <row r="384" ht="15" customHeight="1">
      <c r="A384" t="inlineStr">
        <is>
          <t>A 28023-2023</t>
        </is>
      </c>
      <c r="B384" t="inlineStr">
        <is>
          <t>avverkningsanmälan</t>
        </is>
      </c>
      <c r="C384" t="inlineStr">
        <is>
          <t>Föryngringsavverkning</t>
        </is>
      </c>
      <c r="D384" s="1" t="n">
        <v>45098</v>
      </c>
      <c r="E384" s="1" t="n">
        <v>46219</v>
      </c>
      <c r="F384" t="inlineStr">
        <is>
          <t>VÄRMLANDS LÄN</t>
        </is>
      </c>
      <c r="G384" t="inlineStr">
        <is>
          <t>SUNNE</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39336-2025</t>
        </is>
      </c>
      <c r="B385" t="inlineStr">
        <is>
          <t>avverkningsanmälan</t>
        </is>
      </c>
      <c r="C385" t="inlineStr">
        <is>
          <t>Föryngringsavverkning</t>
        </is>
      </c>
      <c r="D385" s="1" t="n">
        <v>45889</v>
      </c>
      <c r="E385" s="1" t="n">
        <v>46219</v>
      </c>
      <c r="F385" t="inlineStr">
        <is>
          <t>VÄRMLANDS LÄN</t>
        </is>
      </c>
      <c r="G385" t="inlineStr">
        <is>
          <t>SUNNE</t>
        </is>
      </c>
      <c r="I385" t="n">
        <v>5.6</v>
      </c>
      <c r="J385" t="n">
        <v>0</v>
      </c>
      <c r="K385" t="n">
        <v>0</v>
      </c>
      <c r="L385" t="n">
        <v>0</v>
      </c>
      <c r="M385" t="n">
        <v>0</v>
      </c>
      <c r="N385" t="n">
        <v>0</v>
      </c>
      <c r="O385" t="n">
        <v>0</v>
      </c>
      <c r="P385" t="n">
        <v>0</v>
      </c>
      <c r="Q385" t="n">
        <v>0</v>
      </c>
      <c r="R385" t="n">
        <v>0</v>
      </c>
      <c r="S385" t="n">
        <v>0</v>
      </c>
      <c r="T385" t="n">
        <v>0</v>
      </c>
      <c r="U385" s="2" t="inlineStr"/>
    </row>
    <row r="386" ht="15" customHeight="1">
      <c r="A386" t="inlineStr">
        <is>
          <t>A 34723-2022</t>
        </is>
      </c>
      <c r="B386" t="inlineStr">
        <is>
          <t>avverkningsanmälan</t>
        </is>
      </c>
      <c r="C386" t="inlineStr">
        <is>
          <t>Föryngringsavverkning</t>
        </is>
      </c>
      <c r="D386" s="1" t="n">
        <v>44795</v>
      </c>
      <c r="E386" s="1" t="n">
        <v>46219</v>
      </c>
      <c r="F386" t="inlineStr">
        <is>
          <t>VÄRMLANDS LÄN</t>
        </is>
      </c>
      <c r="G386" t="inlineStr">
        <is>
          <t>SUNNE</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39503-2025</t>
        </is>
      </c>
      <c r="B387" t="inlineStr">
        <is>
          <t>avverkningsanmälan</t>
        </is>
      </c>
      <c r="C387" t="inlineStr">
        <is>
          <t>Föryngringsavverkning</t>
        </is>
      </c>
      <c r="D387" s="1" t="n">
        <v>45890</v>
      </c>
      <c r="E387" s="1" t="n">
        <v>46219</v>
      </c>
      <c r="F387" t="inlineStr">
        <is>
          <t>VÄRMLANDS LÄN</t>
        </is>
      </c>
      <c r="G387" t="inlineStr">
        <is>
          <t>SUNNE</t>
        </is>
      </c>
      <c r="H387" t="inlineStr">
        <is>
          <t>Kyrkan</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39519-2025</t>
        </is>
      </c>
      <c r="B388" t="inlineStr">
        <is>
          <t>avverkningsanmälan</t>
        </is>
      </c>
      <c r="C388" t="inlineStr">
        <is>
          <t>Föryngringsavverkning</t>
        </is>
      </c>
      <c r="D388" s="1" t="n">
        <v>45890</v>
      </c>
      <c r="E388" s="1" t="n">
        <v>46219</v>
      </c>
      <c r="F388" t="inlineStr">
        <is>
          <t>VÄRMLANDS LÄN</t>
        </is>
      </c>
      <c r="G388" t="inlineStr">
        <is>
          <t>SUNNE</t>
        </is>
      </c>
      <c r="I388" t="n">
        <v>11.2</v>
      </c>
      <c r="J388" t="n">
        <v>0</v>
      </c>
      <c r="K388" t="n">
        <v>0</v>
      </c>
      <c r="L388" t="n">
        <v>0</v>
      </c>
      <c r="M388" t="n">
        <v>0</v>
      </c>
      <c r="N388" t="n">
        <v>0</v>
      </c>
      <c r="O388" t="n">
        <v>0</v>
      </c>
      <c r="P388" t="n">
        <v>0</v>
      </c>
      <c r="Q388" t="n">
        <v>0</v>
      </c>
      <c r="R388" t="n">
        <v>0</v>
      </c>
      <c r="S388" t="n">
        <v>0</v>
      </c>
      <c r="T388" t="n">
        <v>0</v>
      </c>
      <c r="U388" s="2" t="inlineStr"/>
    </row>
    <row r="389" ht="15" customHeight="1">
      <c r="A389" t="inlineStr">
        <is>
          <t>A 39540-2025</t>
        </is>
      </c>
      <c r="B389" t="inlineStr">
        <is>
          <t>avverkningsanmälan</t>
        </is>
      </c>
      <c r="C389" t="inlineStr">
        <is>
          <t>Föryngringsavverkning</t>
        </is>
      </c>
      <c r="D389" s="1" t="n">
        <v>45890</v>
      </c>
      <c r="E389" s="1" t="n">
        <v>46219</v>
      </c>
      <c r="F389" t="inlineStr">
        <is>
          <t>VÄRMLANDS LÄN</t>
        </is>
      </c>
      <c r="G389" t="inlineStr">
        <is>
          <t>SUNNE</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2384-2022</t>
        </is>
      </c>
      <c r="B390" t="inlineStr">
        <is>
          <t>avverkningsanmälan</t>
        </is>
      </c>
      <c r="C390" t="inlineStr">
        <is>
          <t>Föryngringsavverkning</t>
        </is>
      </c>
      <c r="D390" s="1" t="n">
        <v>44579</v>
      </c>
      <c r="E390" s="1" t="n">
        <v>46219</v>
      </c>
      <c r="F390" t="inlineStr">
        <is>
          <t>VÄRMLANDS LÄN</t>
        </is>
      </c>
      <c r="G390" t="inlineStr">
        <is>
          <t>SUNNE</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25816-2024</t>
        </is>
      </c>
      <c r="B391" t="inlineStr">
        <is>
          <t>avverkningsanmälan</t>
        </is>
      </c>
      <c r="C391" t="inlineStr">
        <is>
          <t>Föryngringsavverkning</t>
        </is>
      </c>
      <c r="D391" s="1" t="n">
        <v>45467</v>
      </c>
      <c r="E391" s="1" t="n">
        <v>46219</v>
      </c>
      <c r="F391" t="inlineStr">
        <is>
          <t>VÄRMLANDS LÄN</t>
        </is>
      </c>
      <c r="G391" t="inlineStr">
        <is>
          <t>SUNNE</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44484-2022</t>
        </is>
      </c>
      <c r="B392" t="inlineStr">
        <is>
          <t>avverkningsanmälan</t>
        </is>
      </c>
      <c r="C392" t="inlineStr">
        <is>
          <t>Föryngringsavverkning</t>
        </is>
      </c>
      <c r="D392" s="1" t="n">
        <v>44840</v>
      </c>
      <c r="E392" s="1" t="n">
        <v>46219</v>
      </c>
      <c r="F392" t="inlineStr">
        <is>
          <t>VÄRMLANDS LÄN</t>
        </is>
      </c>
      <c r="G392" t="inlineStr">
        <is>
          <t>SUNNE</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53749-2021</t>
        </is>
      </c>
      <c r="B393" t="inlineStr">
        <is>
          <t>avverkningsanmälan</t>
        </is>
      </c>
      <c r="C393" t="inlineStr">
        <is>
          <t>Föryngringsavverkning</t>
        </is>
      </c>
      <c r="D393" s="1" t="n">
        <v>44469</v>
      </c>
      <c r="E393" s="1" t="n">
        <v>46219</v>
      </c>
      <c r="F393" t="inlineStr">
        <is>
          <t>VÄRMLANDS LÄN</t>
        </is>
      </c>
      <c r="G393" t="inlineStr">
        <is>
          <t>SUNNE</t>
        </is>
      </c>
      <c r="H393" t="inlineStr">
        <is>
          <t>Kyrkan</t>
        </is>
      </c>
      <c r="I393" t="n">
        <v>4</v>
      </c>
      <c r="J393" t="n">
        <v>0</v>
      </c>
      <c r="K393" t="n">
        <v>0</v>
      </c>
      <c r="L393" t="n">
        <v>0</v>
      </c>
      <c r="M393" t="n">
        <v>0</v>
      </c>
      <c r="N393" t="n">
        <v>0</v>
      </c>
      <c r="O393" t="n">
        <v>0</v>
      </c>
      <c r="P393" t="n">
        <v>0</v>
      </c>
      <c r="Q393" t="n">
        <v>0</v>
      </c>
      <c r="R393" t="n">
        <v>0</v>
      </c>
      <c r="S393" t="n">
        <v>0</v>
      </c>
      <c r="T393" t="n">
        <v>0</v>
      </c>
      <c r="U393" s="2" t="inlineStr"/>
    </row>
    <row r="394" ht="15" customHeight="1">
      <c r="A394" t="inlineStr">
        <is>
          <t>A 6944-2025</t>
        </is>
      </c>
      <c r="B394" t="inlineStr">
        <is>
          <t>avverkningsanmälan</t>
        </is>
      </c>
      <c r="C394" t="inlineStr">
        <is>
          <t>Föryngringsavverkning</t>
        </is>
      </c>
      <c r="D394" s="1" t="n">
        <v>45701</v>
      </c>
      <c r="E394" s="1" t="n">
        <v>46219</v>
      </c>
      <c r="F394" t="inlineStr">
        <is>
          <t>VÄRMLANDS LÄN</t>
        </is>
      </c>
      <c r="G394" t="inlineStr">
        <is>
          <t>SUNNE</t>
        </is>
      </c>
      <c r="H394" t="inlineStr">
        <is>
          <t>Bergvik skog väst AB</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37381-2021</t>
        </is>
      </c>
      <c r="B395" t="inlineStr">
        <is>
          <t>avverkningsanmälan</t>
        </is>
      </c>
      <c r="C395" t="inlineStr">
        <is>
          <t>Föryngringsavverkning</t>
        </is>
      </c>
      <c r="D395" s="1" t="n">
        <v>44398</v>
      </c>
      <c r="E395" s="1" t="n">
        <v>46219</v>
      </c>
      <c r="F395" t="inlineStr">
        <is>
          <t>VÄRMLANDS LÄN</t>
        </is>
      </c>
      <c r="G395" t="inlineStr">
        <is>
          <t>SUNNE</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41208-2023</t>
        </is>
      </c>
      <c r="B396" t="inlineStr">
        <is>
          <t>avverkningsanmälan</t>
        </is>
      </c>
      <c r="C396" t="inlineStr">
        <is>
          <t>Föryngringsavverkning</t>
        </is>
      </c>
      <c r="D396" s="1" t="n">
        <v>45174</v>
      </c>
      <c r="E396" s="1" t="n">
        <v>46219</v>
      </c>
      <c r="F396" t="inlineStr">
        <is>
          <t>VÄRMLANDS LÄN</t>
        </is>
      </c>
      <c r="G396" t="inlineStr">
        <is>
          <t>SUNNE</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53-2023</t>
        </is>
      </c>
      <c r="B397" t="inlineStr">
        <is>
          <t>avverkningsanmälan</t>
        </is>
      </c>
      <c r="C397" t="inlineStr">
        <is>
          <t>Föryngringsavverkning</t>
        </is>
      </c>
      <c r="D397" s="1" t="n">
        <v>44928</v>
      </c>
      <c r="E397" s="1" t="n">
        <v>46219</v>
      </c>
      <c r="F397" t="inlineStr">
        <is>
          <t>VÄRMLANDS LÄN</t>
        </is>
      </c>
      <c r="G397" t="inlineStr">
        <is>
          <t>SUNNE</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58131-2022</t>
        </is>
      </c>
      <c r="B398" t="inlineStr">
        <is>
          <t>avverkningsanmälan</t>
        </is>
      </c>
      <c r="C398" t="inlineStr">
        <is>
          <t>Föryngringsavverkning</t>
        </is>
      </c>
      <c r="D398" s="1" t="n">
        <v>44900</v>
      </c>
      <c r="E398" s="1" t="n">
        <v>46219</v>
      </c>
      <c r="F398" t="inlineStr">
        <is>
          <t>VÄRMLANDS LÄN</t>
        </is>
      </c>
      <c r="G398" t="inlineStr">
        <is>
          <t>SUNNE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14050-2025</t>
        </is>
      </c>
      <c r="B399" t="inlineStr">
        <is>
          <t>avverkningsanmälan</t>
        </is>
      </c>
      <c r="C399" t="inlineStr">
        <is>
          <t>Föryngringsavverkning</t>
        </is>
      </c>
      <c r="D399" s="1" t="n">
        <v>45738</v>
      </c>
      <c r="E399" s="1" t="n">
        <v>46219</v>
      </c>
      <c r="F399" t="inlineStr">
        <is>
          <t>VÄRMLANDS LÄN</t>
        </is>
      </c>
      <c r="G399" t="inlineStr">
        <is>
          <t>SUNNE</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32011-2022</t>
        </is>
      </c>
      <c r="B400" t="inlineStr">
        <is>
          <t>avverkningsanmälan</t>
        </is>
      </c>
      <c r="C400" t="inlineStr">
        <is>
          <t>Föryngringsavverkning</t>
        </is>
      </c>
      <c r="D400" s="1" t="n">
        <v>44778</v>
      </c>
      <c r="E400" s="1" t="n">
        <v>46219</v>
      </c>
      <c r="F400" t="inlineStr">
        <is>
          <t>VÄRMLANDS LÄN</t>
        </is>
      </c>
      <c r="G400" t="inlineStr">
        <is>
          <t>SUNNE</t>
        </is>
      </c>
      <c r="I400" t="n">
        <v>2.5</v>
      </c>
      <c r="J400" t="n">
        <v>0</v>
      </c>
      <c r="K400" t="n">
        <v>0</v>
      </c>
      <c r="L400" t="n">
        <v>0</v>
      </c>
      <c r="M400" t="n">
        <v>0</v>
      </c>
      <c r="N400" t="n">
        <v>0</v>
      </c>
      <c r="O400" t="n">
        <v>0</v>
      </c>
      <c r="P400" t="n">
        <v>0</v>
      </c>
      <c r="Q400" t="n">
        <v>0</v>
      </c>
      <c r="R400" t="n">
        <v>0</v>
      </c>
      <c r="S400" t="n">
        <v>0</v>
      </c>
      <c r="T400" t="n">
        <v>0</v>
      </c>
      <c r="U400" s="2" t="inlineStr"/>
    </row>
    <row r="401" ht="15" customHeight="1">
      <c r="A401" t="inlineStr">
        <is>
          <t>A 32370-2024</t>
        </is>
      </c>
      <c r="B401" t="inlineStr">
        <is>
          <t>avverkningsanmälan</t>
        </is>
      </c>
      <c r="C401" t="inlineStr">
        <is>
          <t>Föryngringsavverkning</t>
        </is>
      </c>
      <c r="D401" s="1" t="n">
        <v>45512</v>
      </c>
      <c r="E401" s="1" t="n">
        <v>46219</v>
      </c>
      <c r="F401" t="inlineStr">
        <is>
          <t>VÄRMLANDS LÄN</t>
        </is>
      </c>
      <c r="G401" t="inlineStr">
        <is>
          <t>SUNNE</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44899-2022</t>
        </is>
      </c>
      <c r="B402" t="inlineStr">
        <is>
          <t>avverkningsanmälan</t>
        </is>
      </c>
      <c r="C402" t="inlineStr">
        <is>
          <t>Föryngringsavverkning</t>
        </is>
      </c>
      <c r="D402" s="1" t="n">
        <v>44841</v>
      </c>
      <c r="E402" s="1" t="n">
        <v>46219</v>
      </c>
      <c r="F402" t="inlineStr">
        <is>
          <t>VÄRMLANDS LÄN</t>
        </is>
      </c>
      <c r="G402" t="inlineStr">
        <is>
          <t>SUNNE</t>
        </is>
      </c>
      <c r="I402" t="n">
        <v>1.3</v>
      </c>
      <c r="J402" t="n">
        <v>0</v>
      </c>
      <c r="K402" t="n">
        <v>0</v>
      </c>
      <c r="L402" t="n">
        <v>0</v>
      </c>
      <c r="M402" t="n">
        <v>0</v>
      </c>
      <c r="N402" t="n">
        <v>0</v>
      </c>
      <c r="O402" t="n">
        <v>0</v>
      </c>
      <c r="P402" t="n">
        <v>0</v>
      </c>
      <c r="Q402" t="n">
        <v>0</v>
      </c>
      <c r="R402" t="n">
        <v>0</v>
      </c>
      <c r="S402" t="n">
        <v>0</v>
      </c>
      <c r="T402" t="n">
        <v>0</v>
      </c>
      <c r="U402" s="2" t="inlineStr"/>
    </row>
    <row r="403" ht="15" customHeight="1">
      <c r="A403" t="inlineStr">
        <is>
          <t>A 1125-2025</t>
        </is>
      </c>
      <c r="B403" t="inlineStr">
        <is>
          <t>avverkningsanmälan</t>
        </is>
      </c>
      <c r="C403" t="inlineStr">
        <is>
          <t>Föryngringsavverkning</t>
        </is>
      </c>
      <c r="D403" s="1" t="n">
        <v>45666</v>
      </c>
      <c r="E403" s="1" t="n">
        <v>46219</v>
      </c>
      <c r="F403" t="inlineStr">
        <is>
          <t>VÄRMLANDS LÄN</t>
        </is>
      </c>
      <c r="G403" t="inlineStr">
        <is>
          <t>SUNNE</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40569-2025</t>
        </is>
      </c>
      <c r="B404" t="inlineStr">
        <is>
          <t>avverkningsanmälan</t>
        </is>
      </c>
      <c r="C404" t="inlineStr">
        <is>
          <t>Föryngringsavverkning</t>
        </is>
      </c>
      <c r="D404" s="1" t="n">
        <v>45896</v>
      </c>
      <c r="E404" s="1" t="n">
        <v>46219</v>
      </c>
      <c r="F404" t="inlineStr">
        <is>
          <t>VÄRMLANDS LÄN</t>
        </is>
      </c>
      <c r="G404" t="inlineStr">
        <is>
          <t>SUNNE</t>
        </is>
      </c>
      <c r="H404" t="inlineStr">
        <is>
          <t>Bergvik skog väst AB</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60763-2024</t>
        </is>
      </c>
      <c r="B405" t="inlineStr">
        <is>
          <t>avverkningsanmälan</t>
        </is>
      </c>
      <c r="C405" t="inlineStr">
        <is>
          <t>Avverkning för att bevara och utveckla /försöksver</t>
        </is>
      </c>
      <c r="D405" s="1" t="n">
        <v>45644</v>
      </c>
      <c r="E405" s="1" t="n">
        <v>46219</v>
      </c>
      <c r="F405" t="inlineStr">
        <is>
          <t>VÄRMLANDS LÄN</t>
        </is>
      </c>
      <c r="G405" t="inlineStr">
        <is>
          <t>SUNNE</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63518-2023</t>
        </is>
      </c>
      <c r="B406" t="inlineStr">
        <is>
          <t>avverkningsanmälan</t>
        </is>
      </c>
      <c r="C406" t="inlineStr">
        <is>
          <t>Föryngringsavverkning</t>
        </is>
      </c>
      <c r="D406" s="1" t="n">
        <v>45274</v>
      </c>
      <c r="E406" s="1" t="n">
        <v>46219</v>
      </c>
      <c r="F406" t="inlineStr">
        <is>
          <t>VÄRMLANDS LÄN</t>
        </is>
      </c>
      <c r="G406" t="inlineStr">
        <is>
          <t>SUNNE</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7053-2023</t>
        </is>
      </c>
      <c r="B407" t="inlineStr">
        <is>
          <t>avverkningsanmälan</t>
        </is>
      </c>
      <c r="C407" t="inlineStr">
        <is>
          <t>Föryngringsavverkning</t>
        </is>
      </c>
      <c r="D407" s="1" t="n">
        <v>44969</v>
      </c>
      <c r="E407" s="1" t="n">
        <v>46219</v>
      </c>
      <c r="F407" t="inlineStr">
        <is>
          <t>VÄRMLANDS LÄN</t>
        </is>
      </c>
      <c r="G407" t="inlineStr">
        <is>
          <t>SUNNE</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3079-2024</t>
        </is>
      </c>
      <c r="B408" t="inlineStr">
        <is>
          <t>avverkningsanmälan</t>
        </is>
      </c>
      <c r="C408" t="inlineStr">
        <is>
          <t>Föryngringsavverkning</t>
        </is>
      </c>
      <c r="D408" s="1" t="n">
        <v>45316</v>
      </c>
      <c r="E408" s="1" t="n">
        <v>46219</v>
      </c>
      <c r="F408" t="inlineStr">
        <is>
          <t>VÄRMLANDS LÄN</t>
        </is>
      </c>
      <c r="G408" t="inlineStr">
        <is>
          <t>SUNNE</t>
        </is>
      </c>
      <c r="H408" t="inlineStr">
        <is>
          <t>Kommuner</t>
        </is>
      </c>
      <c r="I408" t="n">
        <v>7</v>
      </c>
      <c r="J408" t="n">
        <v>0</v>
      </c>
      <c r="K408" t="n">
        <v>0</v>
      </c>
      <c r="L408" t="n">
        <v>0</v>
      </c>
      <c r="M408" t="n">
        <v>0</v>
      </c>
      <c r="N408" t="n">
        <v>0</v>
      </c>
      <c r="O408" t="n">
        <v>0</v>
      </c>
      <c r="P408" t="n">
        <v>0</v>
      </c>
      <c r="Q408" t="n">
        <v>0</v>
      </c>
      <c r="R408" t="n">
        <v>0</v>
      </c>
      <c r="S408" t="n">
        <v>0</v>
      </c>
      <c r="T408" t="n">
        <v>0</v>
      </c>
      <c r="U408" s="2" t="inlineStr"/>
    </row>
    <row r="409" ht="15" customHeight="1">
      <c r="A409" t="inlineStr">
        <is>
          <t>A 28235-2024</t>
        </is>
      </c>
      <c r="B409" t="inlineStr">
        <is>
          <t>avverkningsanmälan</t>
        </is>
      </c>
      <c r="C409" t="inlineStr">
        <is>
          <t>Föryngringsavverkning</t>
        </is>
      </c>
      <c r="D409" s="1" t="n">
        <v>45477</v>
      </c>
      <c r="E409" s="1" t="n">
        <v>46219</v>
      </c>
      <c r="F409" t="inlineStr">
        <is>
          <t>VÄRMLANDS LÄN</t>
        </is>
      </c>
      <c r="G409" t="inlineStr">
        <is>
          <t>SUNNE</t>
        </is>
      </c>
      <c r="H409" t="inlineStr">
        <is>
          <t>Bergvik skog väst AB</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9840-2023</t>
        </is>
      </c>
      <c r="B410" t="inlineStr">
        <is>
          <t>avverkningsanmälan</t>
        </is>
      </c>
      <c r="C410" t="inlineStr">
        <is>
          <t>Föryngringsavverkning</t>
        </is>
      </c>
      <c r="D410" s="1" t="n">
        <v>44984</v>
      </c>
      <c r="E410" s="1" t="n">
        <v>46219</v>
      </c>
      <c r="F410" t="inlineStr">
        <is>
          <t>VÄRMLANDS LÄN</t>
        </is>
      </c>
      <c r="G410" t="inlineStr">
        <is>
          <t>SUNNE</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27484-2025</t>
        </is>
      </c>
      <c r="B411" t="inlineStr">
        <is>
          <t>avverkningsanmälan</t>
        </is>
      </c>
      <c r="C411" t="inlineStr">
        <is>
          <t>Föryngringsavverkning</t>
        </is>
      </c>
      <c r="D411" s="1" t="n">
        <v>45813</v>
      </c>
      <c r="E411" s="1" t="n">
        <v>46219</v>
      </c>
      <c r="F411" t="inlineStr">
        <is>
          <t>VÄRMLANDS LÄN</t>
        </is>
      </c>
      <c r="G411" t="inlineStr">
        <is>
          <t>SUNNE</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6669-2023</t>
        </is>
      </c>
      <c r="B412" t="inlineStr">
        <is>
          <t>avverkningsanmälan</t>
        </is>
      </c>
      <c r="C412" t="inlineStr">
        <is>
          <t>Föryngringsavverkning</t>
        </is>
      </c>
      <c r="D412" s="1" t="n">
        <v>44963</v>
      </c>
      <c r="E412" s="1" t="n">
        <v>46219</v>
      </c>
      <c r="F412" t="inlineStr">
        <is>
          <t>VÄRMLANDS LÄN</t>
        </is>
      </c>
      <c r="G412" t="inlineStr">
        <is>
          <t>SUNNE</t>
        </is>
      </c>
      <c r="I412" t="n">
        <v>5.3</v>
      </c>
      <c r="J412" t="n">
        <v>0</v>
      </c>
      <c r="K412" t="n">
        <v>0</v>
      </c>
      <c r="L412" t="n">
        <v>0</v>
      </c>
      <c r="M412" t="n">
        <v>0</v>
      </c>
      <c r="N412" t="n">
        <v>0</v>
      </c>
      <c r="O412" t="n">
        <v>0</v>
      </c>
      <c r="P412" t="n">
        <v>0</v>
      </c>
      <c r="Q412" t="n">
        <v>0</v>
      </c>
      <c r="R412" t="n">
        <v>0</v>
      </c>
      <c r="S412" t="n">
        <v>0</v>
      </c>
      <c r="T412" t="n">
        <v>0</v>
      </c>
      <c r="U412" s="2" t="inlineStr"/>
    </row>
    <row r="413" ht="15" customHeight="1">
      <c r="A413" t="inlineStr">
        <is>
          <t>A 34062-2023</t>
        </is>
      </c>
      <c r="B413" t="inlineStr">
        <is>
          <t>avverkningsanmälan</t>
        </is>
      </c>
      <c r="C413" t="inlineStr">
        <is>
          <t>Föryngringsavverkning</t>
        </is>
      </c>
      <c r="D413" s="1" t="n">
        <v>45125</v>
      </c>
      <c r="E413" s="1" t="n">
        <v>46219</v>
      </c>
      <c r="F413" t="inlineStr">
        <is>
          <t>VÄRMLANDS LÄN</t>
        </is>
      </c>
      <c r="G413" t="inlineStr">
        <is>
          <t>SUNNE</t>
        </is>
      </c>
      <c r="I413" t="n">
        <v>20.1</v>
      </c>
      <c r="J413" t="n">
        <v>0</v>
      </c>
      <c r="K413" t="n">
        <v>0</v>
      </c>
      <c r="L413" t="n">
        <v>0</v>
      </c>
      <c r="M413" t="n">
        <v>0</v>
      </c>
      <c r="N413" t="n">
        <v>0</v>
      </c>
      <c r="O413" t="n">
        <v>0</v>
      </c>
      <c r="P413" t="n">
        <v>0</v>
      </c>
      <c r="Q413" t="n">
        <v>0</v>
      </c>
      <c r="R413" t="n">
        <v>0</v>
      </c>
      <c r="S413" t="n">
        <v>0</v>
      </c>
      <c r="T413" t="n">
        <v>0</v>
      </c>
      <c r="U413" s="2" t="inlineStr"/>
    </row>
    <row r="414" ht="15" customHeight="1">
      <c r="A414" t="inlineStr">
        <is>
          <t>A 37334-2024</t>
        </is>
      </c>
      <c r="B414" t="inlineStr">
        <is>
          <t>avverkningsanmälan</t>
        </is>
      </c>
      <c r="C414" t="inlineStr">
        <is>
          <t>Föryngringsavverkning</t>
        </is>
      </c>
      <c r="D414" s="1" t="n">
        <v>45540</v>
      </c>
      <c r="E414" s="1" t="n">
        <v>46219</v>
      </c>
      <c r="F414" t="inlineStr">
        <is>
          <t>VÄRMLANDS LÄN</t>
        </is>
      </c>
      <c r="G414" t="inlineStr">
        <is>
          <t>SUNNE</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42213-2021</t>
        </is>
      </c>
      <c r="B415" t="inlineStr">
        <is>
          <t>avverkningsanmälan</t>
        </is>
      </c>
      <c r="C415" t="inlineStr">
        <is>
          <t>Föryngringsavverkning</t>
        </is>
      </c>
      <c r="D415" s="1" t="n">
        <v>44426</v>
      </c>
      <c r="E415" s="1" t="n">
        <v>46219</v>
      </c>
      <c r="F415" t="inlineStr">
        <is>
          <t>VÄRMLANDS LÄN</t>
        </is>
      </c>
      <c r="G415" t="inlineStr">
        <is>
          <t>SUNNE</t>
        </is>
      </c>
      <c r="H415" t="inlineStr">
        <is>
          <t>Övriga Aktiebolag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51420-2021</t>
        </is>
      </c>
      <c r="B416" t="inlineStr">
        <is>
          <t>avverkningsanmälan</t>
        </is>
      </c>
      <c r="C416" t="inlineStr">
        <is>
          <t>Föryngringsavverkning</t>
        </is>
      </c>
      <c r="D416" s="1" t="n">
        <v>44461</v>
      </c>
      <c r="E416" s="1" t="n">
        <v>46219</v>
      </c>
      <c r="F416" t="inlineStr">
        <is>
          <t>VÄRMLANDS LÄN</t>
        </is>
      </c>
      <c r="G416" t="inlineStr">
        <is>
          <t>SUNNE</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2519-2022</t>
        </is>
      </c>
      <c r="B417" t="inlineStr">
        <is>
          <t>avverkningsanmälan</t>
        </is>
      </c>
      <c r="C417" t="inlineStr">
        <is>
          <t>Föryngringsavverkning</t>
        </is>
      </c>
      <c r="D417" s="1" t="n">
        <v>44579</v>
      </c>
      <c r="E417" s="1" t="n">
        <v>46219</v>
      </c>
      <c r="F417" t="inlineStr">
        <is>
          <t>VÄRMLANDS LÄN</t>
        </is>
      </c>
      <c r="G417" t="inlineStr">
        <is>
          <t>SUNNE</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14877-2025</t>
        </is>
      </c>
      <c r="B418" t="inlineStr">
        <is>
          <t>avverkningsanmälan</t>
        </is>
      </c>
      <c r="C418" t="inlineStr">
        <is>
          <t>Föryngringsavverkning</t>
        </is>
      </c>
      <c r="D418" s="1" t="n">
        <v>45743</v>
      </c>
      <c r="E418" s="1" t="n">
        <v>46219</v>
      </c>
      <c r="F418" t="inlineStr">
        <is>
          <t>VÄRMLANDS LÄN</t>
        </is>
      </c>
      <c r="G418" t="inlineStr">
        <is>
          <t>SUNNE</t>
        </is>
      </c>
      <c r="I418" t="n">
        <v>8.6</v>
      </c>
      <c r="J418" t="n">
        <v>0</v>
      </c>
      <c r="K418" t="n">
        <v>0</v>
      </c>
      <c r="L418" t="n">
        <v>0</v>
      </c>
      <c r="M418" t="n">
        <v>0</v>
      </c>
      <c r="N418" t="n">
        <v>0</v>
      </c>
      <c r="O418" t="n">
        <v>0</v>
      </c>
      <c r="P418" t="n">
        <v>0</v>
      </c>
      <c r="Q418" t="n">
        <v>0</v>
      </c>
      <c r="R418" t="n">
        <v>0</v>
      </c>
      <c r="S418" t="n">
        <v>0</v>
      </c>
      <c r="T418" t="n">
        <v>0</v>
      </c>
      <c r="U418" s="2" t="inlineStr"/>
    </row>
    <row r="419" ht="15" customHeight="1">
      <c r="A419" t="inlineStr">
        <is>
          <t>A 29958-2024</t>
        </is>
      </c>
      <c r="B419" t="inlineStr">
        <is>
          <t>avverkningsanmälan</t>
        </is>
      </c>
      <c r="C419" t="inlineStr">
        <is>
          <t>Föryngringsavverkning</t>
        </is>
      </c>
      <c r="D419" s="1" t="n">
        <v>45488</v>
      </c>
      <c r="E419" s="1" t="n">
        <v>46219</v>
      </c>
      <c r="F419" t="inlineStr">
        <is>
          <t>VÄRMLANDS LÄN</t>
        </is>
      </c>
      <c r="G419" t="inlineStr">
        <is>
          <t>SUNNE</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21632-2024</t>
        </is>
      </c>
      <c r="B420" t="inlineStr">
        <is>
          <t>avverkningsanmälan</t>
        </is>
      </c>
      <c r="C420" t="inlineStr">
        <is>
          <t>Föryngringsavverkning</t>
        </is>
      </c>
      <c r="D420" s="1" t="n">
        <v>45442</v>
      </c>
      <c r="E420" s="1" t="n">
        <v>46219</v>
      </c>
      <c r="F420" t="inlineStr">
        <is>
          <t>VÄRMLANDS LÄN</t>
        </is>
      </c>
      <c r="G420" t="inlineStr">
        <is>
          <t>SUNNE</t>
        </is>
      </c>
      <c r="H420" t="inlineStr">
        <is>
          <t>Bergvik skog väst AB</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26862-2022</t>
        </is>
      </c>
      <c r="B421" t="inlineStr">
        <is>
          <t>avverkningsanmälan</t>
        </is>
      </c>
      <c r="C421" t="inlineStr">
        <is>
          <t>Föryngringsavverkning</t>
        </is>
      </c>
      <c r="D421" s="1" t="n">
        <v>44740</v>
      </c>
      <c r="E421" s="1" t="n">
        <v>46219</v>
      </c>
      <c r="F421" t="inlineStr">
        <is>
          <t>VÄRMLANDS LÄN</t>
        </is>
      </c>
      <c r="G421" t="inlineStr">
        <is>
          <t>SUNNE</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30974-2023</t>
        </is>
      </c>
      <c r="B422" t="inlineStr">
        <is>
          <t>avverkningsanmälan</t>
        </is>
      </c>
      <c r="C422" t="inlineStr">
        <is>
          <t>Föryngringsavverkning</t>
        </is>
      </c>
      <c r="D422" s="1" t="n">
        <v>45113</v>
      </c>
      <c r="E422" s="1" t="n">
        <v>46219</v>
      </c>
      <c r="F422" t="inlineStr">
        <is>
          <t>VÄRMLANDS LÄN</t>
        </is>
      </c>
      <c r="G422" t="inlineStr">
        <is>
          <t>SUNNE</t>
        </is>
      </c>
      <c r="I422" t="n">
        <v>7.5</v>
      </c>
      <c r="J422" t="n">
        <v>0</v>
      </c>
      <c r="K422" t="n">
        <v>0</v>
      </c>
      <c r="L422" t="n">
        <v>0</v>
      </c>
      <c r="M422" t="n">
        <v>0</v>
      </c>
      <c r="N422" t="n">
        <v>0</v>
      </c>
      <c r="O422" t="n">
        <v>0</v>
      </c>
      <c r="P422" t="n">
        <v>0</v>
      </c>
      <c r="Q422" t="n">
        <v>0</v>
      </c>
      <c r="R422" t="n">
        <v>0</v>
      </c>
      <c r="S422" t="n">
        <v>0</v>
      </c>
      <c r="T422" t="n">
        <v>0</v>
      </c>
      <c r="U422" s="2" t="inlineStr"/>
    </row>
    <row r="423" ht="15" customHeight="1">
      <c r="A423" t="inlineStr">
        <is>
          <t>A 41592-2025</t>
        </is>
      </c>
      <c r="B423" t="inlineStr">
        <is>
          <t>avverkningsanmälan</t>
        </is>
      </c>
      <c r="C423" t="inlineStr">
        <is>
          <t>Föryngringsavverkning</t>
        </is>
      </c>
      <c r="D423" s="1" t="n">
        <v>45901</v>
      </c>
      <c r="E423" s="1" t="n">
        <v>46219</v>
      </c>
      <c r="F423" t="inlineStr">
        <is>
          <t>VÄRMLANDS LÄN</t>
        </is>
      </c>
      <c r="G423" t="inlineStr">
        <is>
          <t>SUNNE</t>
        </is>
      </c>
      <c r="H423" t="inlineStr">
        <is>
          <t>Kyrkan</t>
        </is>
      </c>
      <c r="I423" t="n">
        <v>3</v>
      </c>
      <c r="J423" t="n">
        <v>0</v>
      </c>
      <c r="K423" t="n">
        <v>0</v>
      </c>
      <c r="L423" t="n">
        <v>0</v>
      </c>
      <c r="M423" t="n">
        <v>0</v>
      </c>
      <c r="N423" t="n">
        <v>0</v>
      </c>
      <c r="O423" t="n">
        <v>0</v>
      </c>
      <c r="P423" t="n">
        <v>0</v>
      </c>
      <c r="Q423" t="n">
        <v>0</v>
      </c>
      <c r="R423" t="n">
        <v>0</v>
      </c>
      <c r="S423" t="n">
        <v>0</v>
      </c>
      <c r="T423" t="n">
        <v>0</v>
      </c>
      <c r="U423" s="2" t="inlineStr"/>
    </row>
    <row r="424" ht="15" customHeight="1">
      <c r="A424" t="inlineStr">
        <is>
          <t>A 41626-2025</t>
        </is>
      </c>
      <c r="B424" t="inlineStr">
        <is>
          <t>avverkningsanmälan</t>
        </is>
      </c>
      <c r="C424" t="inlineStr">
        <is>
          <t>Föryngringsavverkning</t>
        </is>
      </c>
      <c r="D424" s="1" t="n">
        <v>45901</v>
      </c>
      <c r="E424" s="1" t="n">
        <v>46219</v>
      </c>
      <c r="F424" t="inlineStr">
        <is>
          <t>VÄRMLANDS LÄN</t>
        </is>
      </c>
      <c r="G424" t="inlineStr">
        <is>
          <t>SUNNE</t>
        </is>
      </c>
      <c r="I424" t="n">
        <v>0.2</v>
      </c>
      <c r="J424" t="n">
        <v>0</v>
      </c>
      <c r="K424" t="n">
        <v>0</v>
      </c>
      <c r="L424" t="n">
        <v>0</v>
      </c>
      <c r="M424" t="n">
        <v>0</v>
      </c>
      <c r="N424" t="n">
        <v>0</v>
      </c>
      <c r="O424" t="n">
        <v>0</v>
      </c>
      <c r="P424" t="n">
        <v>0</v>
      </c>
      <c r="Q424" t="n">
        <v>0</v>
      </c>
      <c r="R424" t="n">
        <v>0</v>
      </c>
      <c r="S424" t="n">
        <v>0</v>
      </c>
      <c r="T424" t="n">
        <v>0</v>
      </c>
      <c r="U424" s="2" t="inlineStr"/>
    </row>
    <row r="425" ht="15" customHeight="1">
      <c r="A425" t="inlineStr">
        <is>
          <t>A 53638-2024</t>
        </is>
      </c>
      <c r="B425" t="inlineStr">
        <is>
          <t>avverkningsanmälan</t>
        </is>
      </c>
      <c r="C425" t="inlineStr">
        <is>
          <t>Avverkning för annat ändamål</t>
        </is>
      </c>
      <c r="D425" s="1" t="n">
        <v>45614</v>
      </c>
      <c r="E425" s="1" t="n">
        <v>46219</v>
      </c>
      <c r="F425" t="inlineStr">
        <is>
          <t>VÄRMLANDS LÄN</t>
        </is>
      </c>
      <c r="G425" t="inlineStr">
        <is>
          <t>SUNNE</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48945-2021</t>
        </is>
      </c>
      <c r="B426" t="inlineStr">
        <is>
          <t>avverkningsanmälan</t>
        </is>
      </c>
      <c r="C426" t="inlineStr">
        <is>
          <t>Föryngringsavverkning</t>
        </is>
      </c>
      <c r="D426" s="1" t="n">
        <v>44453</v>
      </c>
      <c r="E426" s="1" t="n">
        <v>46219</v>
      </c>
      <c r="F426" t="inlineStr">
        <is>
          <t>VÄRMLANDS LÄN</t>
        </is>
      </c>
      <c r="G426" t="inlineStr">
        <is>
          <t>SUNNE</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40714-2022</t>
        </is>
      </c>
      <c r="B427" t="inlineStr">
        <is>
          <t>avverkningsanmälan</t>
        </is>
      </c>
      <c r="C427" t="inlineStr">
        <is>
          <t>Föryngringsavverkning</t>
        </is>
      </c>
      <c r="D427" s="1" t="n">
        <v>44824</v>
      </c>
      <c r="E427" s="1" t="n">
        <v>46219</v>
      </c>
      <c r="F427" t="inlineStr">
        <is>
          <t>VÄRMLANDS LÄN</t>
        </is>
      </c>
      <c r="G427" t="inlineStr">
        <is>
          <t>SUNNE</t>
        </is>
      </c>
      <c r="I427" t="n">
        <v>7.3</v>
      </c>
      <c r="J427" t="n">
        <v>0</v>
      </c>
      <c r="K427" t="n">
        <v>0</v>
      </c>
      <c r="L427" t="n">
        <v>0</v>
      </c>
      <c r="M427" t="n">
        <v>0</v>
      </c>
      <c r="N427" t="n">
        <v>0</v>
      </c>
      <c r="O427" t="n">
        <v>0</v>
      </c>
      <c r="P427" t="n">
        <v>0</v>
      </c>
      <c r="Q427" t="n">
        <v>0</v>
      </c>
      <c r="R427" t="n">
        <v>0</v>
      </c>
      <c r="S427" t="n">
        <v>0</v>
      </c>
      <c r="T427" t="n">
        <v>0</v>
      </c>
      <c r="U427" s="2" t="inlineStr"/>
    </row>
    <row r="428" ht="15" customHeight="1">
      <c r="A428" t="inlineStr">
        <is>
          <t>A 54487-2022</t>
        </is>
      </c>
      <c r="B428" t="inlineStr">
        <is>
          <t>avverkningsanmälan</t>
        </is>
      </c>
      <c r="C428" t="inlineStr">
        <is>
          <t>Föryngringsavverkning</t>
        </is>
      </c>
      <c r="D428" s="1" t="n">
        <v>44882</v>
      </c>
      <c r="E428" s="1" t="n">
        <v>46219</v>
      </c>
      <c r="F428" t="inlineStr">
        <is>
          <t>VÄRMLANDS LÄN</t>
        </is>
      </c>
      <c r="G428" t="inlineStr">
        <is>
          <t>SUNNE</t>
        </is>
      </c>
      <c r="I428" t="n">
        <v>4.7</v>
      </c>
      <c r="J428" t="n">
        <v>0</v>
      </c>
      <c r="K428" t="n">
        <v>0</v>
      </c>
      <c r="L428" t="n">
        <v>0</v>
      </c>
      <c r="M428" t="n">
        <v>0</v>
      </c>
      <c r="N428" t="n">
        <v>0</v>
      </c>
      <c r="O428" t="n">
        <v>0</v>
      </c>
      <c r="P428" t="n">
        <v>0</v>
      </c>
      <c r="Q428" t="n">
        <v>0</v>
      </c>
      <c r="R428" t="n">
        <v>0</v>
      </c>
      <c r="S428" t="n">
        <v>0</v>
      </c>
      <c r="T428" t="n">
        <v>0</v>
      </c>
      <c r="U428" s="2" t="inlineStr"/>
    </row>
    <row r="429" ht="15" customHeight="1">
      <c r="A429" t="inlineStr">
        <is>
          <t>A 58812-2022</t>
        </is>
      </c>
      <c r="B429" t="inlineStr">
        <is>
          <t>avverkningsanmälan</t>
        </is>
      </c>
      <c r="C429" t="inlineStr">
        <is>
          <t>Föryngringsavverkning</t>
        </is>
      </c>
      <c r="D429" s="1" t="n">
        <v>44903</v>
      </c>
      <c r="E429" s="1" t="n">
        <v>46219</v>
      </c>
      <c r="F429" t="inlineStr">
        <is>
          <t>VÄRMLANDS LÄN</t>
        </is>
      </c>
      <c r="G429" t="inlineStr">
        <is>
          <t>SUNNE</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26672-2024</t>
        </is>
      </c>
      <c r="B430" t="inlineStr">
        <is>
          <t>avverkningsanmälan</t>
        </is>
      </c>
      <c r="C430" t="inlineStr">
        <is>
          <t>Föryngringsavverkning</t>
        </is>
      </c>
      <c r="D430" s="1" t="n">
        <v>45470</v>
      </c>
      <c r="E430" s="1" t="n">
        <v>46219</v>
      </c>
      <c r="F430" t="inlineStr">
        <is>
          <t>VÄRMLANDS LÄN</t>
        </is>
      </c>
      <c r="G430" t="inlineStr">
        <is>
          <t>SUNNE</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55430-2021</t>
        </is>
      </c>
      <c r="B431" t="inlineStr">
        <is>
          <t>avverkningsanmälan</t>
        </is>
      </c>
      <c r="C431" t="inlineStr">
        <is>
          <t>Föryngringsavverkning</t>
        </is>
      </c>
      <c r="D431" s="1" t="n">
        <v>44475</v>
      </c>
      <c r="E431" s="1" t="n">
        <v>46219</v>
      </c>
      <c r="F431" t="inlineStr">
        <is>
          <t>VÄRMLANDS LÄN</t>
        </is>
      </c>
      <c r="G431" t="inlineStr">
        <is>
          <t>SUNNE</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7054-2023</t>
        </is>
      </c>
      <c r="B432" t="inlineStr">
        <is>
          <t>avverkningsanmälan</t>
        </is>
      </c>
      <c r="C432" t="inlineStr">
        <is>
          <t>Föryngringsavverkning</t>
        </is>
      </c>
      <c r="D432" s="1" t="n">
        <v>44969</v>
      </c>
      <c r="E432" s="1" t="n">
        <v>46219</v>
      </c>
      <c r="F432" t="inlineStr">
        <is>
          <t>VÄRMLANDS LÄN</t>
        </is>
      </c>
      <c r="G432" t="inlineStr">
        <is>
          <t>SUNNE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7055-2023</t>
        </is>
      </c>
      <c r="B433" t="inlineStr">
        <is>
          <t>avverkningsanmälan</t>
        </is>
      </c>
      <c r="C433" t="inlineStr">
        <is>
          <t>Föryngringsavverkning</t>
        </is>
      </c>
      <c r="D433" s="1" t="n">
        <v>44969</v>
      </c>
      <c r="E433" s="1" t="n">
        <v>46219</v>
      </c>
      <c r="F433" t="inlineStr">
        <is>
          <t>VÄRMLANDS LÄN</t>
        </is>
      </c>
      <c r="G433" t="inlineStr">
        <is>
          <t>SUNNE</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7338-2025</t>
        </is>
      </c>
      <c r="B434" t="inlineStr">
        <is>
          <t>avverkningsanmälan</t>
        </is>
      </c>
      <c r="C434" t="inlineStr">
        <is>
          <t>Föryngringsavverkning</t>
        </is>
      </c>
      <c r="D434" s="1" t="n">
        <v>45703</v>
      </c>
      <c r="E434" s="1" t="n">
        <v>46219</v>
      </c>
      <c r="F434" t="inlineStr">
        <is>
          <t>VÄRMLANDS LÄN</t>
        </is>
      </c>
      <c r="G434" t="inlineStr">
        <is>
          <t>SUNNE</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20106-2024</t>
        </is>
      </c>
      <c r="B435" t="inlineStr">
        <is>
          <t>avverkningsanmälan</t>
        </is>
      </c>
      <c r="C435" t="inlineStr">
        <is>
          <t>Föryngringsavverkning</t>
        </is>
      </c>
      <c r="D435" s="1" t="n">
        <v>45434</v>
      </c>
      <c r="E435" s="1" t="n">
        <v>46219</v>
      </c>
      <c r="F435" t="inlineStr">
        <is>
          <t>VÄRMLANDS LÄN</t>
        </is>
      </c>
      <c r="G435" t="inlineStr">
        <is>
          <t>SUNNE</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43017-2025</t>
        </is>
      </c>
      <c r="B436" t="inlineStr">
        <is>
          <t>avverkningsanmälan</t>
        </is>
      </c>
      <c r="C436" t="inlineStr">
        <is>
          <t>Föryngringsavverkning</t>
        </is>
      </c>
      <c r="D436" s="1" t="n">
        <v>45909</v>
      </c>
      <c r="E436" s="1" t="n">
        <v>46219</v>
      </c>
      <c r="F436" t="inlineStr">
        <is>
          <t>VÄRMLANDS LÄN</t>
        </is>
      </c>
      <c r="G436" t="inlineStr">
        <is>
          <t>SUNNE</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51634-2024</t>
        </is>
      </c>
      <c r="B437" t="inlineStr">
        <is>
          <t>avverkningsanmälan</t>
        </is>
      </c>
      <c r="C437" t="inlineStr">
        <is>
          <t>Föryngringsavverkning</t>
        </is>
      </c>
      <c r="D437" s="1" t="n">
        <v>45605</v>
      </c>
      <c r="E437" s="1" t="n">
        <v>46219</v>
      </c>
      <c r="F437" t="inlineStr">
        <is>
          <t>VÄRMLANDS LÄN</t>
        </is>
      </c>
      <c r="G437" t="inlineStr">
        <is>
          <t>SUNNE</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39167-2022</t>
        </is>
      </c>
      <c r="B438" t="inlineStr">
        <is>
          <t>avverkningsanmälan</t>
        </is>
      </c>
      <c r="C438" t="inlineStr">
        <is>
          <t>Föryngringsavverkning</t>
        </is>
      </c>
      <c r="D438" s="1" t="n">
        <v>44817</v>
      </c>
      <c r="E438" s="1" t="n">
        <v>46219</v>
      </c>
      <c r="F438" t="inlineStr">
        <is>
          <t>VÄRMLANDS LÄN</t>
        </is>
      </c>
      <c r="G438" t="inlineStr">
        <is>
          <t>SUNNE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39175-2022</t>
        </is>
      </c>
      <c r="B439" t="inlineStr">
        <is>
          <t>avverkningsanmälan</t>
        </is>
      </c>
      <c r="C439" t="inlineStr">
        <is>
          <t>Föryngringsavverkning</t>
        </is>
      </c>
      <c r="D439" s="1" t="n">
        <v>44817</v>
      </c>
      <c r="E439" s="1" t="n">
        <v>46219</v>
      </c>
      <c r="F439" t="inlineStr">
        <is>
          <t>VÄRMLANDS LÄN</t>
        </is>
      </c>
      <c r="G439" t="inlineStr">
        <is>
          <t>SUNNE</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59288-2024</t>
        </is>
      </c>
      <c r="B440" t="inlineStr">
        <is>
          <t>avverkningsanmälan</t>
        </is>
      </c>
      <c r="C440" t="inlineStr">
        <is>
          <t>Föryngringsavverkning</t>
        </is>
      </c>
      <c r="D440" s="1" t="n">
        <v>45636</v>
      </c>
      <c r="E440" s="1" t="n">
        <v>46219</v>
      </c>
      <c r="F440" t="inlineStr">
        <is>
          <t>VÄRMLANDS LÄN</t>
        </is>
      </c>
      <c r="G440" t="inlineStr">
        <is>
          <t>SUNNE</t>
        </is>
      </c>
      <c r="I440" t="n">
        <v>5.5</v>
      </c>
      <c r="J440" t="n">
        <v>0</v>
      </c>
      <c r="K440" t="n">
        <v>0</v>
      </c>
      <c r="L440" t="n">
        <v>0</v>
      </c>
      <c r="M440" t="n">
        <v>0</v>
      </c>
      <c r="N440" t="n">
        <v>0</v>
      </c>
      <c r="O440" t="n">
        <v>0</v>
      </c>
      <c r="P440" t="n">
        <v>0</v>
      </c>
      <c r="Q440" t="n">
        <v>0</v>
      </c>
      <c r="R440" t="n">
        <v>0</v>
      </c>
      <c r="S440" t="n">
        <v>0</v>
      </c>
      <c r="T440" t="n">
        <v>0</v>
      </c>
      <c r="U440" s="2" t="inlineStr"/>
    </row>
    <row r="441" ht="15" customHeight="1">
      <c r="A441" t="inlineStr">
        <is>
          <t>A 47166-2024</t>
        </is>
      </c>
      <c r="B441" t="inlineStr">
        <is>
          <t>avverkningsanmälan</t>
        </is>
      </c>
      <c r="C441" t="inlineStr">
        <is>
          <t>Föryngringsavverkning</t>
        </is>
      </c>
      <c r="D441" s="1" t="n">
        <v>45586</v>
      </c>
      <c r="E441" s="1" t="n">
        <v>46219</v>
      </c>
      <c r="F441" t="inlineStr">
        <is>
          <t>VÄRMLANDS LÄN</t>
        </is>
      </c>
      <c r="G441" t="inlineStr">
        <is>
          <t>SUNNE</t>
        </is>
      </c>
      <c r="H441" t="inlineStr">
        <is>
          <t>Kommuner</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37084-2021</t>
        </is>
      </c>
      <c r="B442" t="inlineStr">
        <is>
          <t>avverkningsanmälan</t>
        </is>
      </c>
      <c r="C442" t="inlineStr">
        <is>
          <t>Föryngringsavverkning</t>
        </is>
      </c>
      <c r="D442" s="1" t="n">
        <v>44395</v>
      </c>
      <c r="E442" s="1" t="n">
        <v>46219</v>
      </c>
      <c r="F442" t="inlineStr">
        <is>
          <t>VÄRMLANDS LÄN</t>
        </is>
      </c>
      <c r="G442" t="inlineStr">
        <is>
          <t>SUNNE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35608-2025</t>
        </is>
      </c>
      <c r="B443" t="inlineStr">
        <is>
          <t>avverkningsanmälan</t>
        </is>
      </c>
      <c r="C443" t="inlineStr">
        <is>
          <t>Föryngringsavverkning</t>
        </is>
      </c>
      <c r="D443" s="1" t="n">
        <v>45859</v>
      </c>
      <c r="E443" s="1" t="n">
        <v>46219</v>
      </c>
      <c r="F443" t="inlineStr">
        <is>
          <t>VÄRMLANDS LÄN</t>
        </is>
      </c>
      <c r="G443" t="inlineStr">
        <is>
          <t>SUNNE</t>
        </is>
      </c>
      <c r="H443" t="inlineStr">
        <is>
          <t>Bergvik skog väst AB</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16358-2023</t>
        </is>
      </c>
      <c r="B444" t="inlineStr">
        <is>
          <t>avverkningsanmälan</t>
        </is>
      </c>
      <c r="C444" t="inlineStr">
        <is>
          <t>Föryngringsavverkning</t>
        </is>
      </c>
      <c r="D444" s="1" t="n">
        <v>45028</v>
      </c>
      <c r="E444" s="1" t="n">
        <v>46219</v>
      </c>
      <c r="F444" t="inlineStr">
        <is>
          <t>VÄRMLANDS LÄN</t>
        </is>
      </c>
      <c r="G444" t="inlineStr">
        <is>
          <t>SUNNE</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57711-2023</t>
        </is>
      </c>
      <c r="B445" t="inlineStr">
        <is>
          <t>avverkningsanmälan</t>
        </is>
      </c>
      <c r="C445" t="inlineStr">
        <is>
          <t>Föryngringsavverkning</t>
        </is>
      </c>
      <c r="D445" s="1" t="n">
        <v>45243</v>
      </c>
      <c r="E445" s="1" t="n">
        <v>46219</v>
      </c>
      <c r="F445" t="inlineStr">
        <is>
          <t>VÄRMLANDS LÄN</t>
        </is>
      </c>
      <c r="G445" t="inlineStr">
        <is>
          <t>SUNNE</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48108-2023</t>
        </is>
      </c>
      <c r="B446" t="inlineStr">
        <is>
          <t>avverkningsanmälan</t>
        </is>
      </c>
      <c r="C446" t="inlineStr">
        <is>
          <t>Föryngringsavverkning</t>
        </is>
      </c>
      <c r="D446" s="1" t="n">
        <v>45205</v>
      </c>
      <c r="E446" s="1" t="n">
        <v>46219</v>
      </c>
      <c r="F446" t="inlineStr">
        <is>
          <t>VÄRMLANDS LÄN</t>
        </is>
      </c>
      <c r="G446" t="inlineStr">
        <is>
          <t>SUNNE</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43453-2025</t>
        </is>
      </c>
      <c r="B447" t="inlineStr">
        <is>
          <t>avverkningsanmälan</t>
        </is>
      </c>
      <c r="C447" t="inlineStr">
        <is>
          <t>Föryngringsavverkning</t>
        </is>
      </c>
      <c r="D447" s="1" t="n">
        <v>45911</v>
      </c>
      <c r="E447" s="1" t="n">
        <v>46219</v>
      </c>
      <c r="F447" t="inlineStr">
        <is>
          <t>VÄRMLANDS LÄN</t>
        </is>
      </c>
      <c r="G447" t="inlineStr">
        <is>
          <t>SUNNE</t>
        </is>
      </c>
      <c r="H447" t="inlineStr">
        <is>
          <t>Bergvik skog väst AB</t>
        </is>
      </c>
      <c r="I447" t="n">
        <v>29.9</v>
      </c>
      <c r="J447" t="n">
        <v>0</v>
      </c>
      <c r="K447" t="n">
        <v>0</v>
      </c>
      <c r="L447" t="n">
        <v>0</v>
      </c>
      <c r="M447" t="n">
        <v>0</v>
      </c>
      <c r="N447" t="n">
        <v>0</v>
      </c>
      <c r="O447" t="n">
        <v>0</v>
      </c>
      <c r="P447" t="n">
        <v>0</v>
      </c>
      <c r="Q447" t="n">
        <v>0</v>
      </c>
      <c r="R447" t="n">
        <v>0</v>
      </c>
      <c r="S447" t="n">
        <v>0</v>
      </c>
      <c r="T447" t="n">
        <v>0</v>
      </c>
      <c r="U447" s="2" t="inlineStr"/>
    </row>
    <row r="448" ht="15" customHeight="1">
      <c r="A448" t="inlineStr">
        <is>
          <t>A 30132-2022</t>
        </is>
      </c>
      <c r="B448" t="inlineStr">
        <is>
          <t>avverkningsanmälan</t>
        </is>
      </c>
      <c r="C448" t="inlineStr">
        <is>
          <t>Föryngringsavverkning</t>
        </is>
      </c>
      <c r="D448" s="1" t="n">
        <v>44757</v>
      </c>
      <c r="E448" s="1" t="n">
        <v>46219</v>
      </c>
      <c r="F448" t="inlineStr">
        <is>
          <t>VÄRMLANDS LÄN</t>
        </is>
      </c>
      <c r="G448" t="inlineStr">
        <is>
          <t>SUNNE</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44396-2025</t>
        </is>
      </c>
      <c r="B449" t="inlineStr">
        <is>
          <t>avverkningsanmälan</t>
        </is>
      </c>
      <c r="C449" t="inlineStr">
        <is>
          <t>Föryngringsavverkning</t>
        </is>
      </c>
      <c r="D449" s="1" t="n">
        <v>45916</v>
      </c>
      <c r="E449" s="1" t="n">
        <v>46219</v>
      </c>
      <c r="F449" t="inlineStr">
        <is>
          <t>VÄRMLANDS LÄN</t>
        </is>
      </c>
      <c r="G449" t="inlineStr">
        <is>
          <t>SUNNE</t>
        </is>
      </c>
      <c r="I449" t="n">
        <v>7</v>
      </c>
      <c r="J449" t="n">
        <v>0</v>
      </c>
      <c r="K449" t="n">
        <v>0</v>
      </c>
      <c r="L449" t="n">
        <v>0</v>
      </c>
      <c r="M449" t="n">
        <v>0</v>
      </c>
      <c r="N449" t="n">
        <v>0</v>
      </c>
      <c r="O449" t="n">
        <v>0</v>
      </c>
      <c r="P449" t="n">
        <v>0</v>
      </c>
      <c r="Q449" t="n">
        <v>0</v>
      </c>
      <c r="R449" t="n">
        <v>0</v>
      </c>
      <c r="S449" t="n">
        <v>0</v>
      </c>
      <c r="T449" t="n">
        <v>0</v>
      </c>
      <c r="U449" s="2" t="inlineStr"/>
    </row>
    <row r="450" ht="15" customHeight="1">
      <c r="A450" t="inlineStr">
        <is>
          <t>A 20156-2023</t>
        </is>
      </c>
      <c r="B450" t="inlineStr">
        <is>
          <t>avverkningsanmälan</t>
        </is>
      </c>
      <c r="C450" t="inlineStr">
        <is>
          <t>Föryngringsavverkning</t>
        </is>
      </c>
      <c r="D450" s="1" t="n">
        <v>45055</v>
      </c>
      <c r="E450" s="1" t="n">
        <v>46219</v>
      </c>
      <c r="F450" t="inlineStr">
        <is>
          <t>VÄRMLANDS LÄN</t>
        </is>
      </c>
      <c r="G450" t="inlineStr">
        <is>
          <t>SUNNE</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43083-2022</t>
        </is>
      </c>
      <c r="B451" t="inlineStr">
        <is>
          <t>avverkningsanmälan</t>
        </is>
      </c>
      <c r="C451" t="inlineStr">
        <is>
          <t>Föryngringsavverkning</t>
        </is>
      </c>
      <c r="D451" s="1" t="n">
        <v>44833</v>
      </c>
      <c r="E451" s="1" t="n">
        <v>46219</v>
      </c>
      <c r="F451" t="inlineStr">
        <is>
          <t>VÄRMLANDS LÄN</t>
        </is>
      </c>
      <c r="G451" t="inlineStr">
        <is>
          <t>SUNNE</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44263-2025</t>
        </is>
      </c>
      <c r="B452" t="inlineStr">
        <is>
          <t>avverkningsanmälan</t>
        </is>
      </c>
      <c r="C452" t="inlineStr">
        <is>
          <t>Föryngringsavverkning</t>
        </is>
      </c>
      <c r="D452" s="1" t="n">
        <v>45916</v>
      </c>
      <c r="E452" s="1" t="n">
        <v>46219</v>
      </c>
      <c r="F452" t="inlineStr">
        <is>
          <t>VÄRMLANDS LÄN</t>
        </is>
      </c>
      <c r="G452" t="inlineStr">
        <is>
          <t>SUNNE</t>
        </is>
      </c>
      <c r="I452" t="n">
        <v>4.9</v>
      </c>
      <c r="J452" t="n">
        <v>0</v>
      </c>
      <c r="K452" t="n">
        <v>0</v>
      </c>
      <c r="L452" t="n">
        <v>0</v>
      </c>
      <c r="M452" t="n">
        <v>0</v>
      </c>
      <c r="N452" t="n">
        <v>0</v>
      </c>
      <c r="O452" t="n">
        <v>0</v>
      </c>
      <c r="P452" t="n">
        <v>0</v>
      </c>
      <c r="Q452" t="n">
        <v>0</v>
      </c>
      <c r="R452" t="n">
        <v>0</v>
      </c>
      <c r="S452" t="n">
        <v>0</v>
      </c>
      <c r="T452" t="n">
        <v>0</v>
      </c>
      <c r="U452" s="2" t="inlineStr"/>
    </row>
    <row r="453" ht="15" customHeight="1">
      <c r="A453" t="inlineStr">
        <is>
          <t>A 44361-2025</t>
        </is>
      </c>
      <c r="B453" t="inlineStr">
        <is>
          <t>avverkningsanmälan</t>
        </is>
      </c>
      <c r="C453" t="inlineStr">
        <is>
          <t>Föryngringsavverkning</t>
        </is>
      </c>
      <c r="D453" s="1" t="n">
        <v>45916</v>
      </c>
      <c r="E453" s="1" t="n">
        <v>46219</v>
      </c>
      <c r="F453" t="inlineStr">
        <is>
          <t>VÄRMLANDS LÄN</t>
        </is>
      </c>
      <c r="G453" t="inlineStr">
        <is>
          <t>SUNNE</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44433-2025</t>
        </is>
      </c>
      <c r="B454" t="inlineStr">
        <is>
          <t>avverkningsanmälan</t>
        </is>
      </c>
      <c r="C454" t="inlineStr">
        <is>
          <t>Föryngringsavverkning</t>
        </is>
      </c>
      <c r="D454" s="1" t="n">
        <v>45916</v>
      </c>
      <c r="E454" s="1" t="n">
        <v>46219</v>
      </c>
      <c r="F454" t="inlineStr">
        <is>
          <t>VÄRMLANDS LÄN</t>
        </is>
      </c>
      <c r="G454" t="inlineStr">
        <is>
          <t>SUNNE</t>
        </is>
      </c>
      <c r="H454" t="inlineStr">
        <is>
          <t>Bergvik skog väst AB</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41569-2022</t>
        </is>
      </c>
      <c r="B455" t="inlineStr">
        <is>
          <t>avverkningsanmälan</t>
        </is>
      </c>
      <c r="C455" t="inlineStr">
        <is>
          <t>Föryngringsavverkning</t>
        </is>
      </c>
      <c r="D455" s="1" t="n">
        <v>44827</v>
      </c>
      <c r="E455" s="1" t="n">
        <v>46219</v>
      </c>
      <c r="F455" t="inlineStr">
        <is>
          <t>VÄRMLANDS LÄN</t>
        </is>
      </c>
      <c r="G455" t="inlineStr">
        <is>
          <t>SUNNE</t>
        </is>
      </c>
      <c r="I455" t="n">
        <v>2.5</v>
      </c>
      <c r="J455" t="n">
        <v>0</v>
      </c>
      <c r="K455" t="n">
        <v>0</v>
      </c>
      <c r="L455" t="n">
        <v>0</v>
      </c>
      <c r="M455" t="n">
        <v>0</v>
      </c>
      <c r="N455" t="n">
        <v>0</v>
      </c>
      <c r="O455" t="n">
        <v>0</v>
      </c>
      <c r="P455" t="n">
        <v>0</v>
      </c>
      <c r="Q455" t="n">
        <v>0</v>
      </c>
      <c r="R455" t="n">
        <v>0</v>
      </c>
      <c r="S455" t="n">
        <v>0</v>
      </c>
      <c r="T455" t="n">
        <v>0</v>
      </c>
      <c r="U455" s="2" t="inlineStr"/>
    </row>
    <row r="456" ht="15" customHeight="1">
      <c r="A456" t="inlineStr">
        <is>
          <t>A 26302-2023</t>
        </is>
      </c>
      <c r="B456" t="inlineStr">
        <is>
          <t>avverkningsanmälan</t>
        </is>
      </c>
      <c r="C456" t="inlineStr">
        <is>
          <t>Föryngringsavverkning</t>
        </is>
      </c>
      <c r="D456" s="1" t="n">
        <v>45091</v>
      </c>
      <c r="E456" s="1" t="n">
        <v>46219</v>
      </c>
      <c r="F456" t="inlineStr">
        <is>
          <t>VÄRMLANDS LÄN</t>
        </is>
      </c>
      <c r="G456" t="inlineStr">
        <is>
          <t>SUNNE</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57666-2024</t>
        </is>
      </c>
      <c r="B457" t="inlineStr">
        <is>
          <t>avverkningsanmälan</t>
        </is>
      </c>
      <c r="C457" t="inlineStr">
        <is>
          <t>Föryngringsavverkning</t>
        </is>
      </c>
      <c r="D457" s="1" t="n">
        <v>45630</v>
      </c>
      <c r="E457" s="1" t="n">
        <v>46219</v>
      </c>
      <c r="F457" t="inlineStr">
        <is>
          <t>VÄRMLANDS LÄN</t>
        </is>
      </c>
      <c r="G457" t="inlineStr">
        <is>
          <t>SUNNE</t>
        </is>
      </c>
      <c r="H457" t="inlineStr">
        <is>
          <t>Kyrkan</t>
        </is>
      </c>
      <c r="I457" t="n">
        <v>7.5</v>
      </c>
      <c r="J457" t="n">
        <v>0</v>
      </c>
      <c r="K457" t="n">
        <v>0</v>
      </c>
      <c r="L457" t="n">
        <v>0</v>
      </c>
      <c r="M457" t="n">
        <v>0</v>
      </c>
      <c r="N457" t="n">
        <v>0</v>
      </c>
      <c r="O457" t="n">
        <v>0</v>
      </c>
      <c r="P457" t="n">
        <v>0</v>
      </c>
      <c r="Q457" t="n">
        <v>0</v>
      </c>
      <c r="R457" t="n">
        <v>0</v>
      </c>
      <c r="S457" t="n">
        <v>0</v>
      </c>
      <c r="T457" t="n">
        <v>0</v>
      </c>
      <c r="U457" s="2" t="inlineStr"/>
    </row>
    <row r="458" ht="15" customHeight="1">
      <c r="A458" t="inlineStr">
        <is>
          <t>A 42624-2022</t>
        </is>
      </c>
      <c r="B458" t="inlineStr">
        <is>
          <t>avverkningsanmälan</t>
        </is>
      </c>
      <c r="C458" t="inlineStr">
        <is>
          <t>Föryngringsavverkning</t>
        </is>
      </c>
      <c r="D458" s="1" t="n">
        <v>44831</v>
      </c>
      <c r="E458" s="1" t="n">
        <v>46219</v>
      </c>
      <c r="F458" t="inlineStr">
        <is>
          <t>VÄRMLANDS LÄN</t>
        </is>
      </c>
      <c r="G458" t="inlineStr">
        <is>
          <t>SUNNE</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19011-2023</t>
        </is>
      </c>
      <c r="B459" t="inlineStr">
        <is>
          <t>avverkningsanmälan</t>
        </is>
      </c>
      <c r="C459" t="inlineStr">
        <is>
          <t>Föryngringsavverkning</t>
        </is>
      </c>
      <c r="D459" s="1" t="n">
        <v>45045</v>
      </c>
      <c r="E459" s="1" t="n">
        <v>46219</v>
      </c>
      <c r="F459" t="inlineStr">
        <is>
          <t>VÄRMLANDS LÄN</t>
        </is>
      </c>
      <c r="G459" t="inlineStr">
        <is>
          <t>SUNNE</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46058-2023</t>
        </is>
      </c>
      <c r="B460" t="inlineStr">
        <is>
          <t>avverkningsanmälan</t>
        </is>
      </c>
      <c r="C460" t="inlineStr">
        <is>
          <t>Föryngringsavverkning</t>
        </is>
      </c>
      <c r="D460" s="1" t="n">
        <v>45196</v>
      </c>
      <c r="E460" s="1" t="n">
        <v>46219</v>
      </c>
      <c r="F460" t="inlineStr">
        <is>
          <t>VÄRMLANDS LÄN</t>
        </is>
      </c>
      <c r="G460" t="inlineStr">
        <is>
          <t>SUNNE</t>
        </is>
      </c>
      <c r="I460" t="n">
        <v>1.8</v>
      </c>
      <c r="J460" t="n">
        <v>0</v>
      </c>
      <c r="K460" t="n">
        <v>0</v>
      </c>
      <c r="L460" t="n">
        <v>0</v>
      </c>
      <c r="M460" t="n">
        <v>0</v>
      </c>
      <c r="N460" t="n">
        <v>0</v>
      </c>
      <c r="O460" t="n">
        <v>0</v>
      </c>
      <c r="P460" t="n">
        <v>0</v>
      </c>
      <c r="Q460" t="n">
        <v>0</v>
      </c>
      <c r="R460" t="n">
        <v>0</v>
      </c>
      <c r="S460" t="n">
        <v>0</v>
      </c>
      <c r="T460" t="n">
        <v>0</v>
      </c>
      <c r="U460" s="2" t="inlineStr"/>
    </row>
    <row r="461" ht="15" customHeight="1">
      <c r="A461" t="inlineStr">
        <is>
          <t>A 65012-2021</t>
        </is>
      </c>
      <c r="B461" t="inlineStr">
        <is>
          <t>avverkningsanmälan</t>
        </is>
      </c>
      <c r="C461" t="inlineStr">
        <is>
          <t>Föryngringsavverkning</t>
        </is>
      </c>
      <c r="D461" s="1" t="n">
        <v>44514</v>
      </c>
      <c r="E461" s="1" t="n">
        <v>46219</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44816-2025</t>
        </is>
      </c>
      <c r="B462" t="inlineStr">
        <is>
          <t>avverkningsanmälan</t>
        </is>
      </c>
      <c r="C462" t="inlineStr">
        <is>
          <t>Föryngringsavverkning</t>
        </is>
      </c>
      <c r="D462" s="1" t="n">
        <v>45918</v>
      </c>
      <c r="E462" s="1" t="n">
        <v>46219</v>
      </c>
      <c r="F462" t="inlineStr">
        <is>
          <t>VÄRMLANDS LÄN</t>
        </is>
      </c>
      <c r="G462" t="inlineStr">
        <is>
          <t>SUNNE</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1759-2022</t>
        </is>
      </c>
      <c r="B463" t="inlineStr">
        <is>
          <t>avverkningsanmälan</t>
        </is>
      </c>
      <c r="C463" t="inlineStr">
        <is>
          <t>Föryngringsavverkning</t>
        </is>
      </c>
      <c r="D463" s="1" t="n">
        <v>44574</v>
      </c>
      <c r="E463" s="1" t="n">
        <v>46219</v>
      </c>
      <c r="F463" t="inlineStr">
        <is>
          <t>VÄRMLANDS LÄN</t>
        </is>
      </c>
      <c r="G463" t="inlineStr">
        <is>
          <t>SUNNE</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45038-2025</t>
        </is>
      </c>
      <c r="B464" t="inlineStr">
        <is>
          <t>avverkningsanmälan</t>
        </is>
      </c>
      <c r="C464" t="inlineStr">
        <is>
          <t>Föryngringsavverkning</t>
        </is>
      </c>
      <c r="D464" s="1" t="n">
        <v>45918</v>
      </c>
      <c r="E464" s="1" t="n">
        <v>46219</v>
      </c>
      <c r="F464" t="inlineStr">
        <is>
          <t>VÄRMLANDS LÄN</t>
        </is>
      </c>
      <c r="G464" t="inlineStr">
        <is>
          <t>SUNNE</t>
        </is>
      </c>
      <c r="I464" t="n">
        <v>3.2</v>
      </c>
      <c r="J464" t="n">
        <v>0</v>
      </c>
      <c r="K464" t="n">
        <v>0</v>
      </c>
      <c r="L464" t="n">
        <v>0</v>
      </c>
      <c r="M464" t="n">
        <v>0</v>
      </c>
      <c r="N464" t="n">
        <v>0</v>
      </c>
      <c r="O464" t="n">
        <v>0</v>
      </c>
      <c r="P464" t="n">
        <v>0</v>
      </c>
      <c r="Q464" t="n">
        <v>0</v>
      </c>
      <c r="R464" t="n">
        <v>0</v>
      </c>
      <c r="S464" t="n">
        <v>0</v>
      </c>
      <c r="T464" t="n">
        <v>0</v>
      </c>
      <c r="U464" s="2" t="inlineStr"/>
    </row>
    <row r="465" ht="15" customHeight="1">
      <c r="A465" t="inlineStr">
        <is>
          <t>A 44984-2025</t>
        </is>
      </c>
      <c r="B465" t="inlineStr">
        <is>
          <t>avverkningsanmälan</t>
        </is>
      </c>
      <c r="C465" t="inlineStr">
        <is>
          <t>Föryngringsavverkning</t>
        </is>
      </c>
      <c r="D465" s="1" t="n">
        <v>45918</v>
      </c>
      <c r="E465" s="1" t="n">
        <v>46219</v>
      </c>
      <c r="F465" t="inlineStr">
        <is>
          <t>VÄRMLANDS LÄN</t>
        </is>
      </c>
      <c r="G465" t="inlineStr">
        <is>
          <t>SUNNE</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6697-2022</t>
        </is>
      </c>
      <c r="B466" t="inlineStr">
        <is>
          <t>avverkningsanmälan</t>
        </is>
      </c>
      <c r="C466" t="inlineStr">
        <is>
          <t>Föryngringsavverkning</t>
        </is>
      </c>
      <c r="D466" s="1" t="n">
        <v>44602</v>
      </c>
      <c r="E466" s="1" t="n">
        <v>46219</v>
      </c>
      <c r="F466" t="inlineStr">
        <is>
          <t>VÄRMLANDS LÄN</t>
        </is>
      </c>
      <c r="G466" t="inlineStr">
        <is>
          <t>SUNNE</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14741-2023</t>
        </is>
      </c>
      <c r="B467" t="inlineStr">
        <is>
          <t>avverkningsanmälan</t>
        </is>
      </c>
      <c r="C467" t="inlineStr">
        <is>
          <t>Föryngringsavverkning</t>
        </is>
      </c>
      <c r="D467" s="1" t="n">
        <v>45014</v>
      </c>
      <c r="E467" s="1" t="n">
        <v>46219</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45452-2025</t>
        </is>
      </c>
      <c r="B468" t="inlineStr">
        <is>
          <t>avverkningsanmälan</t>
        </is>
      </c>
      <c r="C468" t="inlineStr">
        <is>
          <t>Föryngringsavverkning</t>
        </is>
      </c>
      <c r="D468" s="1" t="n">
        <v>45922</v>
      </c>
      <c r="E468" s="1" t="n">
        <v>46219</v>
      </c>
      <c r="F468" t="inlineStr">
        <is>
          <t>VÄRMLANDS LÄN</t>
        </is>
      </c>
      <c r="G468" t="inlineStr">
        <is>
          <t>SUNNE</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45178-2025</t>
        </is>
      </c>
      <c r="B469" t="inlineStr">
        <is>
          <t>avverkningsanmälan</t>
        </is>
      </c>
      <c r="C469" t="inlineStr">
        <is>
          <t>Föryngringsavverkning</t>
        </is>
      </c>
      <c r="D469" s="1" t="n">
        <v>45919</v>
      </c>
      <c r="E469" s="1" t="n">
        <v>46219</v>
      </c>
      <c r="F469" t="inlineStr">
        <is>
          <t>VÄRMLANDS LÄN</t>
        </is>
      </c>
      <c r="G469" t="inlineStr">
        <is>
          <t>SUNNE</t>
        </is>
      </c>
      <c r="H469" t="inlineStr">
        <is>
          <t>Kommuner</t>
        </is>
      </c>
      <c r="I469" t="n">
        <v>4.9</v>
      </c>
      <c r="J469" t="n">
        <v>0</v>
      </c>
      <c r="K469" t="n">
        <v>0</v>
      </c>
      <c r="L469" t="n">
        <v>0</v>
      </c>
      <c r="M469" t="n">
        <v>0</v>
      </c>
      <c r="N469" t="n">
        <v>0</v>
      </c>
      <c r="O469" t="n">
        <v>0</v>
      </c>
      <c r="P469" t="n">
        <v>0</v>
      </c>
      <c r="Q469" t="n">
        <v>0</v>
      </c>
      <c r="R469" t="n">
        <v>0</v>
      </c>
      <c r="S469" t="n">
        <v>0</v>
      </c>
      <c r="T469" t="n">
        <v>0</v>
      </c>
      <c r="U469" s="2" t="inlineStr"/>
    </row>
    <row r="470" ht="15" customHeight="1">
      <c r="A470" t="inlineStr">
        <is>
          <t>A 60182-2022</t>
        </is>
      </c>
      <c r="B470" t="inlineStr">
        <is>
          <t>avverkningsanmälan</t>
        </is>
      </c>
      <c r="C470" t="inlineStr">
        <is>
          <t>Föryngringsavverkning</t>
        </is>
      </c>
      <c r="D470" s="1" t="n">
        <v>44910</v>
      </c>
      <c r="E470" s="1" t="n">
        <v>46219</v>
      </c>
      <c r="F470" t="inlineStr">
        <is>
          <t>VÄRMLANDS LÄN</t>
        </is>
      </c>
      <c r="G470" t="inlineStr">
        <is>
          <t>SUNNE</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12273-2025</t>
        </is>
      </c>
      <c r="B471" t="inlineStr">
        <is>
          <t>avverkningsanmälan</t>
        </is>
      </c>
      <c r="C471" t="inlineStr">
        <is>
          <t>Föryngringsavverkning</t>
        </is>
      </c>
      <c r="D471" s="1" t="n">
        <v>45729</v>
      </c>
      <c r="E471" s="1" t="n">
        <v>46219</v>
      </c>
      <c r="F471" t="inlineStr">
        <is>
          <t>VÄRMLANDS LÄN</t>
        </is>
      </c>
      <c r="G471" t="inlineStr">
        <is>
          <t>SUNNE</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3072-2024</t>
        </is>
      </c>
      <c r="B472" t="inlineStr">
        <is>
          <t>avverkningsanmälan</t>
        </is>
      </c>
      <c r="C472" t="inlineStr">
        <is>
          <t>Föryngringsavverkning</t>
        </is>
      </c>
      <c r="D472" s="1" t="n">
        <v>45316</v>
      </c>
      <c r="E472" s="1" t="n">
        <v>46219</v>
      </c>
      <c r="F472" t="inlineStr">
        <is>
          <t>VÄRMLANDS LÄN</t>
        </is>
      </c>
      <c r="G472" t="inlineStr">
        <is>
          <t>SUNNE</t>
        </is>
      </c>
      <c r="H472" t="inlineStr">
        <is>
          <t>Kommuner</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513-2023</t>
        </is>
      </c>
      <c r="B473" t="inlineStr">
        <is>
          <t>avverkningsanmälan</t>
        </is>
      </c>
      <c r="C473" t="inlineStr">
        <is>
          <t>Föryngringsavverkning</t>
        </is>
      </c>
      <c r="D473" s="1" t="n">
        <v>44930</v>
      </c>
      <c r="E473" s="1" t="n">
        <v>46219</v>
      </c>
      <c r="F473" t="inlineStr">
        <is>
          <t>VÄRMLANDS LÄN</t>
        </is>
      </c>
      <c r="G473" t="inlineStr">
        <is>
          <t>SUNNE</t>
        </is>
      </c>
      <c r="I473" t="n">
        <v>0.3</v>
      </c>
      <c r="J473" t="n">
        <v>0</v>
      </c>
      <c r="K473" t="n">
        <v>0</v>
      </c>
      <c r="L473" t="n">
        <v>0</v>
      </c>
      <c r="M473" t="n">
        <v>0</v>
      </c>
      <c r="N473" t="n">
        <v>0</v>
      </c>
      <c r="O473" t="n">
        <v>0</v>
      </c>
      <c r="P473" t="n">
        <v>0</v>
      </c>
      <c r="Q473" t="n">
        <v>0</v>
      </c>
      <c r="R473" t="n">
        <v>0</v>
      </c>
      <c r="S473" t="n">
        <v>0</v>
      </c>
      <c r="T473" t="n">
        <v>0</v>
      </c>
      <c r="U473" s="2" t="inlineStr"/>
    </row>
    <row r="474" ht="15" customHeight="1">
      <c r="A474" t="inlineStr">
        <is>
          <t>A 2930-2022</t>
        </is>
      </c>
      <c r="B474" t="inlineStr">
        <is>
          <t>avverkningsanmälan</t>
        </is>
      </c>
      <c r="C474" t="inlineStr">
        <is>
          <t>Föryngringsavverkning</t>
        </is>
      </c>
      <c r="D474" s="1" t="n">
        <v>44581</v>
      </c>
      <c r="E474" s="1" t="n">
        <v>46219</v>
      </c>
      <c r="F474" t="inlineStr">
        <is>
          <t>VÄRMLANDS LÄN</t>
        </is>
      </c>
      <c r="G474" t="inlineStr">
        <is>
          <t>SUNNE</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45747-2025</t>
        </is>
      </c>
      <c r="B475" t="inlineStr">
        <is>
          <t>avverkningsanmälan</t>
        </is>
      </c>
      <c r="C475" t="inlineStr">
        <is>
          <t>Föryngringsavverkning</t>
        </is>
      </c>
      <c r="D475" s="1" t="n">
        <v>45923</v>
      </c>
      <c r="E475" s="1" t="n">
        <v>46219</v>
      </c>
      <c r="F475" t="inlineStr">
        <is>
          <t>VÄRMLANDS LÄN</t>
        </is>
      </c>
      <c r="G475" t="inlineStr">
        <is>
          <t>SUNNE</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32980-2024</t>
        </is>
      </c>
      <c r="B476" t="inlineStr">
        <is>
          <t>avverkningsanmälan</t>
        </is>
      </c>
      <c r="C476" t="inlineStr">
        <is>
          <t>Föryngringsavverkning</t>
        </is>
      </c>
      <c r="D476" s="1" t="n">
        <v>45517</v>
      </c>
      <c r="E476" s="1" t="n">
        <v>46219</v>
      </c>
      <c r="F476" t="inlineStr">
        <is>
          <t>VÄRMLANDS LÄN</t>
        </is>
      </c>
      <c r="G476" t="inlineStr">
        <is>
          <t>SUNNE</t>
        </is>
      </c>
      <c r="I476" t="n">
        <v>5.5</v>
      </c>
      <c r="J476" t="n">
        <v>0</v>
      </c>
      <c r="K476" t="n">
        <v>0</v>
      </c>
      <c r="L476" t="n">
        <v>0</v>
      </c>
      <c r="M476" t="n">
        <v>0</v>
      </c>
      <c r="N476" t="n">
        <v>0</v>
      </c>
      <c r="O476" t="n">
        <v>0</v>
      </c>
      <c r="P476" t="n">
        <v>0</v>
      </c>
      <c r="Q476" t="n">
        <v>0</v>
      </c>
      <c r="R476" t="n">
        <v>0</v>
      </c>
      <c r="S476" t="n">
        <v>0</v>
      </c>
      <c r="T476" t="n">
        <v>0</v>
      </c>
      <c r="U476" s="2" t="inlineStr"/>
    </row>
    <row r="477" ht="15" customHeight="1">
      <c r="A477" t="inlineStr">
        <is>
          <t>A 10307-2024</t>
        </is>
      </c>
      <c r="B477" t="inlineStr">
        <is>
          <t>avverkningsanmälan</t>
        </is>
      </c>
      <c r="C477" t="inlineStr">
        <is>
          <t>Föryngringsavverkning</t>
        </is>
      </c>
      <c r="D477" s="1" t="n">
        <v>45365</v>
      </c>
      <c r="E477" s="1" t="n">
        <v>46219</v>
      </c>
      <c r="F477" t="inlineStr">
        <is>
          <t>VÄRMLANDS LÄN</t>
        </is>
      </c>
      <c r="G477" t="inlineStr">
        <is>
          <t>SUNNE</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2397-2022</t>
        </is>
      </c>
      <c r="B478" t="inlineStr">
        <is>
          <t>avverkningsanmälan</t>
        </is>
      </c>
      <c r="C478" t="inlineStr">
        <is>
          <t>Föryngringsavverkning</t>
        </is>
      </c>
      <c r="D478" s="1" t="n">
        <v>44579</v>
      </c>
      <c r="E478" s="1" t="n">
        <v>46219</v>
      </c>
      <c r="F478" t="inlineStr">
        <is>
          <t>VÄRMLANDS LÄN</t>
        </is>
      </c>
      <c r="G478" t="inlineStr">
        <is>
          <t>SUNNE</t>
        </is>
      </c>
      <c r="I478" t="n">
        <v>9.5</v>
      </c>
      <c r="J478" t="n">
        <v>0</v>
      </c>
      <c r="K478" t="n">
        <v>0</v>
      </c>
      <c r="L478" t="n">
        <v>0</v>
      </c>
      <c r="M478" t="n">
        <v>0</v>
      </c>
      <c r="N478" t="n">
        <v>0</v>
      </c>
      <c r="O478" t="n">
        <v>0</v>
      </c>
      <c r="P478" t="n">
        <v>0</v>
      </c>
      <c r="Q478" t="n">
        <v>0</v>
      </c>
      <c r="R478" t="n">
        <v>0</v>
      </c>
      <c r="S478" t="n">
        <v>0</v>
      </c>
      <c r="T478" t="n">
        <v>0</v>
      </c>
      <c r="U478" s="2" t="inlineStr"/>
    </row>
    <row r="479" ht="15" customHeight="1">
      <c r="A479" t="inlineStr">
        <is>
          <t>A 54036-2022</t>
        </is>
      </c>
      <c r="B479" t="inlineStr">
        <is>
          <t>avverkningsanmälan</t>
        </is>
      </c>
      <c r="C479" t="inlineStr">
        <is>
          <t>Föryngringsavverkning</t>
        </is>
      </c>
      <c r="D479" s="1" t="n">
        <v>44881</v>
      </c>
      <c r="E479" s="1" t="n">
        <v>46219</v>
      </c>
      <c r="F479" t="inlineStr">
        <is>
          <t>VÄRMLANDS LÄN</t>
        </is>
      </c>
      <c r="G479" t="inlineStr">
        <is>
          <t>SUNNE</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45719-2025</t>
        </is>
      </c>
      <c r="B480" t="inlineStr">
        <is>
          <t>avverkningsanmälan</t>
        </is>
      </c>
      <c r="C480" t="inlineStr">
        <is>
          <t>Föryngringsavverkning</t>
        </is>
      </c>
      <c r="D480" s="1" t="n">
        <v>45923</v>
      </c>
      <c r="E480" s="1" t="n">
        <v>46219</v>
      </c>
      <c r="F480" t="inlineStr">
        <is>
          <t>VÄRMLANDS LÄN</t>
        </is>
      </c>
      <c r="G480" t="inlineStr">
        <is>
          <t>SUNNE</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46657-2025</t>
        </is>
      </c>
      <c r="B481" t="inlineStr">
        <is>
          <t>avverkningsanmälan</t>
        </is>
      </c>
      <c r="C481" t="inlineStr">
        <is>
          <t>Föryngringsavverkning</t>
        </is>
      </c>
      <c r="D481" s="1" t="n">
        <v>45926</v>
      </c>
      <c r="E481" s="1" t="n">
        <v>46219</v>
      </c>
      <c r="F481" t="inlineStr">
        <is>
          <t>VÄRMLANDS LÄN</t>
        </is>
      </c>
      <c r="G481" t="inlineStr">
        <is>
          <t>SUNNE</t>
        </is>
      </c>
      <c r="I481" t="n">
        <v>4.3</v>
      </c>
      <c r="J481" t="n">
        <v>0</v>
      </c>
      <c r="K481" t="n">
        <v>0</v>
      </c>
      <c r="L481" t="n">
        <v>0</v>
      </c>
      <c r="M481" t="n">
        <v>0</v>
      </c>
      <c r="N481" t="n">
        <v>0</v>
      </c>
      <c r="O481" t="n">
        <v>0</v>
      </c>
      <c r="P481" t="n">
        <v>0</v>
      </c>
      <c r="Q481" t="n">
        <v>0</v>
      </c>
      <c r="R481" t="n">
        <v>0</v>
      </c>
      <c r="S481" t="n">
        <v>0</v>
      </c>
      <c r="T481" t="n">
        <v>0</v>
      </c>
      <c r="U481" s="2" t="inlineStr"/>
    </row>
    <row r="482" ht="15" customHeight="1">
      <c r="A482" t="inlineStr">
        <is>
          <t>A 47092-2024</t>
        </is>
      </c>
      <c r="B482" t="inlineStr">
        <is>
          <t>avverkningsanmälan</t>
        </is>
      </c>
      <c r="C482" t="inlineStr">
        <is>
          <t>Föryngringsavverkning</t>
        </is>
      </c>
      <c r="D482" s="1" t="n">
        <v>45586</v>
      </c>
      <c r="E482" s="1" t="n">
        <v>46219</v>
      </c>
      <c r="F482" t="inlineStr">
        <is>
          <t>VÄRMLANDS LÄN</t>
        </is>
      </c>
      <c r="G482" t="inlineStr">
        <is>
          <t>SUNNE</t>
        </is>
      </c>
      <c r="H482" t="inlineStr">
        <is>
          <t>Kommuner</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46663-2025</t>
        </is>
      </c>
      <c r="B483" t="inlineStr">
        <is>
          <t>avverkningsanmälan</t>
        </is>
      </c>
      <c r="C483" t="inlineStr">
        <is>
          <t>Föryngringsavverkning</t>
        </is>
      </c>
      <c r="D483" s="1" t="n">
        <v>45926</v>
      </c>
      <c r="E483" s="1" t="n">
        <v>46219</v>
      </c>
      <c r="F483" t="inlineStr">
        <is>
          <t>VÄRMLANDS LÄN</t>
        </is>
      </c>
      <c r="G483" t="inlineStr">
        <is>
          <t>SUNNE</t>
        </is>
      </c>
      <c r="I483" t="n">
        <v>3.7</v>
      </c>
      <c r="J483" t="n">
        <v>0</v>
      </c>
      <c r="K483" t="n">
        <v>0</v>
      </c>
      <c r="L483" t="n">
        <v>0</v>
      </c>
      <c r="M483" t="n">
        <v>0</v>
      </c>
      <c r="N483" t="n">
        <v>0</v>
      </c>
      <c r="O483" t="n">
        <v>0</v>
      </c>
      <c r="P483" t="n">
        <v>0</v>
      </c>
      <c r="Q483" t="n">
        <v>0</v>
      </c>
      <c r="R483" t="n">
        <v>0</v>
      </c>
      <c r="S483" t="n">
        <v>0</v>
      </c>
      <c r="T483" t="n">
        <v>0</v>
      </c>
      <c r="U483" s="2" t="inlineStr"/>
    </row>
    <row r="484" ht="15" customHeight="1">
      <c r="A484" t="inlineStr">
        <is>
          <t>A 38969-2021</t>
        </is>
      </c>
      <c r="B484" t="inlineStr">
        <is>
          <t>avverkningsanmälan</t>
        </is>
      </c>
      <c r="C484" t="inlineStr">
        <is>
          <t>Föryngringsavverkning</t>
        </is>
      </c>
      <c r="D484" s="1" t="n">
        <v>44411</v>
      </c>
      <c r="E484" s="1" t="n">
        <v>46219</v>
      </c>
      <c r="F484" t="inlineStr">
        <is>
          <t>VÄRMLANDS LÄN</t>
        </is>
      </c>
      <c r="G484" t="inlineStr">
        <is>
          <t>SUNNE</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684-2025</t>
        </is>
      </c>
      <c r="B485" t="inlineStr">
        <is>
          <t>avverkningsanmälan</t>
        </is>
      </c>
      <c r="C485" t="inlineStr">
        <is>
          <t>Föryngringsavverkning</t>
        </is>
      </c>
      <c r="D485" s="1" t="n">
        <v>45665</v>
      </c>
      <c r="E485" s="1" t="n">
        <v>46219</v>
      </c>
      <c r="F485" t="inlineStr">
        <is>
          <t>VÄRMLANDS LÄN</t>
        </is>
      </c>
      <c r="G485" t="inlineStr">
        <is>
          <t>SUNNE</t>
        </is>
      </c>
      <c r="I485" t="n">
        <v>9</v>
      </c>
      <c r="J485" t="n">
        <v>0</v>
      </c>
      <c r="K485" t="n">
        <v>0</v>
      </c>
      <c r="L485" t="n">
        <v>0</v>
      </c>
      <c r="M485" t="n">
        <v>0</v>
      </c>
      <c r="N485" t="n">
        <v>0</v>
      </c>
      <c r="O485" t="n">
        <v>0</v>
      </c>
      <c r="P485" t="n">
        <v>0</v>
      </c>
      <c r="Q485" t="n">
        <v>0</v>
      </c>
      <c r="R485" t="n">
        <v>0</v>
      </c>
      <c r="S485" t="n">
        <v>0</v>
      </c>
      <c r="T485" t="n">
        <v>0</v>
      </c>
      <c r="U485" s="2" t="inlineStr"/>
    </row>
    <row r="486" ht="15" customHeight="1">
      <c r="A486" t="inlineStr">
        <is>
          <t>A 58092-2022</t>
        </is>
      </c>
      <c r="B486" t="inlineStr">
        <is>
          <t>avverkningsanmälan</t>
        </is>
      </c>
      <c r="C486" t="inlineStr">
        <is>
          <t>Föryngringsavverkning</t>
        </is>
      </c>
      <c r="D486" s="1" t="n">
        <v>44900</v>
      </c>
      <c r="E486" s="1" t="n">
        <v>46219</v>
      </c>
      <c r="F486" t="inlineStr">
        <is>
          <t>VÄRMLANDS LÄN</t>
        </is>
      </c>
      <c r="G486" t="inlineStr">
        <is>
          <t>SUNNE</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19463-2023</t>
        </is>
      </c>
      <c r="B487" t="inlineStr">
        <is>
          <t>avverkningsanmälan</t>
        </is>
      </c>
      <c r="C487" t="inlineStr">
        <is>
          <t>Föryngringsavverkning</t>
        </is>
      </c>
      <c r="D487" s="1" t="n">
        <v>45050</v>
      </c>
      <c r="E487" s="1" t="n">
        <v>46219</v>
      </c>
      <c r="F487" t="inlineStr">
        <is>
          <t>VÄRMLANDS LÄN</t>
        </is>
      </c>
      <c r="G487" t="inlineStr">
        <is>
          <t>SUNNE</t>
        </is>
      </c>
      <c r="I487" t="n">
        <v>12.6</v>
      </c>
      <c r="J487" t="n">
        <v>0</v>
      </c>
      <c r="K487" t="n">
        <v>0</v>
      </c>
      <c r="L487" t="n">
        <v>0</v>
      </c>
      <c r="M487" t="n">
        <v>0</v>
      </c>
      <c r="N487" t="n">
        <v>0</v>
      </c>
      <c r="O487" t="n">
        <v>0</v>
      </c>
      <c r="P487" t="n">
        <v>0</v>
      </c>
      <c r="Q487" t="n">
        <v>0</v>
      </c>
      <c r="R487" t="n">
        <v>0</v>
      </c>
      <c r="S487" t="n">
        <v>0</v>
      </c>
      <c r="T487" t="n">
        <v>0</v>
      </c>
      <c r="U487" s="2" t="inlineStr"/>
    </row>
    <row r="488" ht="15" customHeight="1">
      <c r="A488" t="inlineStr">
        <is>
          <t>A 36851-2024</t>
        </is>
      </c>
      <c r="B488" t="inlineStr">
        <is>
          <t>avverkningsanmälan</t>
        </is>
      </c>
      <c r="C488" t="inlineStr">
        <is>
          <t>Föryngringsavverkning</t>
        </is>
      </c>
      <c r="D488" s="1" t="n">
        <v>45538</v>
      </c>
      <c r="E488" s="1" t="n">
        <v>46219</v>
      </c>
      <c r="F488" t="inlineStr">
        <is>
          <t>VÄRMLANDS LÄN</t>
        </is>
      </c>
      <c r="G488" t="inlineStr">
        <is>
          <t>SUNNE</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39028-2024</t>
        </is>
      </c>
      <c r="B489" t="inlineStr">
        <is>
          <t>avverkningsanmälan</t>
        </is>
      </c>
      <c r="C489" t="inlineStr">
        <is>
          <t>Föryngringsavverkning</t>
        </is>
      </c>
      <c r="D489" s="1" t="n">
        <v>45548</v>
      </c>
      <c r="E489" s="1" t="n">
        <v>46219</v>
      </c>
      <c r="F489" t="inlineStr">
        <is>
          <t>VÄRMLANDS LÄN</t>
        </is>
      </c>
      <c r="G489" t="inlineStr">
        <is>
          <t>SUNNE</t>
        </is>
      </c>
      <c r="I489" t="n">
        <v>6.3</v>
      </c>
      <c r="J489" t="n">
        <v>0</v>
      </c>
      <c r="K489" t="n">
        <v>0</v>
      </c>
      <c r="L489" t="n">
        <v>0</v>
      </c>
      <c r="M489" t="n">
        <v>0</v>
      </c>
      <c r="N489" t="n">
        <v>0</v>
      </c>
      <c r="O489" t="n">
        <v>0</v>
      </c>
      <c r="P489" t="n">
        <v>0</v>
      </c>
      <c r="Q489" t="n">
        <v>0</v>
      </c>
      <c r="R489" t="n">
        <v>0</v>
      </c>
      <c r="S489" t="n">
        <v>0</v>
      </c>
      <c r="T489" t="n">
        <v>0</v>
      </c>
      <c r="U489" s="2" t="inlineStr"/>
    </row>
    <row r="490" ht="15" customHeight="1">
      <c r="A490" t="inlineStr">
        <is>
          <t>A 23728-2023</t>
        </is>
      </c>
      <c r="B490" t="inlineStr">
        <is>
          <t>avverkningsanmälan</t>
        </is>
      </c>
      <c r="C490" t="inlineStr">
        <is>
          <t>Föryngringsavverkning</t>
        </is>
      </c>
      <c r="D490" s="1" t="n">
        <v>45077</v>
      </c>
      <c r="E490" s="1" t="n">
        <v>46219</v>
      </c>
      <c r="F490" t="inlineStr">
        <is>
          <t>VÄRMLANDS LÄN</t>
        </is>
      </c>
      <c r="G490" t="inlineStr">
        <is>
          <t>SUNNE</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34553-2024</t>
        </is>
      </c>
      <c r="B491" t="inlineStr">
        <is>
          <t>avverkningsanmälan</t>
        </is>
      </c>
      <c r="C491" t="inlineStr">
        <is>
          <t>Föryngringsavverkning</t>
        </is>
      </c>
      <c r="D491" s="1" t="n">
        <v>45525</v>
      </c>
      <c r="E491" s="1" t="n">
        <v>46219</v>
      </c>
      <c r="F491" t="inlineStr">
        <is>
          <t>VÄRMLANDS LÄN</t>
        </is>
      </c>
      <c r="G491" t="inlineStr">
        <is>
          <t>SUNNE</t>
        </is>
      </c>
      <c r="I491" t="n">
        <v>1.8</v>
      </c>
      <c r="J491" t="n">
        <v>0</v>
      </c>
      <c r="K491" t="n">
        <v>0</v>
      </c>
      <c r="L491" t="n">
        <v>0</v>
      </c>
      <c r="M491" t="n">
        <v>0</v>
      </c>
      <c r="N491" t="n">
        <v>0</v>
      </c>
      <c r="O491" t="n">
        <v>0</v>
      </c>
      <c r="P491" t="n">
        <v>0</v>
      </c>
      <c r="Q491" t="n">
        <v>0</v>
      </c>
      <c r="R491" t="n">
        <v>0</v>
      </c>
      <c r="S491" t="n">
        <v>0</v>
      </c>
      <c r="T491" t="n">
        <v>0</v>
      </c>
      <c r="U491" s="2" t="inlineStr"/>
    </row>
    <row r="492" ht="15" customHeight="1">
      <c r="A492" t="inlineStr">
        <is>
          <t>A 46370-2025</t>
        </is>
      </c>
      <c r="B492" t="inlineStr">
        <is>
          <t>avverkningsanmälan</t>
        </is>
      </c>
      <c r="C492" t="inlineStr">
        <is>
          <t>Föryngringsavverkning</t>
        </is>
      </c>
      <c r="D492" s="1" t="n">
        <v>45925</v>
      </c>
      <c r="E492" s="1" t="n">
        <v>46219</v>
      </c>
      <c r="F492" t="inlineStr">
        <is>
          <t>VÄRMLANDS LÄN</t>
        </is>
      </c>
      <c r="G492" t="inlineStr">
        <is>
          <t>SUNNE</t>
        </is>
      </c>
      <c r="H492" t="inlineStr">
        <is>
          <t>Bergvik skog väst AB</t>
        </is>
      </c>
      <c r="I492" t="n">
        <v>14.6</v>
      </c>
      <c r="J492" t="n">
        <v>0</v>
      </c>
      <c r="K492" t="n">
        <v>0</v>
      </c>
      <c r="L492" t="n">
        <v>0</v>
      </c>
      <c r="M492" t="n">
        <v>0</v>
      </c>
      <c r="N492" t="n">
        <v>0</v>
      </c>
      <c r="O492" t="n">
        <v>0</v>
      </c>
      <c r="P492" t="n">
        <v>0</v>
      </c>
      <c r="Q492" t="n">
        <v>0</v>
      </c>
      <c r="R492" t="n">
        <v>0</v>
      </c>
      <c r="S492" t="n">
        <v>0</v>
      </c>
      <c r="T492" t="n">
        <v>0</v>
      </c>
      <c r="U492" s="2" t="inlineStr"/>
    </row>
    <row r="493" ht="15" customHeight="1">
      <c r="A493" t="inlineStr">
        <is>
          <t>A 40986-2022</t>
        </is>
      </c>
      <c r="B493" t="inlineStr">
        <is>
          <t>avverkningsanmälan</t>
        </is>
      </c>
      <c r="C493" t="inlineStr">
        <is>
          <t>Föryngringsavverkning</t>
        </is>
      </c>
      <c r="D493" s="1" t="n">
        <v>44823</v>
      </c>
      <c r="E493" s="1" t="n">
        <v>46219</v>
      </c>
      <c r="F493" t="inlineStr">
        <is>
          <t>VÄRMLANDS LÄN</t>
        </is>
      </c>
      <c r="G493" t="inlineStr">
        <is>
          <t>SUNNE</t>
        </is>
      </c>
      <c r="H493" t="inlineStr">
        <is>
          <t>Kyrkan</t>
        </is>
      </c>
      <c r="I493" t="n">
        <v>5.7</v>
      </c>
      <c r="J493" t="n">
        <v>0</v>
      </c>
      <c r="K493" t="n">
        <v>0</v>
      </c>
      <c r="L493" t="n">
        <v>0</v>
      </c>
      <c r="M493" t="n">
        <v>0</v>
      </c>
      <c r="N493" t="n">
        <v>0</v>
      </c>
      <c r="O493" t="n">
        <v>0</v>
      </c>
      <c r="P493" t="n">
        <v>0</v>
      </c>
      <c r="Q493" t="n">
        <v>0</v>
      </c>
      <c r="R493" t="n">
        <v>0</v>
      </c>
      <c r="S493" t="n">
        <v>0</v>
      </c>
      <c r="T493" t="n">
        <v>0</v>
      </c>
      <c r="U493" s="2" t="inlineStr"/>
    </row>
    <row r="494" ht="15" customHeight="1">
      <c r="A494" t="inlineStr">
        <is>
          <t>A 32408-2022</t>
        </is>
      </c>
      <c r="B494" t="inlineStr">
        <is>
          <t>avverkningsanmälan</t>
        </is>
      </c>
      <c r="C494" t="inlineStr">
        <is>
          <t>Föryngringsavverkning</t>
        </is>
      </c>
      <c r="D494" s="1" t="n">
        <v>44782</v>
      </c>
      <c r="E494" s="1" t="n">
        <v>46219</v>
      </c>
      <c r="F494" t="inlineStr">
        <is>
          <t>VÄRMLANDS LÄN</t>
        </is>
      </c>
      <c r="G494" t="inlineStr">
        <is>
          <t>SUNNE</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8948-2023</t>
        </is>
      </c>
      <c r="B495" t="inlineStr">
        <is>
          <t>avverkningsanmälan</t>
        </is>
      </c>
      <c r="C495" t="inlineStr">
        <is>
          <t>Föryngringsavverkning</t>
        </is>
      </c>
      <c r="D495" s="1" t="n">
        <v>44979</v>
      </c>
      <c r="E495" s="1" t="n">
        <v>46219</v>
      </c>
      <c r="F495" t="inlineStr">
        <is>
          <t>VÄRMLANDS LÄN</t>
        </is>
      </c>
      <c r="G495" t="inlineStr">
        <is>
          <t>SUNNE</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47273-2025</t>
        </is>
      </c>
      <c r="B496" t="inlineStr">
        <is>
          <t>avverkningsanmälan</t>
        </is>
      </c>
      <c r="C496" t="inlineStr">
        <is>
          <t>Föryngringsavverkning</t>
        </is>
      </c>
      <c r="D496" s="1" t="n">
        <v>45930</v>
      </c>
      <c r="E496" s="1" t="n">
        <v>46219</v>
      </c>
      <c r="F496" t="inlineStr">
        <is>
          <t>VÄRMLANDS LÄN</t>
        </is>
      </c>
      <c r="G496" t="inlineStr">
        <is>
          <t>SUNNE</t>
        </is>
      </c>
      <c r="H496" t="inlineStr">
        <is>
          <t>Bergvik skog väst AB</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47256-2025</t>
        </is>
      </c>
      <c r="B497" t="inlineStr">
        <is>
          <t>avverkningsanmälan</t>
        </is>
      </c>
      <c r="C497" t="inlineStr">
        <is>
          <t>Föryngringsavverkning</t>
        </is>
      </c>
      <c r="D497" s="1" t="n">
        <v>45930</v>
      </c>
      <c r="E497" s="1" t="n">
        <v>46219</v>
      </c>
      <c r="F497" t="inlineStr">
        <is>
          <t>VÄRMLANDS LÄN</t>
        </is>
      </c>
      <c r="G497" t="inlineStr">
        <is>
          <t>SUNNE</t>
        </is>
      </c>
      <c r="H497" t="inlineStr">
        <is>
          <t>Bergvik skog väst AB</t>
        </is>
      </c>
      <c r="I497" t="n">
        <v>2.9</v>
      </c>
      <c r="J497" t="n">
        <v>0</v>
      </c>
      <c r="K497" t="n">
        <v>0</v>
      </c>
      <c r="L497" t="n">
        <v>0</v>
      </c>
      <c r="M497" t="n">
        <v>0</v>
      </c>
      <c r="N497" t="n">
        <v>0</v>
      </c>
      <c r="O497" t="n">
        <v>0</v>
      </c>
      <c r="P497" t="n">
        <v>0</v>
      </c>
      <c r="Q497" t="n">
        <v>0</v>
      </c>
      <c r="R497" t="n">
        <v>0</v>
      </c>
      <c r="S497" t="n">
        <v>0</v>
      </c>
      <c r="T497" t="n">
        <v>0</v>
      </c>
      <c r="U497" s="2" t="inlineStr"/>
    </row>
    <row r="498" ht="15" customHeight="1">
      <c r="A498" t="inlineStr">
        <is>
          <t>A 46850-2025</t>
        </is>
      </c>
      <c r="B498" t="inlineStr">
        <is>
          <t>avverkningsanmälan</t>
        </is>
      </c>
      <c r="C498" t="inlineStr">
        <is>
          <t>Föryngringsavverkning</t>
        </is>
      </c>
      <c r="D498" s="1" t="n">
        <v>45928</v>
      </c>
      <c r="E498" s="1" t="n">
        <v>46219</v>
      </c>
      <c r="F498" t="inlineStr">
        <is>
          <t>VÄRMLANDS LÄN</t>
        </is>
      </c>
      <c r="G498" t="inlineStr">
        <is>
          <t>SUNNE</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22260-2023</t>
        </is>
      </c>
      <c r="B499" t="inlineStr">
        <is>
          <t>avverkningsanmälan</t>
        </is>
      </c>
      <c r="C499" t="inlineStr">
        <is>
          <t>Föryngringsavverkning</t>
        </is>
      </c>
      <c r="D499" s="1" t="n">
        <v>45070</v>
      </c>
      <c r="E499" s="1" t="n">
        <v>46219</v>
      </c>
      <c r="F499" t="inlineStr">
        <is>
          <t>VÄRMLANDS LÄN</t>
        </is>
      </c>
      <c r="G499" t="inlineStr">
        <is>
          <t>SUNNE</t>
        </is>
      </c>
      <c r="I499" t="n">
        <v>3.3</v>
      </c>
      <c r="J499" t="n">
        <v>0</v>
      </c>
      <c r="K499" t="n">
        <v>0</v>
      </c>
      <c r="L499" t="n">
        <v>0</v>
      </c>
      <c r="M499" t="n">
        <v>0</v>
      </c>
      <c r="N499" t="n">
        <v>0</v>
      </c>
      <c r="O499" t="n">
        <v>0</v>
      </c>
      <c r="P499" t="n">
        <v>0</v>
      </c>
      <c r="Q499" t="n">
        <v>0</v>
      </c>
      <c r="R499" t="n">
        <v>0</v>
      </c>
      <c r="S499" t="n">
        <v>0</v>
      </c>
      <c r="T499" t="n">
        <v>0</v>
      </c>
      <c r="U499" s="2" t="inlineStr"/>
    </row>
    <row r="500" ht="15" customHeight="1">
      <c r="A500" t="inlineStr">
        <is>
          <t>A 47237-2025</t>
        </is>
      </c>
      <c r="B500" t="inlineStr">
        <is>
          <t>avverkningsanmälan</t>
        </is>
      </c>
      <c r="C500" t="inlineStr">
        <is>
          <t>Föryngringsavverkning</t>
        </is>
      </c>
      <c r="D500" s="1" t="n">
        <v>45930</v>
      </c>
      <c r="E500" s="1" t="n">
        <v>46219</v>
      </c>
      <c r="F500" t="inlineStr">
        <is>
          <t>VÄRMLANDS LÄN</t>
        </is>
      </c>
      <c r="G500" t="inlineStr">
        <is>
          <t>SUNNE</t>
        </is>
      </c>
      <c r="H500" t="inlineStr">
        <is>
          <t>Bergvik skog väst AB</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48028-2023</t>
        </is>
      </c>
      <c r="B501" t="inlineStr">
        <is>
          <t>avverkningsanmälan</t>
        </is>
      </c>
      <c r="C501" t="inlineStr">
        <is>
          <t>Föryngringsavverkning</t>
        </is>
      </c>
      <c r="D501" s="1" t="n">
        <v>45204</v>
      </c>
      <c r="E501" s="1" t="n">
        <v>46219</v>
      </c>
      <c r="F501" t="inlineStr">
        <is>
          <t>VÄRMLANDS LÄN</t>
        </is>
      </c>
      <c r="G501" t="inlineStr">
        <is>
          <t>SUNNE</t>
        </is>
      </c>
      <c r="I501" t="n">
        <v>9.199999999999999</v>
      </c>
      <c r="J501" t="n">
        <v>0</v>
      </c>
      <c r="K501" t="n">
        <v>0</v>
      </c>
      <c r="L501" t="n">
        <v>0</v>
      </c>
      <c r="M501" t="n">
        <v>0</v>
      </c>
      <c r="N501" t="n">
        <v>0</v>
      </c>
      <c r="O501" t="n">
        <v>0</v>
      </c>
      <c r="P501" t="n">
        <v>0</v>
      </c>
      <c r="Q501" t="n">
        <v>0</v>
      </c>
      <c r="R501" t="n">
        <v>0</v>
      </c>
      <c r="S501" t="n">
        <v>0</v>
      </c>
      <c r="T501" t="n">
        <v>0</v>
      </c>
      <c r="U501" s="2" t="inlineStr"/>
    </row>
    <row r="502" ht="15" customHeight="1">
      <c r="A502" t="inlineStr">
        <is>
          <t>A 48053-2023</t>
        </is>
      </c>
      <c r="B502" t="inlineStr">
        <is>
          <t>avverkningsanmälan</t>
        </is>
      </c>
      <c r="C502" t="inlineStr">
        <is>
          <t>Föryngringsavverkning</t>
        </is>
      </c>
      <c r="D502" s="1" t="n">
        <v>45204</v>
      </c>
      <c r="E502" s="1" t="n">
        <v>46219</v>
      </c>
      <c r="F502" t="inlineStr">
        <is>
          <t>VÄRMLANDS LÄN</t>
        </is>
      </c>
      <c r="G502" t="inlineStr">
        <is>
          <t>SUNNE</t>
        </is>
      </c>
      <c r="I502" t="n">
        <v>8.9</v>
      </c>
      <c r="J502" t="n">
        <v>0</v>
      </c>
      <c r="K502" t="n">
        <v>0</v>
      </c>
      <c r="L502" t="n">
        <v>0</v>
      </c>
      <c r="M502" t="n">
        <v>0</v>
      </c>
      <c r="N502" t="n">
        <v>0</v>
      </c>
      <c r="O502" t="n">
        <v>0</v>
      </c>
      <c r="P502" t="n">
        <v>0</v>
      </c>
      <c r="Q502" t="n">
        <v>0</v>
      </c>
      <c r="R502" t="n">
        <v>0</v>
      </c>
      <c r="S502" t="n">
        <v>0</v>
      </c>
      <c r="T502" t="n">
        <v>0</v>
      </c>
      <c r="U502" s="2" t="inlineStr"/>
    </row>
    <row r="503" ht="15" customHeight="1">
      <c r="A503" t="inlineStr">
        <is>
          <t>A 30989-2023</t>
        </is>
      </c>
      <c r="B503" t="inlineStr">
        <is>
          <t>avverkningsanmälan</t>
        </is>
      </c>
      <c r="C503" t="inlineStr">
        <is>
          <t>Föryngringsavverkning</t>
        </is>
      </c>
      <c r="D503" s="1" t="n">
        <v>45113</v>
      </c>
      <c r="E503" s="1" t="n">
        <v>46219</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19554-2023</t>
        </is>
      </c>
      <c r="B504" t="inlineStr">
        <is>
          <t>avverkningsanmälan</t>
        </is>
      </c>
      <c r="C504" t="inlineStr">
        <is>
          <t>Föryngringsavverkning</t>
        </is>
      </c>
      <c r="D504" s="1" t="n">
        <v>45050</v>
      </c>
      <c r="E504" s="1" t="n">
        <v>46219</v>
      </c>
      <c r="F504" t="inlineStr">
        <is>
          <t>VÄRMLANDS LÄN</t>
        </is>
      </c>
      <c r="G504" t="inlineStr">
        <is>
          <t>SUNNE</t>
        </is>
      </c>
      <c r="H504" t="inlineStr">
        <is>
          <t>Övriga Aktiebolag</t>
        </is>
      </c>
      <c r="I504" t="n">
        <v>11.2</v>
      </c>
      <c r="J504" t="n">
        <v>0</v>
      </c>
      <c r="K504" t="n">
        <v>0</v>
      </c>
      <c r="L504" t="n">
        <v>0</v>
      </c>
      <c r="M504" t="n">
        <v>0</v>
      </c>
      <c r="N504" t="n">
        <v>0</v>
      </c>
      <c r="O504" t="n">
        <v>0</v>
      </c>
      <c r="P504" t="n">
        <v>0</v>
      </c>
      <c r="Q504" t="n">
        <v>0</v>
      </c>
      <c r="R504" t="n">
        <v>0</v>
      </c>
      <c r="S504" t="n">
        <v>0</v>
      </c>
      <c r="T504" t="n">
        <v>0</v>
      </c>
      <c r="U504" s="2" t="inlineStr"/>
    </row>
    <row r="505" ht="15" customHeight="1">
      <c r="A505" t="inlineStr">
        <is>
          <t>A 47025-2025</t>
        </is>
      </c>
      <c r="B505" t="inlineStr">
        <is>
          <t>avverkningsanmälan</t>
        </is>
      </c>
      <c r="C505" t="inlineStr">
        <is>
          <t>Föryngringsavverkning</t>
        </is>
      </c>
      <c r="D505" s="1" t="n">
        <v>45929</v>
      </c>
      <c r="E505" s="1" t="n">
        <v>46219</v>
      </c>
      <c r="F505" t="inlineStr">
        <is>
          <t>VÄRMLANDS LÄN</t>
        </is>
      </c>
      <c r="G505" t="inlineStr">
        <is>
          <t>SUNNE</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24626-2023</t>
        </is>
      </c>
      <c r="B506" t="inlineStr">
        <is>
          <t>avverkningsanmälan</t>
        </is>
      </c>
      <c r="C506" t="inlineStr">
        <is>
          <t>Föryngringsavverkning</t>
        </is>
      </c>
      <c r="D506" s="1" t="n">
        <v>45084</v>
      </c>
      <c r="E506" s="1" t="n">
        <v>46219</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47133-2025</t>
        </is>
      </c>
      <c r="B507" t="inlineStr">
        <is>
          <t>avverkningsanmälan</t>
        </is>
      </c>
      <c r="C507" t="inlineStr">
        <is>
          <t>Föryngringsavverkning</t>
        </is>
      </c>
      <c r="D507" s="1" t="n">
        <v>45929</v>
      </c>
      <c r="E507" s="1" t="n">
        <v>46219</v>
      </c>
      <c r="F507" t="inlineStr">
        <is>
          <t>VÄRMLANDS LÄN</t>
        </is>
      </c>
      <c r="G507" t="inlineStr">
        <is>
          <t>SUNNE</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13618-2022</t>
        </is>
      </c>
      <c r="B508" t="inlineStr">
        <is>
          <t>avverkningsanmälan</t>
        </is>
      </c>
      <c r="C508" t="inlineStr">
        <is>
          <t>Föryngringsavverkning</t>
        </is>
      </c>
      <c r="D508" s="1" t="n">
        <v>44648</v>
      </c>
      <c r="E508" s="1" t="n">
        <v>46219</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44896-2021</t>
        </is>
      </c>
      <c r="B509" t="inlineStr">
        <is>
          <t>avverkningsanmälan</t>
        </is>
      </c>
      <c r="C509" t="inlineStr">
        <is>
          <t>Föryngringsavverkning</t>
        </is>
      </c>
      <c r="D509" s="1" t="n">
        <v>44438</v>
      </c>
      <c r="E509" s="1" t="n">
        <v>46219</v>
      </c>
      <c r="F509" t="inlineStr">
        <is>
          <t>VÄRMLANDS LÄN</t>
        </is>
      </c>
      <c r="G509" t="inlineStr">
        <is>
          <t>SUNNE</t>
        </is>
      </c>
      <c r="I509" t="n">
        <v>4</v>
      </c>
      <c r="J509" t="n">
        <v>0</v>
      </c>
      <c r="K509" t="n">
        <v>0</v>
      </c>
      <c r="L509" t="n">
        <v>0</v>
      </c>
      <c r="M509" t="n">
        <v>0</v>
      </c>
      <c r="N509" t="n">
        <v>0</v>
      </c>
      <c r="O509" t="n">
        <v>0</v>
      </c>
      <c r="P509" t="n">
        <v>0</v>
      </c>
      <c r="Q509" t="n">
        <v>0</v>
      </c>
      <c r="R509" t="n">
        <v>0</v>
      </c>
      <c r="S509" t="n">
        <v>0</v>
      </c>
      <c r="T509" t="n">
        <v>0</v>
      </c>
      <c r="U509" s="2" t="inlineStr"/>
    </row>
    <row r="510" ht="15" customHeight="1">
      <c r="A510" t="inlineStr">
        <is>
          <t>A 60633-2024</t>
        </is>
      </c>
      <c r="B510" t="inlineStr">
        <is>
          <t>avverkningsanmälan</t>
        </is>
      </c>
      <c r="C510" t="inlineStr">
        <is>
          <t>Föryngringsavverkning</t>
        </is>
      </c>
      <c r="D510" s="1" t="n">
        <v>45644</v>
      </c>
      <c r="E510" s="1" t="n">
        <v>46219</v>
      </c>
      <c r="F510" t="inlineStr">
        <is>
          <t>VÄRMLANDS LÄN</t>
        </is>
      </c>
      <c r="G510" t="inlineStr">
        <is>
          <t>SUNNE</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60696-2023</t>
        </is>
      </c>
      <c r="B511" t="inlineStr">
        <is>
          <t>avverkningsanmälan</t>
        </is>
      </c>
      <c r="C511" t="inlineStr">
        <is>
          <t>Föryngringsavverkning</t>
        </is>
      </c>
      <c r="D511" s="1" t="n">
        <v>45260</v>
      </c>
      <c r="E511" s="1" t="n">
        <v>46219</v>
      </c>
      <c r="F511" t="inlineStr">
        <is>
          <t>VÄRMLANDS LÄN</t>
        </is>
      </c>
      <c r="G511" t="inlineStr">
        <is>
          <t>SUNNE</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47598-2025</t>
        </is>
      </c>
      <c r="B512" t="inlineStr">
        <is>
          <t>avverkningsanmälan</t>
        </is>
      </c>
      <c r="C512" t="inlineStr">
        <is>
          <t>Föryngringsavverkning</t>
        </is>
      </c>
      <c r="D512" s="1" t="n">
        <v>45931</v>
      </c>
      <c r="E512" s="1" t="n">
        <v>46219</v>
      </c>
      <c r="F512" t="inlineStr">
        <is>
          <t>VÄRMLANDS LÄN</t>
        </is>
      </c>
      <c r="G512" t="inlineStr">
        <is>
          <t>SUNNE</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58623-2022</t>
        </is>
      </c>
      <c r="B513" t="inlineStr">
        <is>
          <t>avverkningsanmälan</t>
        </is>
      </c>
      <c r="C513" t="inlineStr">
        <is>
          <t>Föryngringsavverkning</t>
        </is>
      </c>
      <c r="D513" s="1" t="n">
        <v>44902</v>
      </c>
      <c r="E513" s="1" t="n">
        <v>46219</v>
      </c>
      <c r="F513" t="inlineStr">
        <is>
          <t>VÄRMLANDS LÄN</t>
        </is>
      </c>
      <c r="G513" t="inlineStr">
        <is>
          <t>SUNNE</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21920-2023</t>
        </is>
      </c>
      <c r="B514" t="inlineStr">
        <is>
          <t>avverkningsanmälan</t>
        </is>
      </c>
      <c r="C514" t="inlineStr">
        <is>
          <t>Föryngringsavverkning</t>
        </is>
      </c>
      <c r="D514" s="1" t="n">
        <v>45068</v>
      </c>
      <c r="E514" s="1" t="n">
        <v>46219</v>
      </c>
      <c r="F514" t="inlineStr">
        <is>
          <t>VÄRMLANDS LÄN</t>
        </is>
      </c>
      <c r="G514" t="inlineStr">
        <is>
          <t>SUNNE</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39813-2025</t>
        </is>
      </c>
      <c r="B515" t="inlineStr">
        <is>
          <t>avverkningsanmälan</t>
        </is>
      </c>
      <c r="C515" t="inlineStr">
        <is>
          <t>Föryngringsavverkning</t>
        </is>
      </c>
      <c r="D515" s="1" t="n">
        <v>45891</v>
      </c>
      <c r="E515" s="1" t="n">
        <v>46219</v>
      </c>
      <c r="F515" t="inlineStr">
        <is>
          <t>VÄRMLANDS LÄN</t>
        </is>
      </c>
      <c r="G515" t="inlineStr">
        <is>
          <t>SUNNE</t>
        </is>
      </c>
      <c r="H515" t="inlineStr">
        <is>
          <t>Bergvik skog väst AB</t>
        </is>
      </c>
      <c r="I515" t="n">
        <v>4.6</v>
      </c>
      <c r="J515" t="n">
        <v>0</v>
      </c>
      <c r="K515" t="n">
        <v>0</v>
      </c>
      <c r="L515" t="n">
        <v>0</v>
      </c>
      <c r="M515" t="n">
        <v>0</v>
      </c>
      <c r="N515" t="n">
        <v>0</v>
      </c>
      <c r="O515" t="n">
        <v>0</v>
      </c>
      <c r="P515" t="n">
        <v>0</v>
      </c>
      <c r="Q515" t="n">
        <v>0</v>
      </c>
      <c r="R515" t="n">
        <v>0</v>
      </c>
      <c r="S515" t="n">
        <v>0</v>
      </c>
      <c r="T515" t="n">
        <v>0</v>
      </c>
      <c r="U515" s="2" t="inlineStr"/>
    </row>
    <row r="516" ht="15" customHeight="1">
      <c r="A516" t="inlineStr">
        <is>
          <t>A 12813-2025</t>
        </is>
      </c>
      <c r="B516" t="inlineStr">
        <is>
          <t>avverkningsanmälan</t>
        </is>
      </c>
      <c r="C516" t="inlineStr">
        <is>
          <t>Föryngringsavverkning</t>
        </is>
      </c>
      <c r="D516" s="1" t="n">
        <v>45733</v>
      </c>
      <c r="E516" s="1" t="n">
        <v>46219</v>
      </c>
      <c r="F516" t="inlineStr">
        <is>
          <t>VÄRMLANDS LÄN</t>
        </is>
      </c>
      <c r="G516" t="inlineStr">
        <is>
          <t>SUNNE</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50425-2023</t>
        </is>
      </c>
      <c r="B517" t="inlineStr">
        <is>
          <t>avverkningsanmälan</t>
        </is>
      </c>
      <c r="C517" t="inlineStr">
        <is>
          <t>Föryngringsavverkning</t>
        </is>
      </c>
      <c r="D517" s="1" t="n">
        <v>45216</v>
      </c>
      <c r="E517" s="1" t="n">
        <v>46219</v>
      </c>
      <c r="F517" t="inlineStr">
        <is>
          <t>VÄRMLANDS LÄN</t>
        </is>
      </c>
      <c r="G517" t="inlineStr">
        <is>
          <t>SUNNE</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44303-2021</t>
        </is>
      </c>
      <c r="B518" t="inlineStr">
        <is>
          <t>avverkningsanmälan</t>
        </is>
      </c>
      <c r="C518" t="inlineStr">
        <is>
          <t>Föryngringsavverkning</t>
        </is>
      </c>
      <c r="D518" s="1" t="n">
        <v>44435</v>
      </c>
      <c r="E518" s="1" t="n">
        <v>46219</v>
      </c>
      <c r="F518" t="inlineStr">
        <is>
          <t>VÄRMLANDS LÄN</t>
        </is>
      </c>
      <c r="G518" t="inlineStr">
        <is>
          <t>SUNNE</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47355-2021</t>
        </is>
      </c>
      <c r="B519" t="inlineStr">
        <is>
          <t>avverkningsanmälan</t>
        </is>
      </c>
      <c r="C519" t="inlineStr">
        <is>
          <t>Föryngringsavverkning</t>
        </is>
      </c>
      <c r="D519" s="1" t="n">
        <v>44447</v>
      </c>
      <c r="E519" s="1" t="n">
        <v>46219</v>
      </c>
      <c r="F519" t="inlineStr">
        <is>
          <t>VÄRMLANDS LÄN</t>
        </is>
      </c>
      <c r="G519" t="inlineStr">
        <is>
          <t>SUNNE</t>
        </is>
      </c>
      <c r="I519" t="n">
        <v>2.4</v>
      </c>
      <c r="J519" t="n">
        <v>0</v>
      </c>
      <c r="K519" t="n">
        <v>0</v>
      </c>
      <c r="L519" t="n">
        <v>0</v>
      </c>
      <c r="M519" t="n">
        <v>0</v>
      </c>
      <c r="N519" t="n">
        <v>0</v>
      </c>
      <c r="O519" t="n">
        <v>0</v>
      </c>
      <c r="P519" t="n">
        <v>0</v>
      </c>
      <c r="Q519" t="n">
        <v>0</v>
      </c>
      <c r="R519" t="n">
        <v>0</v>
      </c>
      <c r="S519" t="n">
        <v>0</v>
      </c>
      <c r="T519" t="n">
        <v>0</v>
      </c>
      <c r="U519" s="2" t="inlineStr"/>
    </row>
    <row r="520" ht="15" customHeight="1">
      <c r="A520" t="inlineStr">
        <is>
          <t>A 23027-2023</t>
        </is>
      </c>
      <c r="B520" t="inlineStr">
        <is>
          <t>avverkningsanmälan</t>
        </is>
      </c>
      <c r="C520" t="inlineStr">
        <is>
          <t>Föryngringsavverkning</t>
        </is>
      </c>
      <c r="D520" s="1" t="n">
        <v>45074</v>
      </c>
      <c r="E520" s="1" t="n">
        <v>46219</v>
      </c>
      <c r="F520" t="inlineStr">
        <is>
          <t>VÄRMLANDS LÄN</t>
        </is>
      </c>
      <c r="G520" t="inlineStr">
        <is>
          <t>SUNNE</t>
        </is>
      </c>
      <c r="I520" t="n">
        <v>5.2</v>
      </c>
      <c r="J520" t="n">
        <v>0</v>
      </c>
      <c r="K520" t="n">
        <v>0</v>
      </c>
      <c r="L520" t="n">
        <v>0</v>
      </c>
      <c r="M520" t="n">
        <v>0</v>
      </c>
      <c r="N520" t="n">
        <v>0</v>
      </c>
      <c r="O520" t="n">
        <v>0</v>
      </c>
      <c r="P520" t="n">
        <v>0</v>
      </c>
      <c r="Q520" t="n">
        <v>0</v>
      </c>
      <c r="R520" t="n">
        <v>0</v>
      </c>
      <c r="S520" t="n">
        <v>0</v>
      </c>
      <c r="T520" t="n">
        <v>0</v>
      </c>
      <c r="U520" s="2" t="inlineStr"/>
    </row>
    <row r="521" ht="15" customHeight="1">
      <c r="A521" t="inlineStr">
        <is>
          <t>A 18821-2024</t>
        </is>
      </c>
      <c r="B521" t="inlineStr">
        <is>
          <t>avverkningsanmälan</t>
        </is>
      </c>
      <c r="C521" t="inlineStr">
        <is>
          <t>Föryngringsavverkning</t>
        </is>
      </c>
      <c r="D521" s="1" t="n">
        <v>45426</v>
      </c>
      <c r="E521" s="1" t="n">
        <v>46219</v>
      </c>
      <c r="F521" t="inlineStr">
        <is>
          <t>VÄRMLANDS LÄN</t>
        </is>
      </c>
      <c r="G521" t="inlineStr">
        <is>
          <t>SUNNE</t>
        </is>
      </c>
      <c r="I521" t="n">
        <v>5.4</v>
      </c>
      <c r="J521" t="n">
        <v>0</v>
      </c>
      <c r="K521" t="n">
        <v>0</v>
      </c>
      <c r="L521" t="n">
        <v>0</v>
      </c>
      <c r="M521" t="n">
        <v>0</v>
      </c>
      <c r="N521" t="n">
        <v>0</v>
      </c>
      <c r="O521" t="n">
        <v>0</v>
      </c>
      <c r="P521" t="n">
        <v>0</v>
      </c>
      <c r="Q521" t="n">
        <v>0</v>
      </c>
      <c r="R521" t="n">
        <v>0</v>
      </c>
      <c r="S521" t="n">
        <v>0</v>
      </c>
      <c r="T521" t="n">
        <v>0</v>
      </c>
      <c r="U521" s="2" t="inlineStr"/>
    </row>
    <row r="522" ht="15" customHeight="1">
      <c r="A522" t="inlineStr">
        <is>
          <t>A 49206-2025</t>
        </is>
      </c>
      <c r="B522" t="inlineStr">
        <is>
          <t>avverkningsanmälan</t>
        </is>
      </c>
      <c r="C522" t="inlineStr">
        <is>
          <t>Föryngringsavverkning</t>
        </is>
      </c>
      <c r="D522" s="1" t="n">
        <v>45938</v>
      </c>
      <c r="E522" s="1" t="n">
        <v>46219</v>
      </c>
      <c r="F522" t="inlineStr">
        <is>
          <t>VÄRMLANDS LÄN</t>
        </is>
      </c>
      <c r="G522" t="inlineStr">
        <is>
          <t>SUNNE</t>
        </is>
      </c>
      <c r="H522" t="inlineStr">
        <is>
          <t>Övriga statliga verk och myndigheter</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42474-2023</t>
        </is>
      </c>
      <c r="B523" t="inlineStr">
        <is>
          <t>avverkningsanmälan</t>
        </is>
      </c>
      <c r="C523" t="inlineStr">
        <is>
          <t>Föryngringsavverkning</t>
        </is>
      </c>
      <c r="D523" s="1" t="n">
        <v>45180</v>
      </c>
      <c r="E523" s="1" t="n">
        <v>46219</v>
      </c>
      <c r="F523" t="inlineStr">
        <is>
          <t>VÄRMLANDS LÄN</t>
        </is>
      </c>
      <c r="G523" t="inlineStr">
        <is>
          <t>SUNNE</t>
        </is>
      </c>
      <c r="I523" t="n">
        <v>2.4</v>
      </c>
      <c r="J523" t="n">
        <v>0</v>
      </c>
      <c r="K523" t="n">
        <v>0</v>
      </c>
      <c r="L523" t="n">
        <v>0</v>
      </c>
      <c r="M523" t="n">
        <v>0</v>
      </c>
      <c r="N523" t="n">
        <v>0</v>
      </c>
      <c r="O523" t="n">
        <v>0</v>
      </c>
      <c r="P523" t="n">
        <v>0</v>
      </c>
      <c r="Q523" t="n">
        <v>0</v>
      </c>
      <c r="R523" t="n">
        <v>0</v>
      </c>
      <c r="S523" t="n">
        <v>0</v>
      </c>
      <c r="T523" t="n">
        <v>0</v>
      </c>
      <c r="U523" s="2" t="inlineStr"/>
    </row>
    <row r="524" ht="15" customHeight="1">
      <c r="A524" t="inlineStr">
        <is>
          <t>A 49066-2025</t>
        </is>
      </c>
      <c r="B524" t="inlineStr">
        <is>
          <t>avverkningsanmälan</t>
        </is>
      </c>
      <c r="C524" t="inlineStr">
        <is>
          <t>Föryngringsavverkning</t>
        </is>
      </c>
      <c r="D524" s="1" t="n">
        <v>45937</v>
      </c>
      <c r="E524" s="1" t="n">
        <v>46219</v>
      </c>
      <c r="F524" t="inlineStr">
        <is>
          <t>VÄRMLANDS LÄN</t>
        </is>
      </c>
      <c r="G524" t="inlineStr">
        <is>
          <t>SUNNE</t>
        </is>
      </c>
      <c r="I524" t="n">
        <v>9.800000000000001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16518-2023</t>
        </is>
      </c>
      <c r="B525" t="inlineStr">
        <is>
          <t>avverkningsanmälan</t>
        </is>
      </c>
      <c r="C525" t="inlineStr">
        <is>
          <t>Föryngringsavverkning</t>
        </is>
      </c>
      <c r="D525" s="1" t="n">
        <v>45029</v>
      </c>
      <c r="E525" s="1" t="n">
        <v>46219</v>
      </c>
      <c r="F525" t="inlineStr">
        <is>
          <t>VÄRMLANDS LÄN</t>
        </is>
      </c>
      <c r="G525" t="inlineStr">
        <is>
          <t>SUNNE</t>
        </is>
      </c>
      <c r="I525" t="n">
        <v>3</v>
      </c>
      <c r="J525" t="n">
        <v>0</v>
      </c>
      <c r="K525" t="n">
        <v>0</v>
      </c>
      <c r="L525" t="n">
        <v>0</v>
      </c>
      <c r="M525" t="n">
        <v>0</v>
      </c>
      <c r="N525" t="n">
        <v>0</v>
      </c>
      <c r="O525" t="n">
        <v>0</v>
      </c>
      <c r="P525" t="n">
        <v>0</v>
      </c>
      <c r="Q525" t="n">
        <v>0</v>
      </c>
      <c r="R525" t="n">
        <v>0</v>
      </c>
      <c r="S525" t="n">
        <v>0</v>
      </c>
      <c r="T525" t="n">
        <v>0</v>
      </c>
      <c r="U525" s="2" t="inlineStr"/>
    </row>
    <row r="526" ht="15" customHeight="1">
      <c r="A526" t="inlineStr">
        <is>
          <t>A 5012-2023</t>
        </is>
      </c>
      <c r="B526" t="inlineStr">
        <is>
          <t>avverkningsanmälan</t>
        </is>
      </c>
      <c r="C526" t="inlineStr">
        <is>
          <t>Avverkning för annat ändamål</t>
        </is>
      </c>
      <c r="D526" s="1" t="n">
        <v>44953</v>
      </c>
      <c r="E526" s="1" t="n">
        <v>46219</v>
      </c>
      <c r="F526" t="inlineStr">
        <is>
          <t>VÄRMLANDS LÄN</t>
        </is>
      </c>
      <c r="G526" t="inlineStr">
        <is>
          <t>SUNNE</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7749-2025</t>
        </is>
      </c>
      <c r="B527" t="inlineStr">
        <is>
          <t>avverkningsanmälan</t>
        </is>
      </c>
      <c r="C527" t="inlineStr">
        <is>
          <t>Föryngringsavverkning</t>
        </is>
      </c>
      <c r="D527" s="1" t="n">
        <v>45706</v>
      </c>
      <c r="E527" s="1" t="n">
        <v>46219</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54535-2023</t>
        </is>
      </c>
      <c r="B528" t="inlineStr">
        <is>
          <t>avverkningsanmälan</t>
        </is>
      </c>
      <c r="C528" t="inlineStr">
        <is>
          <t>Föryngringsavverkning</t>
        </is>
      </c>
      <c r="D528" s="1" t="n">
        <v>45226</v>
      </c>
      <c r="E528" s="1" t="n">
        <v>46219</v>
      </c>
      <c r="F528" t="inlineStr">
        <is>
          <t>VÄRMLANDS LÄN</t>
        </is>
      </c>
      <c r="G528" t="inlineStr">
        <is>
          <t>SUNNE</t>
        </is>
      </c>
      <c r="I528" t="n">
        <v>3.5</v>
      </c>
      <c r="J528" t="n">
        <v>0</v>
      </c>
      <c r="K528" t="n">
        <v>0</v>
      </c>
      <c r="L528" t="n">
        <v>0</v>
      </c>
      <c r="M528" t="n">
        <v>0</v>
      </c>
      <c r="N528" t="n">
        <v>0</v>
      </c>
      <c r="O528" t="n">
        <v>0</v>
      </c>
      <c r="P528" t="n">
        <v>0</v>
      </c>
      <c r="Q528" t="n">
        <v>0</v>
      </c>
      <c r="R528" t="n">
        <v>0</v>
      </c>
      <c r="S528" t="n">
        <v>0</v>
      </c>
      <c r="T528" t="n">
        <v>0</v>
      </c>
      <c r="U528" s="2" t="inlineStr"/>
    </row>
    <row r="529" ht="15" customHeight="1">
      <c r="A529" t="inlineStr">
        <is>
          <t>A 74268-2021</t>
        </is>
      </c>
      <c r="B529" t="inlineStr">
        <is>
          <t>avverkningsanmälan</t>
        </is>
      </c>
      <c r="C529" t="inlineStr">
        <is>
          <t>Föryngringsavverkning</t>
        </is>
      </c>
      <c r="D529" s="1" t="n">
        <v>44558</v>
      </c>
      <c r="E529" s="1" t="n">
        <v>46219</v>
      </c>
      <c r="F529" t="inlineStr">
        <is>
          <t>VÄRMLANDS LÄN</t>
        </is>
      </c>
      <c r="G529" t="inlineStr">
        <is>
          <t>SUNNE</t>
        </is>
      </c>
      <c r="I529" t="n">
        <v>3.2</v>
      </c>
      <c r="J529" t="n">
        <v>0</v>
      </c>
      <c r="K529" t="n">
        <v>0</v>
      </c>
      <c r="L529" t="n">
        <v>0</v>
      </c>
      <c r="M529" t="n">
        <v>0</v>
      </c>
      <c r="N529" t="n">
        <v>0</v>
      </c>
      <c r="O529" t="n">
        <v>0</v>
      </c>
      <c r="P529" t="n">
        <v>0</v>
      </c>
      <c r="Q529" t="n">
        <v>0</v>
      </c>
      <c r="R529" t="n">
        <v>0</v>
      </c>
      <c r="S529" t="n">
        <v>0</v>
      </c>
      <c r="T529" t="n">
        <v>0</v>
      </c>
      <c r="U529" s="2" t="inlineStr"/>
    </row>
    <row r="530" ht="15" customHeight="1">
      <c r="A530" t="inlineStr">
        <is>
          <t>A 2014-2023</t>
        </is>
      </c>
      <c r="B530" t="inlineStr">
        <is>
          <t>avverkningsanmälan</t>
        </is>
      </c>
      <c r="C530" t="inlineStr">
        <is>
          <t>Föryngringsavverkning</t>
        </is>
      </c>
      <c r="D530" s="1" t="n">
        <v>44939</v>
      </c>
      <c r="E530" s="1" t="n">
        <v>46219</v>
      </c>
      <c r="F530" t="inlineStr">
        <is>
          <t>VÄRMLANDS LÄN</t>
        </is>
      </c>
      <c r="G530" t="inlineStr">
        <is>
          <t>SUNNE</t>
        </is>
      </c>
      <c r="I530" t="n">
        <v>6.4</v>
      </c>
      <c r="J530" t="n">
        <v>0</v>
      </c>
      <c r="K530" t="n">
        <v>0</v>
      </c>
      <c r="L530" t="n">
        <v>0</v>
      </c>
      <c r="M530" t="n">
        <v>0</v>
      </c>
      <c r="N530" t="n">
        <v>0</v>
      </c>
      <c r="O530" t="n">
        <v>0</v>
      </c>
      <c r="P530" t="n">
        <v>0</v>
      </c>
      <c r="Q530" t="n">
        <v>0</v>
      </c>
      <c r="R530" t="n">
        <v>0</v>
      </c>
      <c r="S530" t="n">
        <v>0</v>
      </c>
      <c r="T530" t="n">
        <v>0</v>
      </c>
      <c r="U530" s="2" t="inlineStr"/>
    </row>
    <row r="531" ht="15" customHeight="1">
      <c r="A531" t="inlineStr">
        <is>
          <t>A 48054-2023</t>
        </is>
      </c>
      <c r="B531" t="inlineStr">
        <is>
          <t>avverkningsanmälan</t>
        </is>
      </c>
      <c r="C531" t="inlineStr">
        <is>
          <t>Föryngringsavverkning</t>
        </is>
      </c>
      <c r="D531" s="1" t="n">
        <v>45204</v>
      </c>
      <c r="E531" s="1" t="n">
        <v>46219</v>
      </c>
      <c r="F531" t="inlineStr">
        <is>
          <t>VÄRMLANDS LÄN</t>
        </is>
      </c>
      <c r="G531" t="inlineStr">
        <is>
          <t>SUNNE</t>
        </is>
      </c>
      <c r="I531" t="n">
        <v>3.7</v>
      </c>
      <c r="J531" t="n">
        <v>0</v>
      </c>
      <c r="K531" t="n">
        <v>0</v>
      </c>
      <c r="L531" t="n">
        <v>0</v>
      </c>
      <c r="M531" t="n">
        <v>0</v>
      </c>
      <c r="N531" t="n">
        <v>0</v>
      </c>
      <c r="O531" t="n">
        <v>0</v>
      </c>
      <c r="P531" t="n">
        <v>0</v>
      </c>
      <c r="Q531" t="n">
        <v>0</v>
      </c>
      <c r="R531" t="n">
        <v>0</v>
      </c>
      <c r="S531" t="n">
        <v>0</v>
      </c>
      <c r="T531" t="n">
        <v>0</v>
      </c>
      <c r="U531" s="2" t="inlineStr"/>
    </row>
    <row r="532" ht="15" customHeight="1">
      <c r="A532" t="inlineStr">
        <is>
          <t>A 39164-2024</t>
        </is>
      </c>
      <c r="B532" t="inlineStr">
        <is>
          <t>avverkningsanmälan</t>
        </is>
      </c>
      <c r="C532" t="inlineStr">
        <is>
          <t>Föryngringsavverkning</t>
        </is>
      </c>
      <c r="D532" s="1" t="n">
        <v>45548</v>
      </c>
      <c r="E532" s="1" t="n">
        <v>46219</v>
      </c>
      <c r="F532" t="inlineStr">
        <is>
          <t>VÄRMLANDS LÄN</t>
        </is>
      </c>
      <c r="G532" t="inlineStr">
        <is>
          <t>SUNNE</t>
        </is>
      </c>
      <c r="I532" t="n">
        <v>3.2</v>
      </c>
      <c r="J532" t="n">
        <v>0</v>
      </c>
      <c r="K532" t="n">
        <v>0</v>
      </c>
      <c r="L532" t="n">
        <v>0</v>
      </c>
      <c r="M532" t="n">
        <v>0</v>
      </c>
      <c r="N532" t="n">
        <v>0</v>
      </c>
      <c r="O532" t="n">
        <v>0</v>
      </c>
      <c r="P532" t="n">
        <v>0</v>
      </c>
      <c r="Q532" t="n">
        <v>0</v>
      </c>
      <c r="R532" t="n">
        <v>0</v>
      </c>
      <c r="S532" t="n">
        <v>0</v>
      </c>
      <c r="T532" t="n">
        <v>0</v>
      </c>
      <c r="U532" s="2" t="inlineStr"/>
    </row>
    <row r="533" ht="15" customHeight="1">
      <c r="A533" t="inlineStr">
        <is>
          <t>A 13198-2023</t>
        </is>
      </c>
      <c r="B533" t="inlineStr">
        <is>
          <t>avverkningsanmälan</t>
        </is>
      </c>
      <c r="C533" t="inlineStr">
        <is>
          <t>Föryngringsavverkning</t>
        </is>
      </c>
      <c r="D533" s="1" t="n">
        <v>45002</v>
      </c>
      <c r="E533" s="1" t="n">
        <v>46219</v>
      </c>
      <c r="F533" t="inlineStr">
        <is>
          <t>VÄRMLANDS LÄN</t>
        </is>
      </c>
      <c r="G533" t="inlineStr">
        <is>
          <t>SUNNE</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72783-2021</t>
        </is>
      </c>
      <c r="B534" t="inlineStr">
        <is>
          <t>avverkningsanmälan</t>
        </is>
      </c>
      <c r="C534" t="inlineStr">
        <is>
          <t>Föryngringsavverkning</t>
        </is>
      </c>
      <c r="D534" s="1" t="n">
        <v>44547</v>
      </c>
      <c r="E534" s="1" t="n">
        <v>46219</v>
      </c>
      <c r="F534" t="inlineStr">
        <is>
          <t>VÄRMLANDS LÄN</t>
        </is>
      </c>
      <c r="G534" t="inlineStr">
        <is>
          <t>SUNNE</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6023-2025</t>
        </is>
      </c>
      <c r="B535" t="inlineStr">
        <is>
          <t>avverkningsanmälan</t>
        </is>
      </c>
      <c r="C535" t="inlineStr">
        <is>
          <t>Föryngringsavverkning</t>
        </is>
      </c>
      <c r="D535" s="1" t="n">
        <v>45695</v>
      </c>
      <c r="E535" s="1" t="n">
        <v>46219</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25797-2024</t>
        </is>
      </c>
      <c r="B536" t="inlineStr">
        <is>
          <t>avverkningsanmälan</t>
        </is>
      </c>
      <c r="C536" t="inlineStr">
        <is>
          <t>Föryngringsavverkning</t>
        </is>
      </c>
      <c r="D536" s="1" t="n">
        <v>45467</v>
      </c>
      <c r="E536" s="1" t="n">
        <v>46219</v>
      </c>
      <c r="F536" t="inlineStr">
        <is>
          <t>VÄRMLANDS LÄN</t>
        </is>
      </c>
      <c r="G536" t="inlineStr">
        <is>
          <t>SUNNE</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252-2022</t>
        </is>
      </c>
      <c r="B537" t="inlineStr">
        <is>
          <t>avverkningsanmälan</t>
        </is>
      </c>
      <c r="C537" t="inlineStr">
        <is>
          <t>Föryngringsavverkning</t>
        </is>
      </c>
      <c r="D537" s="1" t="n">
        <v>44565</v>
      </c>
      <c r="E537" s="1" t="n">
        <v>46219</v>
      </c>
      <c r="F537" t="inlineStr">
        <is>
          <t>VÄRMLANDS LÄN</t>
        </is>
      </c>
      <c r="G537" t="inlineStr">
        <is>
          <t>SUNNE</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4564-2025</t>
        </is>
      </c>
      <c r="B538" t="inlineStr">
        <is>
          <t>avverkningsanmälan</t>
        </is>
      </c>
      <c r="C538" t="inlineStr">
        <is>
          <t>Föryngringsavverkning</t>
        </is>
      </c>
      <c r="D538" s="1" t="n">
        <v>45687</v>
      </c>
      <c r="E538" s="1" t="n">
        <v>46219</v>
      </c>
      <c r="F538" t="inlineStr">
        <is>
          <t>VÄRMLANDS LÄN</t>
        </is>
      </c>
      <c r="G538" t="inlineStr">
        <is>
          <t>SUNNE</t>
        </is>
      </c>
      <c r="I538" t="n">
        <v>2.3</v>
      </c>
      <c r="J538" t="n">
        <v>0</v>
      </c>
      <c r="K538" t="n">
        <v>0</v>
      </c>
      <c r="L538" t="n">
        <v>0</v>
      </c>
      <c r="M538" t="n">
        <v>0</v>
      </c>
      <c r="N538" t="n">
        <v>0</v>
      </c>
      <c r="O538" t="n">
        <v>0</v>
      </c>
      <c r="P538" t="n">
        <v>0</v>
      </c>
      <c r="Q538" t="n">
        <v>0</v>
      </c>
      <c r="R538" t="n">
        <v>0</v>
      </c>
      <c r="S538" t="n">
        <v>0</v>
      </c>
      <c r="T538" t="n">
        <v>0</v>
      </c>
      <c r="U538" s="2" t="inlineStr"/>
    </row>
    <row r="539" ht="15" customHeight="1">
      <c r="A539" t="inlineStr">
        <is>
          <t>A 50178-2025</t>
        </is>
      </c>
      <c r="B539" t="inlineStr">
        <is>
          <t>avverkningsanmälan</t>
        </is>
      </c>
      <c r="C539" t="inlineStr">
        <is>
          <t>Föryngringsavverkning</t>
        </is>
      </c>
      <c r="D539" s="1" t="n">
        <v>45943</v>
      </c>
      <c r="E539" s="1" t="n">
        <v>46219</v>
      </c>
      <c r="F539" t="inlineStr">
        <is>
          <t>VÄRMLANDS LÄN</t>
        </is>
      </c>
      <c r="G539" t="inlineStr">
        <is>
          <t>SUNNE</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50074-2025</t>
        </is>
      </c>
      <c r="B540" t="inlineStr">
        <is>
          <t>avverkningsanmälan</t>
        </is>
      </c>
      <c r="C540" t="inlineStr">
        <is>
          <t>Föryngringsavverkning</t>
        </is>
      </c>
      <c r="D540" s="1" t="n">
        <v>45943</v>
      </c>
      <c r="E540" s="1" t="n">
        <v>46219</v>
      </c>
      <c r="F540" t="inlineStr">
        <is>
          <t>VÄRMLANDS LÄN</t>
        </is>
      </c>
      <c r="G540" t="inlineStr">
        <is>
          <t>SUNNE</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29001-2023</t>
        </is>
      </c>
      <c r="B541" t="inlineStr">
        <is>
          <t>avverkningsanmälan</t>
        </is>
      </c>
      <c r="C541" t="inlineStr">
        <is>
          <t>Föryngringsavverkning</t>
        </is>
      </c>
      <c r="D541" s="1" t="n">
        <v>45104</v>
      </c>
      <c r="E541" s="1" t="n">
        <v>46219</v>
      </c>
      <c r="F541" t="inlineStr">
        <is>
          <t>VÄRMLANDS LÄN</t>
        </is>
      </c>
      <c r="G541" t="inlineStr">
        <is>
          <t>SUNNE</t>
        </is>
      </c>
      <c r="I541" t="n">
        <v>3.7</v>
      </c>
      <c r="J541" t="n">
        <v>0</v>
      </c>
      <c r="K541" t="n">
        <v>0</v>
      </c>
      <c r="L541" t="n">
        <v>0</v>
      </c>
      <c r="M541" t="n">
        <v>0</v>
      </c>
      <c r="N541" t="n">
        <v>0</v>
      </c>
      <c r="O541" t="n">
        <v>0</v>
      </c>
      <c r="P541" t="n">
        <v>0</v>
      </c>
      <c r="Q541" t="n">
        <v>0</v>
      </c>
      <c r="R541" t="n">
        <v>0</v>
      </c>
      <c r="S541" t="n">
        <v>0</v>
      </c>
      <c r="T541" t="n">
        <v>0</v>
      </c>
      <c r="U541" s="2" t="inlineStr"/>
    </row>
    <row r="542" ht="15" customHeight="1">
      <c r="A542" t="inlineStr">
        <is>
          <t>A 50346-2023</t>
        </is>
      </c>
      <c r="B542" t="inlineStr">
        <is>
          <t>avverkningsanmälan</t>
        </is>
      </c>
      <c r="C542" t="inlineStr">
        <is>
          <t>Föryngringsavverkning</t>
        </is>
      </c>
      <c r="D542" s="1" t="n">
        <v>45216</v>
      </c>
      <c r="E542" s="1" t="n">
        <v>46219</v>
      </c>
      <c r="F542" t="inlineStr">
        <is>
          <t>VÄRMLANDS LÄN</t>
        </is>
      </c>
      <c r="G542" t="inlineStr">
        <is>
          <t>SUNNE</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50339-2025</t>
        </is>
      </c>
      <c r="B543" t="inlineStr">
        <is>
          <t>avverkningsanmälan</t>
        </is>
      </c>
      <c r="C543" t="inlineStr">
        <is>
          <t>Föryngringsavverkning</t>
        </is>
      </c>
      <c r="D543" s="1" t="n">
        <v>45944</v>
      </c>
      <c r="E543" s="1" t="n">
        <v>46219</v>
      </c>
      <c r="F543" t="inlineStr">
        <is>
          <t>VÄRMLANDS LÄN</t>
        </is>
      </c>
      <c r="G543" t="inlineStr">
        <is>
          <t>SUNNE</t>
        </is>
      </c>
      <c r="I543" t="n">
        <v>11.6</v>
      </c>
      <c r="J543" t="n">
        <v>0</v>
      </c>
      <c r="K543" t="n">
        <v>0</v>
      </c>
      <c r="L543" t="n">
        <v>0</v>
      </c>
      <c r="M543" t="n">
        <v>0</v>
      </c>
      <c r="N543" t="n">
        <v>0</v>
      </c>
      <c r="O543" t="n">
        <v>0</v>
      </c>
      <c r="P543" t="n">
        <v>0</v>
      </c>
      <c r="Q543" t="n">
        <v>0</v>
      </c>
      <c r="R543" t="n">
        <v>0</v>
      </c>
      <c r="S543" t="n">
        <v>0</v>
      </c>
      <c r="T543" t="n">
        <v>0</v>
      </c>
      <c r="U543" s="2" t="inlineStr"/>
    </row>
    <row r="544" ht="15" customHeight="1">
      <c r="A544" t="inlineStr">
        <is>
          <t>A 4360-2025</t>
        </is>
      </c>
      <c r="B544" t="inlineStr">
        <is>
          <t>avverkningsanmälan</t>
        </is>
      </c>
      <c r="C544" t="inlineStr">
        <is>
          <t>Föryngringsavverkning</t>
        </is>
      </c>
      <c r="D544" s="1" t="n">
        <v>45686</v>
      </c>
      <c r="E544" s="1" t="n">
        <v>46219</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50076-2025</t>
        </is>
      </c>
      <c r="B545" t="inlineStr">
        <is>
          <t>avverkningsanmälan</t>
        </is>
      </c>
      <c r="C545" t="inlineStr">
        <is>
          <t>Föryngringsavverkning</t>
        </is>
      </c>
      <c r="D545" s="1" t="n">
        <v>45943</v>
      </c>
      <c r="E545" s="1" t="n">
        <v>46219</v>
      </c>
      <c r="F545" t="inlineStr">
        <is>
          <t>VÄRMLANDS LÄN</t>
        </is>
      </c>
      <c r="G545" t="inlineStr">
        <is>
          <t>SUNNE</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18115-2022</t>
        </is>
      </c>
      <c r="B546" t="inlineStr">
        <is>
          <t>avverkningsanmälan</t>
        </is>
      </c>
      <c r="C546" t="inlineStr">
        <is>
          <t>Föryngringsavverkning</t>
        </is>
      </c>
      <c r="D546" s="1" t="n">
        <v>44684</v>
      </c>
      <c r="E546" s="1" t="n">
        <v>46219</v>
      </c>
      <c r="F546" t="inlineStr">
        <is>
          <t>VÄRMLANDS LÄN</t>
        </is>
      </c>
      <c r="G546" t="inlineStr">
        <is>
          <t>SUNNE</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50470-2025</t>
        </is>
      </c>
      <c r="B547" t="inlineStr">
        <is>
          <t>avverkningsanmälan</t>
        </is>
      </c>
      <c r="C547" t="inlineStr">
        <is>
          <t>Föryngringsavverkning</t>
        </is>
      </c>
      <c r="D547" s="1" t="n">
        <v>45945</v>
      </c>
      <c r="E547" s="1" t="n">
        <v>46219</v>
      </c>
      <c r="F547" t="inlineStr">
        <is>
          <t>VÄRMLANDS LÄN</t>
        </is>
      </c>
      <c r="G547" t="inlineStr">
        <is>
          <t>SUNNE</t>
        </is>
      </c>
      <c r="H547" t="inlineStr">
        <is>
          <t>Bergvik skog väst AB</t>
        </is>
      </c>
      <c r="I547" t="n">
        <v>10.2</v>
      </c>
      <c r="J547" t="n">
        <v>0</v>
      </c>
      <c r="K547" t="n">
        <v>0</v>
      </c>
      <c r="L547" t="n">
        <v>0</v>
      </c>
      <c r="M547" t="n">
        <v>0</v>
      </c>
      <c r="N547" t="n">
        <v>0</v>
      </c>
      <c r="O547" t="n">
        <v>0</v>
      </c>
      <c r="P547" t="n">
        <v>0</v>
      </c>
      <c r="Q547" t="n">
        <v>0</v>
      </c>
      <c r="R547" t="n">
        <v>0</v>
      </c>
      <c r="S547" t="n">
        <v>0</v>
      </c>
      <c r="T547" t="n">
        <v>0</v>
      </c>
      <c r="U547" s="2" t="inlineStr"/>
    </row>
    <row r="548" ht="15" customHeight="1">
      <c r="A548" t="inlineStr">
        <is>
          <t>A 29489-2022</t>
        </is>
      </c>
      <c r="B548" t="inlineStr">
        <is>
          <t>avverkningsanmälan</t>
        </is>
      </c>
      <c r="C548" t="inlineStr">
        <is>
          <t>Föryngringsavverkning</t>
        </is>
      </c>
      <c r="D548" s="1" t="n">
        <v>44753</v>
      </c>
      <c r="E548" s="1" t="n">
        <v>46219</v>
      </c>
      <c r="F548" t="inlineStr">
        <is>
          <t>VÄRMLANDS LÄN</t>
        </is>
      </c>
      <c r="G548" t="inlineStr">
        <is>
          <t>SUNNE</t>
        </is>
      </c>
      <c r="H548" t="inlineStr">
        <is>
          <t>Övriga Aktiebolag</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56652-2022</t>
        </is>
      </c>
      <c r="B549" t="inlineStr">
        <is>
          <t>avverkningsanmälan</t>
        </is>
      </c>
      <c r="C549" t="inlineStr">
        <is>
          <t>Föryngringsavverkning</t>
        </is>
      </c>
      <c r="D549" s="1" t="n">
        <v>44893</v>
      </c>
      <c r="E549" s="1" t="n">
        <v>46219</v>
      </c>
      <c r="F549" t="inlineStr">
        <is>
          <t>VÄRMLANDS LÄN</t>
        </is>
      </c>
      <c r="G549" t="inlineStr">
        <is>
          <t>SUNNE</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34265-2023</t>
        </is>
      </c>
      <c r="B550" t="inlineStr">
        <is>
          <t>avverkningsanmälan</t>
        </is>
      </c>
      <c r="C550" t="inlineStr">
        <is>
          <t>Föryngringsavverkning</t>
        </is>
      </c>
      <c r="D550" s="1" t="n">
        <v>45138</v>
      </c>
      <c r="E550" s="1" t="n">
        <v>46219</v>
      </c>
      <c r="F550" t="inlineStr">
        <is>
          <t>VÄRMLANDS LÄN</t>
        </is>
      </c>
      <c r="G550" t="inlineStr">
        <is>
          <t>SUNNE</t>
        </is>
      </c>
      <c r="I550" t="n">
        <v>8.300000000000001</v>
      </c>
      <c r="J550" t="n">
        <v>0</v>
      </c>
      <c r="K550" t="n">
        <v>0</v>
      </c>
      <c r="L550" t="n">
        <v>0</v>
      </c>
      <c r="M550" t="n">
        <v>0</v>
      </c>
      <c r="N550" t="n">
        <v>0</v>
      </c>
      <c r="O550" t="n">
        <v>0</v>
      </c>
      <c r="P550" t="n">
        <v>0</v>
      </c>
      <c r="Q550" t="n">
        <v>0</v>
      </c>
      <c r="R550" t="n">
        <v>0</v>
      </c>
      <c r="S550" t="n">
        <v>0</v>
      </c>
      <c r="T550" t="n">
        <v>0</v>
      </c>
      <c r="U550" s="2" t="inlineStr"/>
    </row>
    <row r="551" ht="15" customHeight="1">
      <c r="A551" t="inlineStr">
        <is>
          <t>A 57667-2022</t>
        </is>
      </c>
      <c r="B551" t="inlineStr">
        <is>
          <t>avverkningsanmälan</t>
        </is>
      </c>
      <c r="C551" t="inlineStr">
        <is>
          <t>Föryngringsavverkning</t>
        </is>
      </c>
      <c r="D551" s="1" t="n">
        <v>44897</v>
      </c>
      <c r="E551" s="1" t="n">
        <v>46219</v>
      </c>
      <c r="F551" t="inlineStr">
        <is>
          <t>VÄRMLANDS LÄN</t>
        </is>
      </c>
      <c r="G551" t="inlineStr">
        <is>
          <t>SUNNE</t>
        </is>
      </c>
      <c r="I551" t="n">
        <v>3.4</v>
      </c>
      <c r="J551" t="n">
        <v>0</v>
      </c>
      <c r="K551" t="n">
        <v>0</v>
      </c>
      <c r="L551" t="n">
        <v>0</v>
      </c>
      <c r="M551" t="n">
        <v>0</v>
      </c>
      <c r="N551" t="n">
        <v>0</v>
      </c>
      <c r="O551" t="n">
        <v>0</v>
      </c>
      <c r="P551" t="n">
        <v>0</v>
      </c>
      <c r="Q551" t="n">
        <v>0</v>
      </c>
      <c r="R551" t="n">
        <v>0</v>
      </c>
      <c r="S551" t="n">
        <v>0</v>
      </c>
      <c r="T551" t="n">
        <v>0</v>
      </c>
      <c r="U551" s="2" t="inlineStr"/>
    </row>
    <row r="552" ht="15" customHeight="1">
      <c r="A552" t="inlineStr">
        <is>
          <t>A 14564-2023</t>
        </is>
      </c>
      <c r="B552" t="inlineStr">
        <is>
          <t>avverkningsanmälan</t>
        </is>
      </c>
      <c r="C552" t="inlineStr">
        <is>
          <t>Föryngringsavverkning</t>
        </is>
      </c>
      <c r="D552" s="1" t="n">
        <v>45013</v>
      </c>
      <c r="E552" s="1" t="n">
        <v>46219</v>
      </c>
      <c r="F552" t="inlineStr">
        <is>
          <t>VÄRMLANDS LÄN</t>
        </is>
      </c>
      <c r="G552" t="inlineStr">
        <is>
          <t>SUNNE</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51849-2021</t>
        </is>
      </c>
      <c r="B553" t="inlineStr">
        <is>
          <t>avverkningsanmälan</t>
        </is>
      </c>
      <c r="C553" t="inlineStr">
        <is>
          <t>Föryngringsavverkning</t>
        </is>
      </c>
      <c r="D553" s="1" t="n">
        <v>44462</v>
      </c>
      <c r="E553" s="1" t="n">
        <v>46219</v>
      </c>
      <c r="F553" t="inlineStr">
        <is>
          <t>VÄRMLANDS LÄN</t>
        </is>
      </c>
      <c r="G553" t="inlineStr">
        <is>
          <t>SUNNE</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33459-2024</t>
        </is>
      </c>
      <c r="B554" t="inlineStr">
        <is>
          <t>avverkningsanmälan</t>
        </is>
      </c>
      <c r="C554" t="inlineStr">
        <is>
          <t>Föryngringsavverkning</t>
        </is>
      </c>
      <c r="D554" s="1" t="n">
        <v>45519</v>
      </c>
      <c r="E554" s="1" t="n">
        <v>46219</v>
      </c>
      <c r="F554" t="inlineStr">
        <is>
          <t>VÄRMLANDS LÄN</t>
        </is>
      </c>
      <c r="G554" t="inlineStr">
        <is>
          <t>SUNNE</t>
        </is>
      </c>
      <c r="H554" t="inlineStr">
        <is>
          <t>Bergvik skog väst AB</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4200-2024</t>
        </is>
      </c>
      <c r="B555" t="inlineStr">
        <is>
          <t>avverkningsanmälan</t>
        </is>
      </c>
      <c r="C555" t="inlineStr">
        <is>
          <t>Föryngringsavverkning</t>
        </is>
      </c>
      <c r="D555" s="1" t="n">
        <v>45324</v>
      </c>
      <c r="E555" s="1" t="n">
        <v>46219</v>
      </c>
      <c r="F555" t="inlineStr">
        <is>
          <t>VÄRMLANDS LÄN</t>
        </is>
      </c>
      <c r="G555" t="inlineStr">
        <is>
          <t>SUNNE</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61419-2023</t>
        </is>
      </c>
      <c r="B556" t="inlineStr">
        <is>
          <t>avverkningsanmälan</t>
        </is>
      </c>
      <c r="C556" t="inlineStr">
        <is>
          <t>Föryngringsavverkning</t>
        </is>
      </c>
      <c r="D556" s="1" t="n">
        <v>45264</v>
      </c>
      <c r="E556" s="1" t="n">
        <v>46219</v>
      </c>
      <c r="F556" t="inlineStr">
        <is>
          <t>VÄRMLANDS LÄN</t>
        </is>
      </c>
      <c r="G556" t="inlineStr">
        <is>
          <t>SUNNE</t>
        </is>
      </c>
      <c r="I556" t="n">
        <v>5.4</v>
      </c>
      <c r="J556" t="n">
        <v>0</v>
      </c>
      <c r="K556" t="n">
        <v>0</v>
      </c>
      <c r="L556" t="n">
        <v>0</v>
      </c>
      <c r="M556" t="n">
        <v>0</v>
      </c>
      <c r="N556" t="n">
        <v>0</v>
      </c>
      <c r="O556" t="n">
        <v>0</v>
      </c>
      <c r="P556" t="n">
        <v>0</v>
      </c>
      <c r="Q556" t="n">
        <v>0</v>
      </c>
      <c r="R556" t="n">
        <v>0</v>
      </c>
      <c r="S556" t="n">
        <v>0</v>
      </c>
      <c r="T556" t="n">
        <v>0</v>
      </c>
      <c r="U556" s="2" t="inlineStr"/>
    </row>
    <row r="557" ht="15" customHeight="1">
      <c r="A557" t="inlineStr">
        <is>
          <t>A 38901-2021</t>
        </is>
      </c>
      <c r="B557" t="inlineStr">
        <is>
          <t>avverkningsanmälan</t>
        </is>
      </c>
      <c r="C557" t="inlineStr">
        <is>
          <t>Föryngringsavverkning</t>
        </is>
      </c>
      <c r="D557" s="1" t="n">
        <v>44411</v>
      </c>
      <c r="E557" s="1" t="n">
        <v>46219</v>
      </c>
      <c r="F557" t="inlineStr">
        <is>
          <t>VÄRMLANDS LÄN</t>
        </is>
      </c>
      <c r="G557" t="inlineStr">
        <is>
          <t>SUNNE</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51343-2025</t>
        </is>
      </c>
      <c r="B558" t="inlineStr">
        <is>
          <t>avverkningsanmälan</t>
        </is>
      </c>
      <c r="C558" t="inlineStr">
        <is>
          <t>Föryngringsavverkning</t>
        </is>
      </c>
      <c r="D558" s="1" t="n">
        <v>45950</v>
      </c>
      <c r="E558" s="1" t="n">
        <v>46219</v>
      </c>
      <c r="F558" t="inlineStr">
        <is>
          <t>VÄRMLANDS LÄN</t>
        </is>
      </c>
      <c r="G558" t="inlineStr">
        <is>
          <t>SUNNE</t>
        </is>
      </c>
      <c r="H558" t="inlineStr">
        <is>
          <t>Bergvik skog väst AB</t>
        </is>
      </c>
      <c r="I558" t="n">
        <v>7.1</v>
      </c>
      <c r="J558" t="n">
        <v>0</v>
      </c>
      <c r="K558" t="n">
        <v>0</v>
      </c>
      <c r="L558" t="n">
        <v>0</v>
      </c>
      <c r="M558" t="n">
        <v>0</v>
      </c>
      <c r="N558" t="n">
        <v>0</v>
      </c>
      <c r="O558" t="n">
        <v>0</v>
      </c>
      <c r="P558" t="n">
        <v>0</v>
      </c>
      <c r="Q558" t="n">
        <v>0</v>
      </c>
      <c r="R558" t="n">
        <v>0</v>
      </c>
      <c r="S558" t="n">
        <v>0</v>
      </c>
      <c r="T558" t="n">
        <v>0</v>
      </c>
      <c r="U558" s="2" t="inlineStr"/>
    </row>
    <row r="559" ht="15" customHeight="1">
      <c r="A559" t="inlineStr">
        <is>
          <t>A 51056-2025</t>
        </is>
      </c>
      <c r="B559" t="inlineStr">
        <is>
          <t>avverkningsanmälan</t>
        </is>
      </c>
      <c r="C559" t="inlineStr">
        <is>
          <t>Föryngringsavverkning</t>
        </is>
      </c>
      <c r="D559" s="1" t="n">
        <v>45947</v>
      </c>
      <c r="E559" s="1" t="n">
        <v>46219</v>
      </c>
      <c r="F559" t="inlineStr">
        <is>
          <t>VÄRMLANDS LÄN</t>
        </is>
      </c>
      <c r="G559" t="inlineStr">
        <is>
          <t>SUNNE</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48265-2022</t>
        </is>
      </c>
      <c r="B560" t="inlineStr">
        <is>
          <t>avverkningsanmälan</t>
        </is>
      </c>
      <c r="C560" t="inlineStr">
        <is>
          <t>Föryngringsavverkning</t>
        </is>
      </c>
      <c r="D560" s="1" t="n">
        <v>44858</v>
      </c>
      <c r="E560" s="1" t="n">
        <v>46219</v>
      </c>
      <c r="F560" t="inlineStr">
        <is>
          <t>VÄRMLANDS LÄN</t>
        </is>
      </c>
      <c r="G560" t="inlineStr">
        <is>
          <t>SUNNE</t>
        </is>
      </c>
      <c r="I560" t="n">
        <v>4.5</v>
      </c>
      <c r="J560" t="n">
        <v>0</v>
      </c>
      <c r="K560" t="n">
        <v>0</v>
      </c>
      <c r="L560" t="n">
        <v>0</v>
      </c>
      <c r="M560" t="n">
        <v>0</v>
      </c>
      <c r="N560" t="n">
        <v>0</v>
      </c>
      <c r="O560" t="n">
        <v>0</v>
      </c>
      <c r="P560" t="n">
        <v>0</v>
      </c>
      <c r="Q560" t="n">
        <v>0</v>
      </c>
      <c r="R560" t="n">
        <v>0</v>
      </c>
      <c r="S560" t="n">
        <v>0</v>
      </c>
      <c r="T560" t="n">
        <v>0</v>
      </c>
      <c r="U560" s="2" t="inlineStr"/>
    </row>
    <row r="561" ht="15" customHeight="1">
      <c r="A561" t="inlineStr">
        <is>
          <t>A 11505-2024</t>
        </is>
      </c>
      <c r="B561" t="inlineStr">
        <is>
          <t>avverkningsanmälan</t>
        </is>
      </c>
      <c r="C561" t="inlineStr">
        <is>
          <t>Avverkning för annat ändamål</t>
        </is>
      </c>
      <c r="D561" s="1" t="n">
        <v>45372</v>
      </c>
      <c r="E561" s="1" t="n">
        <v>46219</v>
      </c>
      <c r="F561" t="inlineStr">
        <is>
          <t>VÄRMLANDS LÄN</t>
        </is>
      </c>
      <c r="G561" t="inlineStr">
        <is>
          <t>SUNNE</t>
        </is>
      </c>
      <c r="I561" t="n">
        <v>0.2</v>
      </c>
      <c r="J561" t="n">
        <v>0</v>
      </c>
      <c r="K561" t="n">
        <v>0</v>
      </c>
      <c r="L561" t="n">
        <v>0</v>
      </c>
      <c r="M561" t="n">
        <v>0</v>
      </c>
      <c r="N561" t="n">
        <v>0</v>
      </c>
      <c r="O561" t="n">
        <v>0</v>
      </c>
      <c r="P561" t="n">
        <v>0</v>
      </c>
      <c r="Q561" t="n">
        <v>0</v>
      </c>
      <c r="R561" t="n">
        <v>0</v>
      </c>
      <c r="S561" t="n">
        <v>0</v>
      </c>
      <c r="T561" t="n">
        <v>0</v>
      </c>
      <c r="U561" s="2" t="inlineStr"/>
    </row>
    <row r="562" ht="15" customHeight="1">
      <c r="A562" t="inlineStr">
        <is>
          <t>A 7131-2023</t>
        </is>
      </c>
      <c r="B562" t="inlineStr">
        <is>
          <t>avverkningsanmälan</t>
        </is>
      </c>
      <c r="C562" t="inlineStr">
        <is>
          <t>Föryngringsavverkning</t>
        </is>
      </c>
      <c r="D562" s="1" t="n">
        <v>44970</v>
      </c>
      <c r="E562" s="1" t="n">
        <v>46219</v>
      </c>
      <c r="F562" t="inlineStr">
        <is>
          <t>VÄRMLANDS LÄN</t>
        </is>
      </c>
      <c r="G562" t="inlineStr">
        <is>
          <t>SUNNE</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21138-2023</t>
        </is>
      </c>
      <c r="B563" t="inlineStr">
        <is>
          <t>avverkningsanmälan</t>
        </is>
      </c>
      <c r="C563" t="inlineStr">
        <is>
          <t>Föryngringsavverkning</t>
        </is>
      </c>
      <c r="D563" s="1" t="n">
        <v>45062</v>
      </c>
      <c r="E563" s="1" t="n">
        <v>46219</v>
      </c>
      <c r="F563" t="inlineStr">
        <is>
          <t>VÄRMLANDS LÄN</t>
        </is>
      </c>
      <c r="G563" t="inlineStr">
        <is>
          <t>SUNNE</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50130-2023</t>
        </is>
      </c>
      <c r="B564" t="inlineStr">
        <is>
          <t>avverkningsanmälan</t>
        </is>
      </c>
      <c r="C564" t="inlineStr">
        <is>
          <t>Föryngringsavverkning</t>
        </is>
      </c>
      <c r="D564" s="1" t="n">
        <v>45215</v>
      </c>
      <c r="E564" s="1" t="n">
        <v>46219</v>
      </c>
      <c r="F564" t="inlineStr">
        <is>
          <t>VÄRMLANDS LÄN</t>
        </is>
      </c>
      <c r="G564" t="inlineStr">
        <is>
          <t>SUNNE</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51423-2025</t>
        </is>
      </c>
      <c r="B565" t="inlineStr">
        <is>
          <t>avverkningsanmälan</t>
        </is>
      </c>
      <c r="C565" t="inlineStr">
        <is>
          <t>Föryngringsavverkning</t>
        </is>
      </c>
      <c r="D565" s="1" t="n">
        <v>45950</v>
      </c>
      <c r="E565" s="1" t="n">
        <v>46219</v>
      </c>
      <c r="F565" t="inlineStr">
        <is>
          <t>VÄRMLANDS LÄN</t>
        </is>
      </c>
      <c r="G565" t="inlineStr">
        <is>
          <t>SUNNE</t>
        </is>
      </c>
      <c r="H565" t="inlineStr">
        <is>
          <t>Bergvik skog väst AB</t>
        </is>
      </c>
      <c r="I565" t="n">
        <v>6.5</v>
      </c>
      <c r="J565" t="n">
        <v>0</v>
      </c>
      <c r="K565" t="n">
        <v>0</v>
      </c>
      <c r="L565" t="n">
        <v>0</v>
      </c>
      <c r="M565" t="n">
        <v>0</v>
      </c>
      <c r="N565" t="n">
        <v>0</v>
      </c>
      <c r="O565" t="n">
        <v>0</v>
      </c>
      <c r="P565" t="n">
        <v>0</v>
      </c>
      <c r="Q565" t="n">
        <v>0</v>
      </c>
      <c r="R565" t="n">
        <v>0</v>
      </c>
      <c r="S565" t="n">
        <v>0</v>
      </c>
      <c r="T565" t="n">
        <v>0</v>
      </c>
      <c r="U565" s="2" t="inlineStr"/>
    </row>
    <row r="566" ht="15" customHeight="1">
      <c r="A566" t="inlineStr">
        <is>
          <t>A 49978-2021</t>
        </is>
      </c>
      <c r="B566" t="inlineStr">
        <is>
          <t>avverkningsanmälan</t>
        </is>
      </c>
      <c r="C566" t="inlineStr">
        <is>
          <t>Föryngringsavverkning</t>
        </is>
      </c>
      <c r="D566" s="1" t="n">
        <v>44456</v>
      </c>
      <c r="E566" s="1" t="n">
        <v>46219</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48853-2022</t>
        </is>
      </c>
      <c r="B567" t="inlineStr">
        <is>
          <t>avverkningsanmälan</t>
        </is>
      </c>
      <c r="C567" t="inlineStr">
        <is>
          <t>Föryngringsavverkning</t>
        </is>
      </c>
      <c r="D567" s="1" t="n">
        <v>44859</v>
      </c>
      <c r="E567" s="1" t="n">
        <v>46219</v>
      </c>
      <c r="F567" t="inlineStr">
        <is>
          <t>VÄRMLANDS LÄN</t>
        </is>
      </c>
      <c r="G567" t="inlineStr">
        <is>
          <t>SUNNE</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58097-2022</t>
        </is>
      </c>
      <c r="B568" t="inlineStr">
        <is>
          <t>avverkningsanmälan</t>
        </is>
      </c>
      <c r="C568" t="inlineStr">
        <is>
          <t>Föryngringsavverkning</t>
        </is>
      </c>
      <c r="D568" s="1" t="n">
        <v>44900</v>
      </c>
      <c r="E568" s="1" t="n">
        <v>46219</v>
      </c>
      <c r="F568" t="inlineStr">
        <is>
          <t>VÄRMLANDS LÄN</t>
        </is>
      </c>
      <c r="G568" t="inlineStr">
        <is>
          <t>SUNNE</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262-2023</t>
        </is>
      </c>
      <c r="B569" t="inlineStr">
        <is>
          <t>avverkningsanmälan</t>
        </is>
      </c>
      <c r="C569" t="inlineStr">
        <is>
          <t>Föryngringsavverkning</t>
        </is>
      </c>
      <c r="D569" s="1" t="n">
        <v>44928</v>
      </c>
      <c r="E569" s="1" t="n">
        <v>46219</v>
      </c>
      <c r="F569" t="inlineStr">
        <is>
          <t>VÄRMLANDS LÄN</t>
        </is>
      </c>
      <c r="G569" t="inlineStr">
        <is>
          <t>SUNNE</t>
        </is>
      </c>
      <c r="I569" t="n">
        <v>4.2</v>
      </c>
      <c r="J569" t="n">
        <v>0</v>
      </c>
      <c r="K569" t="n">
        <v>0</v>
      </c>
      <c r="L569" t="n">
        <v>0</v>
      </c>
      <c r="M569" t="n">
        <v>0</v>
      </c>
      <c r="N569" t="n">
        <v>0</v>
      </c>
      <c r="O569" t="n">
        <v>0</v>
      </c>
      <c r="P569" t="n">
        <v>0</v>
      </c>
      <c r="Q569" t="n">
        <v>0</v>
      </c>
      <c r="R569" t="n">
        <v>0</v>
      </c>
      <c r="S569" t="n">
        <v>0</v>
      </c>
      <c r="T569" t="n">
        <v>0</v>
      </c>
      <c r="U569" s="2" t="inlineStr"/>
    </row>
    <row r="570" ht="15" customHeight="1">
      <c r="A570" t="inlineStr">
        <is>
          <t>A 26608-2023</t>
        </is>
      </c>
      <c r="B570" t="inlineStr">
        <is>
          <t>avverkningsanmälan</t>
        </is>
      </c>
      <c r="C570" t="inlineStr">
        <is>
          <t>Föryngringsavverkning</t>
        </is>
      </c>
      <c r="D570" s="1" t="n">
        <v>45092</v>
      </c>
      <c r="E570" s="1" t="n">
        <v>46219</v>
      </c>
      <c r="F570" t="inlineStr">
        <is>
          <t>VÄRMLANDS LÄN</t>
        </is>
      </c>
      <c r="G570" t="inlineStr">
        <is>
          <t>SUNNE</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52677-2021</t>
        </is>
      </c>
      <c r="B571" t="inlineStr">
        <is>
          <t>avverkningsanmälan</t>
        </is>
      </c>
      <c r="C571" t="inlineStr">
        <is>
          <t>Föryngringsavverkning</t>
        </is>
      </c>
      <c r="D571" s="1" t="n">
        <v>44466</v>
      </c>
      <c r="E571" s="1" t="n">
        <v>46219</v>
      </c>
      <c r="F571" t="inlineStr">
        <is>
          <t>VÄRMLANDS LÄN</t>
        </is>
      </c>
      <c r="G571" t="inlineStr">
        <is>
          <t>SUNNE</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18171-2025</t>
        </is>
      </c>
      <c r="B572" t="inlineStr">
        <is>
          <t>avverkningsanmälan</t>
        </is>
      </c>
      <c r="C572" t="inlineStr">
        <is>
          <t>Föryngringsavverkning</t>
        </is>
      </c>
      <c r="D572" s="1" t="n">
        <v>45761</v>
      </c>
      <c r="E572" s="1" t="n">
        <v>46219</v>
      </c>
      <c r="F572" t="inlineStr">
        <is>
          <t>VÄRMLANDS LÄN</t>
        </is>
      </c>
      <c r="G572" t="inlineStr">
        <is>
          <t>SUNNE</t>
        </is>
      </c>
      <c r="H572" t="inlineStr">
        <is>
          <t>Bergvik skog väst AB</t>
        </is>
      </c>
      <c r="I572" t="n">
        <v>7.5</v>
      </c>
      <c r="J572" t="n">
        <v>0</v>
      </c>
      <c r="K572" t="n">
        <v>0</v>
      </c>
      <c r="L572" t="n">
        <v>0</v>
      </c>
      <c r="M572" t="n">
        <v>0</v>
      </c>
      <c r="N572" t="n">
        <v>0</v>
      </c>
      <c r="O572" t="n">
        <v>0</v>
      </c>
      <c r="P572" t="n">
        <v>0</v>
      </c>
      <c r="Q572" t="n">
        <v>0</v>
      </c>
      <c r="R572" t="n">
        <v>0</v>
      </c>
      <c r="S572" t="n">
        <v>0</v>
      </c>
      <c r="T572" t="n">
        <v>0</v>
      </c>
      <c r="U572" s="2" t="inlineStr"/>
    </row>
    <row r="573" ht="15" customHeight="1">
      <c r="A573" t="inlineStr">
        <is>
          <t>A 60761-2022</t>
        </is>
      </c>
      <c r="B573" t="inlineStr">
        <is>
          <t>avverkningsanmälan</t>
        </is>
      </c>
      <c r="C573" t="inlineStr">
        <is>
          <t>Föryngringsavverkning</t>
        </is>
      </c>
      <c r="D573" s="1" t="n">
        <v>44914</v>
      </c>
      <c r="E573" s="1" t="n">
        <v>46219</v>
      </c>
      <c r="F573" t="inlineStr">
        <is>
          <t>VÄRMLANDS LÄN</t>
        </is>
      </c>
      <c r="G573" t="inlineStr">
        <is>
          <t>SUNNE</t>
        </is>
      </c>
      <c r="I573" t="n">
        <v>12.1</v>
      </c>
      <c r="J573" t="n">
        <v>0</v>
      </c>
      <c r="K573" t="n">
        <v>0</v>
      </c>
      <c r="L573" t="n">
        <v>0</v>
      </c>
      <c r="M573" t="n">
        <v>0</v>
      </c>
      <c r="N573" t="n">
        <v>0</v>
      </c>
      <c r="O573" t="n">
        <v>0</v>
      </c>
      <c r="P573" t="n">
        <v>0</v>
      </c>
      <c r="Q573" t="n">
        <v>0</v>
      </c>
      <c r="R573" t="n">
        <v>0</v>
      </c>
      <c r="S573" t="n">
        <v>0</v>
      </c>
      <c r="T573" t="n">
        <v>0</v>
      </c>
      <c r="U573" s="2" t="inlineStr"/>
    </row>
    <row r="574" ht="15" customHeight="1">
      <c r="A574" t="inlineStr">
        <is>
          <t>A 51850-2025</t>
        </is>
      </c>
      <c r="B574" t="inlineStr">
        <is>
          <t>avverkningsanmälan</t>
        </is>
      </c>
      <c r="C574" t="inlineStr">
        <is>
          <t>Föryngringsavverkning</t>
        </is>
      </c>
      <c r="D574" s="1" t="n">
        <v>45952</v>
      </c>
      <c r="E574" s="1" t="n">
        <v>46219</v>
      </c>
      <c r="F574" t="inlineStr">
        <is>
          <t>VÄRMLANDS LÄN</t>
        </is>
      </c>
      <c r="G574" t="inlineStr">
        <is>
          <t>SUNNE</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2171-2023</t>
        </is>
      </c>
      <c r="B575" t="inlineStr">
        <is>
          <t>avverkningsanmälan</t>
        </is>
      </c>
      <c r="C575" t="inlineStr">
        <is>
          <t>Föryngringsavverkning</t>
        </is>
      </c>
      <c r="D575" s="1" t="n">
        <v>44941</v>
      </c>
      <c r="E575" s="1" t="n">
        <v>46219</v>
      </c>
      <c r="F575" t="inlineStr">
        <is>
          <t>VÄRMLANDS LÄN</t>
        </is>
      </c>
      <c r="G575" t="inlineStr">
        <is>
          <t>SUNNE</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30645-2024</t>
        </is>
      </c>
      <c r="B576" t="inlineStr">
        <is>
          <t>avverkningsanmälan</t>
        </is>
      </c>
      <c r="C576" t="inlineStr">
        <is>
          <t>Föryngringsavverkning</t>
        </is>
      </c>
      <c r="D576" s="1" t="n">
        <v>45495</v>
      </c>
      <c r="E576" s="1" t="n">
        <v>46219</v>
      </c>
      <c r="F576" t="inlineStr">
        <is>
          <t>VÄRMLANDS LÄN</t>
        </is>
      </c>
      <c r="G576" t="inlineStr">
        <is>
          <t>SUNNE</t>
        </is>
      </c>
      <c r="H576" t="inlineStr">
        <is>
          <t>Bergvik skog väst AB</t>
        </is>
      </c>
      <c r="I576" t="n">
        <v>4.1</v>
      </c>
      <c r="J576" t="n">
        <v>0</v>
      </c>
      <c r="K576" t="n">
        <v>0</v>
      </c>
      <c r="L576" t="n">
        <v>0</v>
      </c>
      <c r="M576" t="n">
        <v>0</v>
      </c>
      <c r="N576" t="n">
        <v>0</v>
      </c>
      <c r="O576" t="n">
        <v>0</v>
      </c>
      <c r="P576" t="n">
        <v>0</v>
      </c>
      <c r="Q576" t="n">
        <v>0</v>
      </c>
      <c r="R576" t="n">
        <v>0</v>
      </c>
      <c r="S576" t="n">
        <v>0</v>
      </c>
      <c r="T576" t="n">
        <v>0</v>
      </c>
      <c r="U576" s="2" t="inlineStr"/>
    </row>
    <row r="577" ht="15" customHeight="1">
      <c r="A577" t="inlineStr">
        <is>
          <t>A 29406-2026</t>
        </is>
      </c>
      <c r="B577" t="inlineStr">
        <is>
          <t>avverkningsanmälan</t>
        </is>
      </c>
      <c r="C577" t="inlineStr">
        <is>
          <t>Föryngringsavverkning</t>
        </is>
      </c>
      <c r="D577" s="1" t="n">
        <v>46203</v>
      </c>
      <c r="E577" s="1" t="n">
        <v>46219</v>
      </c>
      <c r="F577" t="inlineStr">
        <is>
          <t>VÄRMLANDS LÄN</t>
        </is>
      </c>
      <c r="G577" t="inlineStr">
        <is>
          <t>SUNNE</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52472-2025</t>
        </is>
      </c>
      <c r="B578" t="inlineStr">
        <is>
          <t>avverkningsanmälan</t>
        </is>
      </c>
      <c r="C578" t="inlineStr">
        <is>
          <t>Föryngringsavverkning</t>
        </is>
      </c>
      <c r="D578" s="1" t="n">
        <v>45954</v>
      </c>
      <c r="E578" s="1" t="n">
        <v>46219</v>
      </c>
      <c r="F578" t="inlineStr">
        <is>
          <t>VÄRMLANDS LÄN</t>
        </is>
      </c>
      <c r="G578" t="inlineStr">
        <is>
          <t>SUNNE</t>
        </is>
      </c>
      <c r="I578" t="n">
        <v>3.7</v>
      </c>
      <c r="J578" t="n">
        <v>0</v>
      </c>
      <c r="K578" t="n">
        <v>0</v>
      </c>
      <c r="L578" t="n">
        <v>0</v>
      </c>
      <c r="M578" t="n">
        <v>0</v>
      </c>
      <c r="N578" t="n">
        <v>0</v>
      </c>
      <c r="O578" t="n">
        <v>0</v>
      </c>
      <c r="P578" t="n">
        <v>0</v>
      </c>
      <c r="Q578" t="n">
        <v>0</v>
      </c>
      <c r="R578" t="n">
        <v>0</v>
      </c>
      <c r="S578" t="n">
        <v>0</v>
      </c>
      <c r="T578" t="n">
        <v>0</v>
      </c>
      <c r="U578" s="2" t="inlineStr"/>
    </row>
    <row r="579" ht="15" customHeight="1">
      <c r="A579" t="inlineStr">
        <is>
          <t>A 52187-2025</t>
        </is>
      </c>
      <c r="B579" t="inlineStr">
        <is>
          <t>avverkningsanmälan</t>
        </is>
      </c>
      <c r="C579" t="inlineStr">
        <is>
          <t>Föryngringsavverkning</t>
        </is>
      </c>
      <c r="D579" s="1" t="n">
        <v>45953</v>
      </c>
      <c r="E579" s="1" t="n">
        <v>46219</v>
      </c>
      <c r="F579" t="inlineStr">
        <is>
          <t>VÄRMLANDS LÄN</t>
        </is>
      </c>
      <c r="G579" t="inlineStr">
        <is>
          <t>SUNNE</t>
        </is>
      </c>
      <c r="I579" t="n">
        <v>3.6</v>
      </c>
      <c r="J579" t="n">
        <v>0</v>
      </c>
      <c r="K579" t="n">
        <v>0</v>
      </c>
      <c r="L579" t="n">
        <v>0</v>
      </c>
      <c r="M579" t="n">
        <v>0</v>
      </c>
      <c r="N579" t="n">
        <v>0</v>
      </c>
      <c r="O579" t="n">
        <v>0</v>
      </c>
      <c r="P579" t="n">
        <v>0</v>
      </c>
      <c r="Q579" t="n">
        <v>0</v>
      </c>
      <c r="R579" t="n">
        <v>0</v>
      </c>
      <c r="S579" t="n">
        <v>0</v>
      </c>
      <c r="T579" t="n">
        <v>0</v>
      </c>
      <c r="U579" s="2" t="inlineStr"/>
    </row>
    <row r="580" ht="15" customHeight="1">
      <c r="A580" t="inlineStr">
        <is>
          <t>A 23032-2026</t>
        </is>
      </c>
      <c r="B580" t="inlineStr">
        <is>
          <t>avverkningsanmälan</t>
        </is>
      </c>
      <c r="C580" t="inlineStr">
        <is>
          <t>Föryngringsavverkning</t>
        </is>
      </c>
      <c r="D580" s="1" t="n">
        <v>46161</v>
      </c>
      <c r="E580" s="1" t="n">
        <v>46219</v>
      </c>
      <c r="F580" t="inlineStr">
        <is>
          <t>VÄRMLANDS LÄN</t>
        </is>
      </c>
      <c r="G580" t="inlineStr">
        <is>
          <t>SUNNE</t>
        </is>
      </c>
      <c r="I580" t="n">
        <v>4.5</v>
      </c>
      <c r="J580" t="n">
        <v>0</v>
      </c>
      <c r="K580" t="n">
        <v>0</v>
      </c>
      <c r="L580" t="n">
        <v>0</v>
      </c>
      <c r="M580" t="n">
        <v>0</v>
      </c>
      <c r="N580" t="n">
        <v>0</v>
      </c>
      <c r="O580" t="n">
        <v>0</v>
      </c>
      <c r="P580" t="n">
        <v>0</v>
      </c>
      <c r="Q580" t="n">
        <v>0</v>
      </c>
      <c r="R580" t="n">
        <v>0</v>
      </c>
      <c r="S580" t="n">
        <v>0</v>
      </c>
      <c r="T580" t="n">
        <v>0</v>
      </c>
      <c r="U580" s="2" t="inlineStr"/>
    </row>
    <row r="581" ht="15" customHeight="1">
      <c r="A581" t="inlineStr">
        <is>
          <t>A 1045-2024</t>
        </is>
      </c>
      <c r="B581" t="inlineStr">
        <is>
          <t>avverkningsanmälan</t>
        </is>
      </c>
      <c r="C581" t="inlineStr">
        <is>
          <t>Föryngringsavverkning</t>
        </is>
      </c>
      <c r="D581" s="1" t="n">
        <v>45301</v>
      </c>
      <c r="E581" s="1" t="n">
        <v>46219</v>
      </c>
      <c r="F581" t="inlineStr">
        <is>
          <t>VÄRMLANDS LÄN</t>
        </is>
      </c>
      <c r="G581" t="inlineStr">
        <is>
          <t>SUNNE</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37474-2024</t>
        </is>
      </c>
      <c r="B582" t="inlineStr">
        <is>
          <t>avverkningsanmälan</t>
        </is>
      </c>
      <c r="C582" t="inlineStr">
        <is>
          <t>Föryngringsavverkning</t>
        </is>
      </c>
      <c r="D582" s="1" t="n">
        <v>45541</v>
      </c>
      <c r="E582" s="1" t="n">
        <v>46219</v>
      </c>
      <c r="F582" t="inlineStr">
        <is>
          <t>VÄRMLANDS LÄN</t>
        </is>
      </c>
      <c r="G582" t="inlineStr">
        <is>
          <t>SUNNE</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38873-2024</t>
        </is>
      </c>
      <c r="B583" t="inlineStr">
        <is>
          <t>avverkningsanmälan</t>
        </is>
      </c>
      <c r="C583" t="inlineStr">
        <is>
          <t>Föryngringsavverkning</t>
        </is>
      </c>
      <c r="D583" s="1" t="n">
        <v>45547</v>
      </c>
      <c r="E583" s="1" t="n">
        <v>46219</v>
      </c>
      <c r="F583" t="inlineStr">
        <is>
          <t>VÄRMLANDS LÄN</t>
        </is>
      </c>
      <c r="G583" t="inlineStr">
        <is>
          <t>SUNNE</t>
        </is>
      </c>
      <c r="I583" t="n">
        <v>7.2</v>
      </c>
      <c r="J583" t="n">
        <v>0</v>
      </c>
      <c r="K583" t="n">
        <v>0</v>
      </c>
      <c r="L583" t="n">
        <v>0</v>
      </c>
      <c r="M583" t="n">
        <v>0</v>
      </c>
      <c r="N583" t="n">
        <v>0</v>
      </c>
      <c r="O583" t="n">
        <v>0</v>
      </c>
      <c r="P583" t="n">
        <v>0</v>
      </c>
      <c r="Q583" t="n">
        <v>0</v>
      </c>
      <c r="R583" t="n">
        <v>0</v>
      </c>
      <c r="S583" t="n">
        <v>0</v>
      </c>
      <c r="T583" t="n">
        <v>0</v>
      </c>
      <c r="U583" s="2" t="inlineStr"/>
    </row>
    <row r="584" ht="15" customHeight="1">
      <c r="A584" t="inlineStr">
        <is>
          <t>A 52175-2025</t>
        </is>
      </c>
      <c r="B584" t="inlineStr">
        <is>
          <t>avverkningsanmälan</t>
        </is>
      </c>
      <c r="C584" t="inlineStr">
        <is>
          <t>Föryngringsavverkning</t>
        </is>
      </c>
      <c r="D584" s="1" t="n">
        <v>45953</v>
      </c>
      <c r="E584" s="1" t="n">
        <v>46219</v>
      </c>
      <c r="F584" t="inlineStr">
        <is>
          <t>VÄRMLANDS LÄN</t>
        </is>
      </c>
      <c r="G584" t="inlineStr">
        <is>
          <t>SUNNE</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37790-2024</t>
        </is>
      </c>
      <c r="B585" t="inlineStr">
        <is>
          <t>avverkningsanmälan</t>
        </is>
      </c>
      <c r="C585" t="inlineStr">
        <is>
          <t>Föryngringsavverkning</t>
        </is>
      </c>
      <c r="D585" s="1" t="n">
        <v>45543</v>
      </c>
      <c r="E585" s="1" t="n">
        <v>46219</v>
      </c>
      <c r="F585" t="inlineStr">
        <is>
          <t>VÄRMLANDS LÄN</t>
        </is>
      </c>
      <c r="G585" t="inlineStr">
        <is>
          <t>SUNNE</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52469-2025</t>
        </is>
      </c>
      <c r="B586" t="inlineStr">
        <is>
          <t>avverkningsanmälan</t>
        </is>
      </c>
      <c r="C586" t="inlineStr">
        <is>
          <t>Föryngringsavverkning</t>
        </is>
      </c>
      <c r="D586" s="1" t="n">
        <v>45954</v>
      </c>
      <c r="E586" s="1" t="n">
        <v>46219</v>
      </c>
      <c r="F586" t="inlineStr">
        <is>
          <t>VÄRMLANDS LÄN</t>
        </is>
      </c>
      <c r="G586" t="inlineStr">
        <is>
          <t>SUNNE</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23066-2026</t>
        </is>
      </c>
      <c r="B587" t="inlineStr">
        <is>
          <t>avverkningsanmälan</t>
        </is>
      </c>
      <c r="C587" t="inlineStr">
        <is>
          <t>Föryngringsavverkning</t>
        </is>
      </c>
      <c r="D587" s="1" t="n">
        <v>46161</v>
      </c>
      <c r="E587" s="1" t="n">
        <v>46219</v>
      </c>
      <c r="F587" t="inlineStr">
        <is>
          <t>VÄRMLANDS LÄN</t>
        </is>
      </c>
      <c r="G587" t="inlineStr">
        <is>
          <t>SUNNE</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26681-2023</t>
        </is>
      </c>
      <c r="B588" t="inlineStr">
        <is>
          <t>avverkningsanmälan</t>
        </is>
      </c>
      <c r="C588" t="inlineStr">
        <is>
          <t>Föryngringsavverkning</t>
        </is>
      </c>
      <c r="D588" s="1" t="n">
        <v>45093</v>
      </c>
      <c r="E588" s="1" t="n">
        <v>46219</v>
      </c>
      <c r="F588" t="inlineStr">
        <is>
          <t>VÄRMLANDS LÄN</t>
        </is>
      </c>
      <c r="G588" t="inlineStr">
        <is>
          <t>SUNNE</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42792-2024</t>
        </is>
      </c>
      <c r="B589" t="inlineStr">
        <is>
          <t>avverkningsanmälan</t>
        </is>
      </c>
      <c r="C589" t="inlineStr">
        <is>
          <t>Föryngringsavverkning</t>
        </is>
      </c>
      <c r="D589" s="1" t="n">
        <v>45566</v>
      </c>
      <c r="E589" s="1" t="n">
        <v>46219</v>
      </c>
      <c r="F589" t="inlineStr">
        <is>
          <t>VÄRMLANDS LÄN</t>
        </is>
      </c>
      <c r="G589" t="inlineStr">
        <is>
          <t>SUNNE</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25902-2025</t>
        </is>
      </c>
      <c r="B590" t="inlineStr">
        <is>
          <t>avverkningsanmälan</t>
        </is>
      </c>
      <c r="C590" t="inlineStr">
        <is>
          <t>Föryngringsavverkning</t>
        </is>
      </c>
      <c r="D590" s="1" t="n">
        <v>45804</v>
      </c>
      <c r="E590" s="1" t="n">
        <v>46219</v>
      </c>
      <c r="F590" t="inlineStr">
        <is>
          <t>VÄRMLANDS LÄN</t>
        </is>
      </c>
      <c r="G590" t="inlineStr">
        <is>
          <t>SUNNE</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23064-2026</t>
        </is>
      </c>
      <c r="B591" t="inlineStr">
        <is>
          <t>avverkningsanmälan</t>
        </is>
      </c>
      <c r="C591" t="inlineStr">
        <is>
          <t>Föryngringsavverkning</t>
        </is>
      </c>
      <c r="D591" s="1" t="n">
        <v>46161</v>
      </c>
      <c r="E591" s="1" t="n">
        <v>46219</v>
      </c>
      <c r="F591" t="inlineStr">
        <is>
          <t>VÄRMLANDS LÄN</t>
        </is>
      </c>
      <c r="G591" t="inlineStr">
        <is>
          <t>SUNNE</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19938-2025</t>
        </is>
      </c>
      <c r="B592" t="inlineStr">
        <is>
          <t>avverkningsanmälan</t>
        </is>
      </c>
      <c r="C592" t="inlineStr">
        <is>
          <t>Föryngringsavverkning</t>
        </is>
      </c>
      <c r="D592" s="1" t="n">
        <v>45771</v>
      </c>
      <c r="E592" s="1" t="n">
        <v>46219</v>
      </c>
      <c r="F592" t="inlineStr">
        <is>
          <t>VÄRMLANDS LÄN</t>
        </is>
      </c>
      <c r="G592" t="inlineStr">
        <is>
          <t>SUNNE</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28025-2023</t>
        </is>
      </c>
      <c r="B593" t="inlineStr">
        <is>
          <t>avverkningsanmälan</t>
        </is>
      </c>
      <c r="C593" t="inlineStr">
        <is>
          <t>Föryngringsavverkning</t>
        </is>
      </c>
      <c r="D593" s="1" t="n">
        <v>45098</v>
      </c>
      <c r="E593" s="1" t="n">
        <v>46219</v>
      </c>
      <c r="F593" t="inlineStr">
        <is>
          <t>VÄRMLANDS LÄN</t>
        </is>
      </c>
      <c r="G593" t="inlineStr">
        <is>
          <t>SUNNE</t>
        </is>
      </c>
      <c r="I593" t="n">
        <v>5.6</v>
      </c>
      <c r="J593" t="n">
        <v>0</v>
      </c>
      <c r="K593" t="n">
        <v>0</v>
      </c>
      <c r="L593" t="n">
        <v>0</v>
      </c>
      <c r="M593" t="n">
        <v>0</v>
      </c>
      <c r="N593" t="n">
        <v>0</v>
      </c>
      <c r="O593" t="n">
        <v>0</v>
      </c>
      <c r="P593" t="n">
        <v>0</v>
      </c>
      <c r="Q593" t="n">
        <v>0</v>
      </c>
      <c r="R593" t="n">
        <v>0</v>
      </c>
      <c r="S593" t="n">
        <v>0</v>
      </c>
      <c r="T593" t="n">
        <v>0</v>
      </c>
      <c r="U593" s="2" t="inlineStr"/>
    </row>
    <row r="594" ht="15" customHeight="1">
      <c r="A594" t="inlineStr">
        <is>
          <t>A 19941-2025</t>
        </is>
      </c>
      <c r="B594" t="inlineStr">
        <is>
          <t>avverkningsanmälan</t>
        </is>
      </c>
      <c r="C594" t="inlineStr">
        <is>
          <t>Föryngringsavverkning</t>
        </is>
      </c>
      <c r="D594" s="1" t="n">
        <v>45771</v>
      </c>
      <c r="E594" s="1" t="n">
        <v>46219</v>
      </c>
      <c r="F594" t="inlineStr">
        <is>
          <t>VÄRMLANDS LÄN</t>
        </is>
      </c>
      <c r="G594" t="inlineStr">
        <is>
          <t>SUNNE</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61403-2023</t>
        </is>
      </c>
      <c r="B595" t="inlineStr">
        <is>
          <t>avverkningsanmälan</t>
        </is>
      </c>
      <c r="C595" t="inlineStr">
        <is>
          <t>Avverkning för annat ändamål</t>
        </is>
      </c>
      <c r="D595" s="1" t="n">
        <v>45264</v>
      </c>
      <c r="E595" s="1" t="n">
        <v>46219</v>
      </c>
      <c r="F595" t="inlineStr">
        <is>
          <t>VÄRMLANDS LÄN</t>
        </is>
      </c>
      <c r="G595" t="inlineStr">
        <is>
          <t>SUNNE</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38703-2021</t>
        </is>
      </c>
      <c r="B596" t="inlineStr">
        <is>
          <t>avverkningsanmälan</t>
        </is>
      </c>
      <c r="C596" t="inlineStr">
        <is>
          <t>Föryngringsavverkning</t>
        </is>
      </c>
      <c r="D596" s="1" t="n">
        <v>44410</v>
      </c>
      <c r="E596" s="1" t="n">
        <v>46219</v>
      </c>
      <c r="F596" t="inlineStr">
        <is>
          <t>VÄRMLANDS LÄN</t>
        </is>
      </c>
      <c r="G596" t="inlineStr">
        <is>
          <t>SUNNE</t>
        </is>
      </c>
      <c r="I596" t="n">
        <v>4</v>
      </c>
      <c r="J596" t="n">
        <v>0</v>
      </c>
      <c r="K596" t="n">
        <v>0</v>
      </c>
      <c r="L596" t="n">
        <v>0</v>
      </c>
      <c r="M596" t="n">
        <v>0</v>
      </c>
      <c r="N596" t="n">
        <v>0</v>
      </c>
      <c r="O596" t="n">
        <v>0</v>
      </c>
      <c r="P596" t="n">
        <v>0</v>
      </c>
      <c r="Q596" t="n">
        <v>0</v>
      </c>
      <c r="R596" t="n">
        <v>0</v>
      </c>
      <c r="S596" t="n">
        <v>0</v>
      </c>
      <c r="T596" t="n">
        <v>0</v>
      </c>
      <c r="U596" s="2" t="inlineStr"/>
    </row>
    <row r="597" ht="15" customHeight="1">
      <c r="A597" t="inlineStr">
        <is>
          <t>A 53687-2025</t>
        </is>
      </c>
      <c r="B597" t="inlineStr">
        <is>
          <t>avverkningsanmälan</t>
        </is>
      </c>
      <c r="C597" t="inlineStr">
        <is>
          <t>Föryngringsavverkning</t>
        </is>
      </c>
      <c r="D597" s="1" t="n">
        <v>45960</v>
      </c>
      <c r="E597" s="1" t="n">
        <v>46219</v>
      </c>
      <c r="F597" t="inlineStr">
        <is>
          <t>VÄRMLANDS LÄN</t>
        </is>
      </c>
      <c r="G597" t="inlineStr">
        <is>
          <t>SUNNE</t>
        </is>
      </c>
      <c r="H597" t="inlineStr">
        <is>
          <t>Bergvik skog väst AB</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34004-2024</t>
        </is>
      </c>
      <c r="B598" t="inlineStr">
        <is>
          <t>avverkningsanmälan</t>
        </is>
      </c>
      <c r="C598" t="inlineStr">
        <is>
          <t>Föryngringsavverkning</t>
        </is>
      </c>
      <c r="D598" s="1" t="n">
        <v>45523</v>
      </c>
      <c r="E598" s="1" t="n">
        <v>46219</v>
      </c>
      <c r="F598" t="inlineStr">
        <is>
          <t>VÄRMLANDS LÄN</t>
        </is>
      </c>
      <c r="G598" t="inlineStr">
        <is>
          <t>SUNNE</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18489-2026</t>
        </is>
      </c>
      <c r="B599" t="inlineStr">
        <is>
          <t>avverkningsanmälan</t>
        </is>
      </c>
      <c r="C599" t="inlineStr">
        <is>
          <t>Föryngringsavverkning</t>
        </is>
      </c>
      <c r="D599" s="1" t="n">
        <v>46127</v>
      </c>
      <c r="E599" s="1" t="n">
        <v>46219</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29928-2026</t>
        </is>
      </c>
      <c r="B600" t="inlineStr">
        <is>
          <t>avverkningsanmälan</t>
        </is>
      </c>
      <c r="C600" t="inlineStr">
        <is>
          <t>Föryngringsavverkning</t>
        </is>
      </c>
      <c r="D600" s="1" t="n">
        <v>46205</v>
      </c>
      <c r="E600" s="1" t="n">
        <v>46219</v>
      </c>
      <c r="F600" t="inlineStr">
        <is>
          <t>VÄRMLANDS LÄN</t>
        </is>
      </c>
      <c r="G600" t="inlineStr">
        <is>
          <t>SUNNE</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46071-2023</t>
        </is>
      </c>
      <c r="B601" t="inlineStr">
        <is>
          <t>avverkningsanmälan</t>
        </is>
      </c>
      <c r="C601" t="inlineStr">
        <is>
          <t>Föryngringsavverkning</t>
        </is>
      </c>
      <c r="D601" s="1" t="n">
        <v>45196</v>
      </c>
      <c r="E601" s="1" t="n">
        <v>46219</v>
      </c>
      <c r="F601" t="inlineStr">
        <is>
          <t>VÄRMLANDS LÄN</t>
        </is>
      </c>
      <c r="G601" t="inlineStr">
        <is>
          <t>SUNNE</t>
        </is>
      </c>
      <c r="I601" t="n">
        <v>0.4</v>
      </c>
      <c r="J601" t="n">
        <v>0</v>
      </c>
      <c r="K601" t="n">
        <v>0</v>
      </c>
      <c r="L601" t="n">
        <v>0</v>
      </c>
      <c r="M601" t="n">
        <v>0</v>
      </c>
      <c r="N601" t="n">
        <v>0</v>
      </c>
      <c r="O601" t="n">
        <v>0</v>
      </c>
      <c r="P601" t="n">
        <v>0</v>
      </c>
      <c r="Q601" t="n">
        <v>0</v>
      </c>
      <c r="R601" t="n">
        <v>0</v>
      </c>
      <c r="S601" t="n">
        <v>0</v>
      </c>
      <c r="T601" t="n">
        <v>0</v>
      </c>
      <c r="U601" s="2" t="inlineStr"/>
    </row>
    <row r="602" ht="15" customHeight="1">
      <c r="A602" t="inlineStr">
        <is>
          <t>A 29917-2026</t>
        </is>
      </c>
      <c r="B602" t="inlineStr">
        <is>
          <t>avverkningsanmälan</t>
        </is>
      </c>
      <c r="C602" t="inlineStr">
        <is>
          <t>Föryngringsavverkning</t>
        </is>
      </c>
      <c r="D602" s="1" t="n">
        <v>46205</v>
      </c>
      <c r="E602" s="1" t="n">
        <v>46219</v>
      </c>
      <c r="F602" t="inlineStr">
        <is>
          <t>VÄRMLANDS LÄN</t>
        </is>
      </c>
      <c r="G602" t="inlineStr">
        <is>
          <t>SUNNE</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53695-2025</t>
        </is>
      </c>
      <c r="B603" t="inlineStr">
        <is>
          <t>avverkningsanmälan</t>
        </is>
      </c>
      <c r="C603" t="inlineStr">
        <is>
          <t>Föryngringsavverkning</t>
        </is>
      </c>
      <c r="D603" s="1" t="n">
        <v>45960</v>
      </c>
      <c r="E603" s="1" t="n">
        <v>46219</v>
      </c>
      <c r="F603" t="inlineStr">
        <is>
          <t>VÄRMLANDS LÄN</t>
        </is>
      </c>
      <c r="G603" t="inlineStr">
        <is>
          <t>SUNNE</t>
        </is>
      </c>
      <c r="H603" t="inlineStr">
        <is>
          <t>Bergvik skog väst AB</t>
        </is>
      </c>
      <c r="I603" t="n">
        <v>4.1</v>
      </c>
      <c r="J603" t="n">
        <v>0</v>
      </c>
      <c r="K603" t="n">
        <v>0</v>
      </c>
      <c r="L603" t="n">
        <v>0</v>
      </c>
      <c r="M603" t="n">
        <v>0</v>
      </c>
      <c r="N603" t="n">
        <v>0</v>
      </c>
      <c r="O603" t="n">
        <v>0</v>
      </c>
      <c r="P603" t="n">
        <v>0</v>
      </c>
      <c r="Q603" t="n">
        <v>0</v>
      </c>
      <c r="R603" t="n">
        <v>0</v>
      </c>
      <c r="S603" t="n">
        <v>0</v>
      </c>
      <c r="T603" t="n">
        <v>0</v>
      </c>
      <c r="U603" s="2" t="inlineStr"/>
    </row>
    <row r="604" ht="15" customHeight="1">
      <c r="A604" t="inlineStr">
        <is>
          <t>A 54048-2025</t>
        </is>
      </c>
      <c r="B604" t="inlineStr">
        <is>
          <t>avverkningsanmälan</t>
        </is>
      </c>
      <c r="C604" t="inlineStr">
        <is>
          <t>Föryngringsavverkning</t>
        </is>
      </c>
      <c r="D604" s="1" t="n">
        <v>45963</v>
      </c>
      <c r="E604" s="1" t="n">
        <v>46219</v>
      </c>
      <c r="F604" t="inlineStr">
        <is>
          <t>VÄRMLANDS LÄN</t>
        </is>
      </c>
      <c r="G604" t="inlineStr">
        <is>
          <t>SUNNE</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3679-2024</t>
        </is>
      </c>
      <c r="B605" t="inlineStr">
        <is>
          <t>avverkningsanmälan</t>
        </is>
      </c>
      <c r="C605" t="inlineStr">
        <is>
          <t>Föryngringsavverkning</t>
        </is>
      </c>
      <c r="D605" s="1" t="n">
        <v>45321</v>
      </c>
      <c r="E605" s="1" t="n">
        <v>46219</v>
      </c>
      <c r="F605" t="inlineStr">
        <is>
          <t>VÄRMLANDS LÄN</t>
        </is>
      </c>
      <c r="G605" t="inlineStr">
        <is>
          <t>SUNNE</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19954-2024</t>
        </is>
      </c>
      <c r="B606" t="inlineStr">
        <is>
          <t>avverkningsanmälan</t>
        </is>
      </c>
      <c r="C606" t="inlineStr">
        <is>
          <t>Föryngringsavverkning</t>
        </is>
      </c>
      <c r="D606" s="1" t="n">
        <v>45433</v>
      </c>
      <c r="E606" s="1" t="n">
        <v>46219</v>
      </c>
      <c r="F606" t="inlineStr">
        <is>
          <t>VÄRMLANDS LÄN</t>
        </is>
      </c>
      <c r="G606" t="inlineStr">
        <is>
          <t>SUNNE</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46777-2022</t>
        </is>
      </c>
      <c r="B607" t="inlineStr">
        <is>
          <t>avverkningsanmälan</t>
        </is>
      </c>
      <c r="C607" t="inlineStr">
        <is>
          <t>Föryngringsavverkning</t>
        </is>
      </c>
      <c r="D607" s="1" t="n">
        <v>44851</v>
      </c>
      <c r="E607" s="1" t="n">
        <v>46219</v>
      </c>
      <c r="F607" t="inlineStr">
        <is>
          <t>VÄRMLANDS LÄN</t>
        </is>
      </c>
      <c r="G607" t="inlineStr">
        <is>
          <t>SUNNE</t>
        </is>
      </c>
      <c r="I607" t="n">
        <v>0.6</v>
      </c>
      <c r="J607" t="n">
        <v>0</v>
      </c>
      <c r="K607" t="n">
        <v>0</v>
      </c>
      <c r="L607" t="n">
        <v>0</v>
      </c>
      <c r="M607" t="n">
        <v>0</v>
      </c>
      <c r="N607" t="n">
        <v>0</v>
      </c>
      <c r="O607" t="n">
        <v>0</v>
      </c>
      <c r="P607" t="n">
        <v>0</v>
      </c>
      <c r="Q607" t="n">
        <v>0</v>
      </c>
      <c r="R607" t="n">
        <v>0</v>
      </c>
      <c r="S607" t="n">
        <v>0</v>
      </c>
      <c r="T607" t="n">
        <v>0</v>
      </c>
      <c r="U607" s="2" t="inlineStr"/>
    </row>
    <row r="608" ht="15" customHeight="1">
      <c r="A608" t="inlineStr">
        <is>
          <t>A 6566-2023</t>
        </is>
      </c>
      <c r="B608" t="inlineStr">
        <is>
          <t>avverkningsanmälan</t>
        </is>
      </c>
      <c r="C608" t="inlineStr">
        <is>
          <t>Föryngringsavverkning</t>
        </is>
      </c>
      <c r="D608" s="1" t="n">
        <v>44966</v>
      </c>
      <c r="E608" s="1" t="n">
        <v>46219</v>
      </c>
      <c r="F608" t="inlineStr">
        <is>
          <t>VÄRMLANDS LÄN</t>
        </is>
      </c>
      <c r="G608" t="inlineStr">
        <is>
          <t>SUNNE</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54047-2025</t>
        </is>
      </c>
      <c r="B609" t="inlineStr">
        <is>
          <t>avverkningsanmälan</t>
        </is>
      </c>
      <c r="C609" t="inlineStr">
        <is>
          <t>Föryngringsavverkning</t>
        </is>
      </c>
      <c r="D609" s="1" t="n">
        <v>45963</v>
      </c>
      <c r="E609" s="1" t="n">
        <v>46219</v>
      </c>
      <c r="F609" t="inlineStr">
        <is>
          <t>VÄRMLANDS LÄN</t>
        </is>
      </c>
      <c r="G609" t="inlineStr">
        <is>
          <t>SUNNE</t>
        </is>
      </c>
      <c r="I609" t="n">
        <v>3.6</v>
      </c>
      <c r="J609" t="n">
        <v>0</v>
      </c>
      <c r="K609" t="n">
        <v>0</v>
      </c>
      <c r="L609" t="n">
        <v>0</v>
      </c>
      <c r="M609" t="n">
        <v>0</v>
      </c>
      <c r="N609" t="n">
        <v>0</v>
      </c>
      <c r="O609" t="n">
        <v>0</v>
      </c>
      <c r="P609" t="n">
        <v>0</v>
      </c>
      <c r="Q609" t="n">
        <v>0</v>
      </c>
      <c r="R609" t="n">
        <v>0</v>
      </c>
      <c r="S609" t="n">
        <v>0</v>
      </c>
      <c r="T609" t="n">
        <v>0</v>
      </c>
      <c r="U609" s="2" t="inlineStr"/>
    </row>
    <row r="610" ht="15" customHeight="1">
      <c r="A610" t="inlineStr">
        <is>
          <t>A 54050-2025</t>
        </is>
      </c>
      <c r="B610" t="inlineStr">
        <is>
          <t>avverkningsanmälan</t>
        </is>
      </c>
      <c r="C610" t="inlineStr">
        <is>
          <t>Föryngringsavverkning</t>
        </is>
      </c>
      <c r="D610" s="1" t="n">
        <v>45963</v>
      </c>
      <c r="E610" s="1" t="n">
        <v>46219</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29834-2026</t>
        </is>
      </c>
      <c r="B611" t="inlineStr">
        <is>
          <t>avverkningsanmälan</t>
        </is>
      </c>
      <c r="C611" t="inlineStr">
        <is>
          <t>Föryngringsavverkning</t>
        </is>
      </c>
      <c r="D611" s="1" t="n">
        <v>46205</v>
      </c>
      <c r="E611" s="1" t="n">
        <v>46219</v>
      </c>
      <c r="F611" t="inlineStr">
        <is>
          <t>VÄRMLANDS LÄN</t>
        </is>
      </c>
      <c r="G611" t="inlineStr">
        <is>
          <t>SUNNE</t>
        </is>
      </c>
      <c r="I611" t="n">
        <v>3.3</v>
      </c>
      <c r="J611" t="n">
        <v>0</v>
      </c>
      <c r="K611" t="n">
        <v>0</v>
      </c>
      <c r="L611" t="n">
        <v>0</v>
      </c>
      <c r="M611" t="n">
        <v>0</v>
      </c>
      <c r="N611" t="n">
        <v>0</v>
      </c>
      <c r="O611" t="n">
        <v>0</v>
      </c>
      <c r="P611" t="n">
        <v>0</v>
      </c>
      <c r="Q611" t="n">
        <v>0</v>
      </c>
      <c r="R611" t="n">
        <v>0</v>
      </c>
      <c r="S611" t="n">
        <v>0</v>
      </c>
      <c r="T611" t="n">
        <v>0</v>
      </c>
      <c r="U611" s="2" t="inlineStr"/>
    </row>
    <row r="612" ht="15" customHeight="1">
      <c r="A612" t="inlineStr">
        <is>
          <t>A 29853-2026</t>
        </is>
      </c>
      <c r="B612" t="inlineStr">
        <is>
          <t>avverkningsanmälan</t>
        </is>
      </c>
      <c r="C612" t="inlineStr">
        <is>
          <t>Föryngringsavverkning</t>
        </is>
      </c>
      <c r="D612" s="1" t="n">
        <v>46205</v>
      </c>
      <c r="E612" s="1" t="n">
        <v>46219</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54049-2025</t>
        </is>
      </c>
      <c r="B613" t="inlineStr">
        <is>
          <t>avverkningsanmälan</t>
        </is>
      </c>
      <c r="C613" t="inlineStr">
        <is>
          <t>Föryngringsavverkning</t>
        </is>
      </c>
      <c r="D613" s="1" t="n">
        <v>45963</v>
      </c>
      <c r="E613" s="1" t="n">
        <v>46219</v>
      </c>
      <c r="F613" t="inlineStr">
        <is>
          <t>VÄRMLANDS LÄN</t>
        </is>
      </c>
      <c r="G613" t="inlineStr">
        <is>
          <t>SUNNE</t>
        </is>
      </c>
      <c r="I613" t="n">
        <v>5.8</v>
      </c>
      <c r="J613" t="n">
        <v>0</v>
      </c>
      <c r="K613" t="n">
        <v>0</v>
      </c>
      <c r="L613" t="n">
        <v>0</v>
      </c>
      <c r="M613" t="n">
        <v>0</v>
      </c>
      <c r="N613" t="n">
        <v>0</v>
      </c>
      <c r="O613" t="n">
        <v>0</v>
      </c>
      <c r="P613" t="n">
        <v>0</v>
      </c>
      <c r="Q613" t="n">
        <v>0</v>
      </c>
      <c r="R613" t="n">
        <v>0</v>
      </c>
      <c r="S613" t="n">
        <v>0</v>
      </c>
      <c r="T613" t="n">
        <v>0</v>
      </c>
      <c r="U613" s="2" t="inlineStr"/>
    </row>
    <row r="614" ht="15" customHeight="1">
      <c r="A614" t="inlineStr">
        <is>
          <t>A 54051-2025</t>
        </is>
      </c>
      <c r="B614" t="inlineStr">
        <is>
          <t>avverkningsanmälan</t>
        </is>
      </c>
      <c r="C614" t="inlineStr">
        <is>
          <t>Föryngringsavverkning</t>
        </is>
      </c>
      <c r="D614" s="1" t="n">
        <v>45963</v>
      </c>
      <c r="E614" s="1" t="n">
        <v>46219</v>
      </c>
      <c r="F614" t="inlineStr">
        <is>
          <t>VÄRMLANDS LÄN</t>
        </is>
      </c>
      <c r="G614" t="inlineStr">
        <is>
          <t>SUNNE</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29978-2026</t>
        </is>
      </c>
      <c r="B615" t="inlineStr">
        <is>
          <t>avverkningsanmälan</t>
        </is>
      </c>
      <c r="C615" t="inlineStr">
        <is>
          <t>Föryngringsavverkning</t>
        </is>
      </c>
      <c r="D615" s="1" t="n">
        <v>46205</v>
      </c>
      <c r="E615" s="1" t="n">
        <v>46219</v>
      </c>
      <c r="F615" t="inlineStr">
        <is>
          <t>VÄRMLANDS LÄN</t>
        </is>
      </c>
      <c r="G615" t="inlineStr">
        <is>
          <t>SUNNE</t>
        </is>
      </c>
      <c r="I615" t="n">
        <v>2.9</v>
      </c>
      <c r="J615" t="n">
        <v>0</v>
      </c>
      <c r="K615" t="n">
        <v>0</v>
      </c>
      <c r="L615" t="n">
        <v>0</v>
      </c>
      <c r="M615" t="n">
        <v>0</v>
      </c>
      <c r="N615" t="n">
        <v>0</v>
      </c>
      <c r="O615" t="n">
        <v>0</v>
      </c>
      <c r="P615" t="n">
        <v>0</v>
      </c>
      <c r="Q615" t="n">
        <v>0</v>
      </c>
      <c r="R615" t="n">
        <v>0</v>
      </c>
      <c r="S615" t="n">
        <v>0</v>
      </c>
      <c r="T615" t="n">
        <v>0</v>
      </c>
      <c r="U615" s="2" t="inlineStr"/>
    </row>
    <row r="616" ht="15" customHeight="1">
      <c r="A616" t="inlineStr">
        <is>
          <t>A 62965-2021</t>
        </is>
      </c>
      <c r="B616" t="inlineStr">
        <is>
          <t>avverkningsanmälan</t>
        </is>
      </c>
      <c r="C616" t="inlineStr">
        <is>
          <t>Föryngringsavverkning</t>
        </is>
      </c>
      <c r="D616" s="1" t="n">
        <v>44505</v>
      </c>
      <c r="E616" s="1" t="n">
        <v>46219</v>
      </c>
      <c r="F616" t="inlineStr">
        <is>
          <t>VÄRMLANDS LÄN</t>
        </is>
      </c>
      <c r="G616" t="inlineStr">
        <is>
          <t>SUNNE</t>
        </is>
      </c>
      <c r="I616" t="n">
        <v>16.3</v>
      </c>
      <c r="J616" t="n">
        <v>0</v>
      </c>
      <c r="K616" t="n">
        <v>0</v>
      </c>
      <c r="L616" t="n">
        <v>0</v>
      </c>
      <c r="M616" t="n">
        <v>0</v>
      </c>
      <c r="N616" t="n">
        <v>0</v>
      </c>
      <c r="O616" t="n">
        <v>0</v>
      </c>
      <c r="P616" t="n">
        <v>0</v>
      </c>
      <c r="Q616" t="n">
        <v>0</v>
      </c>
      <c r="R616" t="n">
        <v>0</v>
      </c>
      <c r="S616" t="n">
        <v>0</v>
      </c>
      <c r="T616" t="n">
        <v>0</v>
      </c>
      <c r="U616" s="2" t="inlineStr"/>
    </row>
    <row r="617" ht="15" customHeight="1">
      <c r="A617" t="inlineStr">
        <is>
          <t>A 28650-2024</t>
        </is>
      </c>
      <c r="B617" t="inlineStr">
        <is>
          <t>avverkningsanmälan</t>
        </is>
      </c>
      <c r="C617" t="inlineStr">
        <is>
          <t>Föryngringsavverkning</t>
        </is>
      </c>
      <c r="D617" s="1" t="n">
        <v>45478</v>
      </c>
      <c r="E617" s="1" t="n">
        <v>46219</v>
      </c>
      <c r="F617" t="inlineStr">
        <is>
          <t>VÄRMLANDS LÄN</t>
        </is>
      </c>
      <c r="G617" t="inlineStr">
        <is>
          <t>SUNNE</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54429-2025</t>
        </is>
      </c>
      <c r="B618" t="inlineStr">
        <is>
          <t>avverkningsanmälan</t>
        </is>
      </c>
      <c r="C618" t="inlineStr">
        <is>
          <t>Föryngringsavverkning</t>
        </is>
      </c>
      <c r="D618" s="1" t="n">
        <v>45965</v>
      </c>
      <c r="E618" s="1" t="n">
        <v>46219</v>
      </c>
      <c r="F618" t="inlineStr">
        <is>
          <t>VÄRMLANDS LÄN</t>
        </is>
      </c>
      <c r="G618" t="inlineStr">
        <is>
          <t>SUNNE</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54432-2025</t>
        </is>
      </c>
      <c r="B619" t="inlineStr">
        <is>
          <t>avverkningsanmälan</t>
        </is>
      </c>
      <c r="C619" t="inlineStr">
        <is>
          <t>Föryngringsavverkning</t>
        </is>
      </c>
      <c r="D619" s="1" t="n">
        <v>45965</v>
      </c>
      <c r="E619" s="1" t="n">
        <v>46219</v>
      </c>
      <c r="F619" t="inlineStr">
        <is>
          <t>VÄRMLANDS LÄN</t>
        </is>
      </c>
      <c r="G619" t="inlineStr">
        <is>
          <t>SUNNE</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6362-2023</t>
        </is>
      </c>
      <c r="B620" t="inlineStr">
        <is>
          <t>avverkningsanmälan</t>
        </is>
      </c>
      <c r="C620" t="inlineStr">
        <is>
          <t>Föryngringsavverkning</t>
        </is>
      </c>
      <c r="D620" s="1" t="n">
        <v>44965</v>
      </c>
      <c r="E620" s="1" t="n">
        <v>46219</v>
      </c>
      <c r="F620" t="inlineStr">
        <is>
          <t>VÄRMLANDS LÄN</t>
        </is>
      </c>
      <c r="G620" t="inlineStr">
        <is>
          <t>SUNNE</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62149-2024</t>
        </is>
      </c>
      <c r="B621" t="inlineStr">
        <is>
          <t>avverkningsanmälan</t>
        </is>
      </c>
      <c r="C621" t="inlineStr">
        <is>
          <t>Föryngringsavverkning</t>
        </is>
      </c>
      <c r="D621" s="1" t="n">
        <v>45646</v>
      </c>
      <c r="E621" s="1" t="n">
        <v>46219</v>
      </c>
      <c r="F621" t="inlineStr">
        <is>
          <t>VÄRMLANDS LÄN</t>
        </is>
      </c>
      <c r="G621" t="inlineStr">
        <is>
          <t>SUNNE</t>
        </is>
      </c>
      <c r="I621" t="n">
        <v>2.3</v>
      </c>
      <c r="J621" t="n">
        <v>0</v>
      </c>
      <c r="K621" t="n">
        <v>0</v>
      </c>
      <c r="L621" t="n">
        <v>0</v>
      </c>
      <c r="M621" t="n">
        <v>0</v>
      </c>
      <c r="N621" t="n">
        <v>0</v>
      </c>
      <c r="O621" t="n">
        <v>0</v>
      </c>
      <c r="P621" t="n">
        <v>0</v>
      </c>
      <c r="Q621" t="n">
        <v>0</v>
      </c>
      <c r="R621" t="n">
        <v>0</v>
      </c>
      <c r="S621" t="n">
        <v>0</v>
      </c>
      <c r="T621" t="n">
        <v>0</v>
      </c>
      <c r="U621" s="2" t="inlineStr"/>
    </row>
    <row r="622" ht="15" customHeight="1">
      <c r="A622" t="inlineStr">
        <is>
          <t>A 23815-2026</t>
        </is>
      </c>
      <c r="B622" t="inlineStr">
        <is>
          <t>avverkningsanmälan</t>
        </is>
      </c>
      <c r="C622" t="inlineStr">
        <is>
          <t>Föryngringsavverkning</t>
        </is>
      </c>
      <c r="D622" s="1" t="n">
        <v>46164</v>
      </c>
      <c r="E622" s="1" t="n">
        <v>46219</v>
      </c>
      <c r="F622" t="inlineStr">
        <is>
          <t>VÄRMLANDS LÄN</t>
        </is>
      </c>
      <c r="G622" t="inlineStr">
        <is>
          <t>SUNNE</t>
        </is>
      </c>
      <c r="I622" t="n">
        <v>5.7</v>
      </c>
      <c r="J622" t="n">
        <v>0</v>
      </c>
      <c r="K622" t="n">
        <v>0</v>
      </c>
      <c r="L622" t="n">
        <v>0</v>
      </c>
      <c r="M622" t="n">
        <v>0</v>
      </c>
      <c r="N622" t="n">
        <v>0</v>
      </c>
      <c r="O622" t="n">
        <v>0</v>
      </c>
      <c r="P622" t="n">
        <v>0</v>
      </c>
      <c r="Q622" t="n">
        <v>0</v>
      </c>
      <c r="R622" t="n">
        <v>0</v>
      </c>
      <c r="S622" t="n">
        <v>0</v>
      </c>
      <c r="T622" t="n">
        <v>0</v>
      </c>
      <c r="U622" s="2" t="inlineStr"/>
    </row>
    <row r="623" ht="15" customHeight="1">
      <c r="A623" t="inlineStr">
        <is>
          <t>A 54433-2025</t>
        </is>
      </c>
      <c r="B623" t="inlineStr">
        <is>
          <t>avverkningsanmälan</t>
        </is>
      </c>
      <c r="C623" t="inlineStr">
        <is>
          <t>Föryngringsavverkning</t>
        </is>
      </c>
      <c r="D623" s="1" t="n">
        <v>45965</v>
      </c>
      <c r="E623" s="1" t="n">
        <v>46219</v>
      </c>
      <c r="F623" t="inlineStr">
        <is>
          <t>VÄRMLANDS LÄN</t>
        </is>
      </c>
      <c r="G623" t="inlineStr">
        <is>
          <t>SUNNE</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52149-2021</t>
        </is>
      </c>
      <c r="B624" t="inlineStr">
        <is>
          <t>avverkningsanmälan</t>
        </is>
      </c>
      <c r="C624" t="inlineStr">
        <is>
          <t>Föryngringsavverkning</t>
        </is>
      </c>
      <c r="D624" s="1" t="n">
        <v>44463</v>
      </c>
      <c r="E624" s="1" t="n">
        <v>46219</v>
      </c>
      <c r="F624" t="inlineStr">
        <is>
          <t>VÄRMLANDS LÄN</t>
        </is>
      </c>
      <c r="G624" t="inlineStr">
        <is>
          <t>SUNNE</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54744-2025</t>
        </is>
      </c>
      <c r="B625" t="inlineStr">
        <is>
          <t>avverkningsanmälan</t>
        </is>
      </c>
      <c r="C625" t="inlineStr">
        <is>
          <t>Föryngringsavverkning</t>
        </is>
      </c>
      <c r="D625" s="1" t="n">
        <v>45966</v>
      </c>
      <c r="E625" s="1" t="n">
        <v>46219</v>
      </c>
      <c r="F625" t="inlineStr">
        <is>
          <t>VÄRMLANDS LÄN</t>
        </is>
      </c>
      <c r="G625" t="inlineStr">
        <is>
          <t>SUNNE</t>
        </is>
      </c>
      <c r="I625" t="n">
        <v>1.5</v>
      </c>
      <c r="J625" t="n">
        <v>0</v>
      </c>
      <c r="K625" t="n">
        <v>0</v>
      </c>
      <c r="L625" t="n">
        <v>0</v>
      </c>
      <c r="M625" t="n">
        <v>0</v>
      </c>
      <c r="N625" t="n">
        <v>0</v>
      </c>
      <c r="O625" t="n">
        <v>0</v>
      </c>
      <c r="P625" t="n">
        <v>0</v>
      </c>
      <c r="Q625" t="n">
        <v>0</v>
      </c>
      <c r="R625" t="n">
        <v>0</v>
      </c>
      <c r="S625" t="n">
        <v>0</v>
      </c>
      <c r="T625" t="n">
        <v>0</v>
      </c>
      <c r="U625" s="2" t="inlineStr"/>
    </row>
    <row r="626" ht="15" customHeight="1">
      <c r="A626" t="inlineStr">
        <is>
          <t>A 61093-2023</t>
        </is>
      </c>
      <c r="B626" t="inlineStr">
        <is>
          <t>avverkningsanmälan</t>
        </is>
      </c>
      <c r="C626" t="inlineStr">
        <is>
          <t>Föryngringsavverkning</t>
        </is>
      </c>
      <c r="D626" s="1" t="n">
        <v>45261</v>
      </c>
      <c r="E626" s="1" t="n">
        <v>46219</v>
      </c>
      <c r="F626" t="inlineStr">
        <is>
          <t>VÄRMLANDS LÄN</t>
        </is>
      </c>
      <c r="G626" t="inlineStr">
        <is>
          <t>SUNNE</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29920-2026</t>
        </is>
      </c>
      <c r="B627" t="inlineStr">
        <is>
          <t>avverkningsanmälan</t>
        </is>
      </c>
      <c r="C627" t="inlineStr">
        <is>
          <t>Föryngringsavverkning</t>
        </is>
      </c>
      <c r="D627" s="1" t="n">
        <v>46205</v>
      </c>
      <c r="E627" s="1" t="n">
        <v>46219</v>
      </c>
      <c r="F627" t="inlineStr">
        <is>
          <t>VÄRMLANDS LÄN</t>
        </is>
      </c>
      <c r="G627" t="inlineStr">
        <is>
          <t>SUNNE</t>
        </is>
      </c>
      <c r="I627" t="n">
        <v>1.6</v>
      </c>
      <c r="J627" t="n">
        <v>0</v>
      </c>
      <c r="K627" t="n">
        <v>0</v>
      </c>
      <c r="L627" t="n">
        <v>0</v>
      </c>
      <c r="M627" t="n">
        <v>0</v>
      </c>
      <c r="N627" t="n">
        <v>0</v>
      </c>
      <c r="O627" t="n">
        <v>0</v>
      </c>
      <c r="P627" t="n">
        <v>0</v>
      </c>
      <c r="Q627" t="n">
        <v>0</v>
      </c>
      <c r="R627" t="n">
        <v>0</v>
      </c>
      <c r="S627" t="n">
        <v>0</v>
      </c>
      <c r="T627" t="n">
        <v>0</v>
      </c>
      <c r="U627" s="2" t="inlineStr"/>
    </row>
    <row r="628" ht="15" customHeight="1">
      <c r="A628" t="inlineStr">
        <is>
          <t>A 29982-2026</t>
        </is>
      </c>
      <c r="B628" t="inlineStr">
        <is>
          <t>avverkningsanmälan</t>
        </is>
      </c>
      <c r="C628" t="inlineStr">
        <is>
          <t>Föryngringsavverkning</t>
        </is>
      </c>
      <c r="D628" s="1" t="n">
        <v>46205</v>
      </c>
      <c r="E628" s="1" t="n">
        <v>46219</v>
      </c>
      <c r="F628" t="inlineStr">
        <is>
          <t>VÄRMLANDS LÄN</t>
        </is>
      </c>
      <c r="G628" t="inlineStr">
        <is>
          <t>SUNNE</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29990-2026</t>
        </is>
      </c>
      <c r="B629" t="inlineStr">
        <is>
          <t>avverkningsanmälan</t>
        </is>
      </c>
      <c r="C629" t="inlineStr">
        <is>
          <t>Föryngringsavverkning</t>
        </is>
      </c>
      <c r="D629" s="1" t="n">
        <v>46205</v>
      </c>
      <c r="E629" s="1" t="n">
        <v>46219</v>
      </c>
      <c r="F629" t="inlineStr">
        <is>
          <t>VÄRMLANDS LÄN</t>
        </is>
      </c>
      <c r="G629" t="inlineStr">
        <is>
          <t>SUNNE</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36119-2025</t>
        </is>
      </c>
      <c r="B630" t="inlineStr">
        <is>
          <t>avverkningsanmälan</t>
        </is>
      </c>
      <c r="C630" t="inlineStr">
        <is>
          <t>Avverkning för annat ändamål</t>
        </is>
      </c>
      <c r="D630" s="1" t="n">
        <v>45866</v>
      </c>
      <c r="E630" s="1" t="n">
        <v>46219</v>
      </c>
      <c r="F630" t="inlineStr">
        <is>
          <t>VÄRMLANDS LÄN</t>
        </is>
      </c>
      <c r="G630" t="inlineStr">
        <is>
          <t>SUNNE</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54861-2025</t>
        </is>
      </c>
      <c r="B631" t="inlineStr">
        <is>
          <t>avverkningsanmälan</t>
        </is>
      </c>
      <c r="C631" t="inlineStr">
        <is>
          <t>Föryngringsavverkning</t>
        </is>
      </c>
      <c r="D631" s="1" t="n">
        <v>45966</v>
      </c>
      <c r="E631" s="1" t="n">
        <v>46219</v>
      </c>
      <c r="F631" t="inlineStr">
        <is>
          <t>VÄRMLANDS LÄN</t>
        </is>
      </c>
      <c r="G631" t="inlineStr">
        <is>
          <t>SUNNE</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54898-2025</t>
        </is>
      </c>
      <c r="B632" t="inlineStr">
        <is>
          <t>avverkningsanmälan</t>
        </is>
      </c>
      <c r="C632" t="inlineStr">
        <is>
          <t>Föryngringsavverkning</t>
        </is>
      </c>
      <c r="D632" s="1" t="n">
        <v>45967</v>
      </c>
      <c r="E632" s="1" t="n">
        <v>46219</v>
      </c>
      <c r="F632" t="inlineStr">
        <is>
          <t>VÄRMLANDS LÄN</t>
        </is>
      </c>
      <c r="G632" t="inlineStr">
        <is>
          <t>SUNNE</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54860-2025</t>
        </is>
      </c>
      <c r="B633" t="inlineStr">
        <is>
          <t>avverkningsanmälan</t>
        </is>
      </c>
      <c r="C633" t="inlineStr">
        <is>
          <t>Föryngringsavverkning</t>
        </is>
      </c>
      <c r="D633" s="1" t="n">
        <v>45966</v>
      </c>
      <c r="E633" s="1" t="n">
        <v>46219</v>
      </c>
      <c r="F633" t="inlineStr">
        <is>
          <t>VÄRMLANDS LÄN</t>
        </is>
      </c>
      <c r="G633" t="inlineStr">
        <is>
          <t>SUNNE</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35611-2023</t>
        </is>
      </c>
      <c r="B634" t="inlineStr">
        <is>
          <t>avverkningsanmälan</t>
        </is>
      </c>
      <c r="C634" t="inlineStr">
        <is>
          <t>Föryngringsavverkning</t>
        </is>
      </c>
      <c r="D634" s="1" t="n">
        <v>45147</v>
      </c>
      <c r="E634" s="1" t="n">
        <v>46219</v>
      </c>
      <c r="F634" t="inlineStr">
        <is>
          <t>VÄRMLANDS LÄN</t>
        </is>
      </c>
      <c r="G634" t="inlineStr">
        <is>
          <t>SUNNE</t>
        </is>
      </c>
      <c r="I634" t="n">
        <v>3.7</v>
      </c>
      <c r="J634" t="n">
        <v>0</v>
      </c>
      <c r="K634" t="n">
        <v>0</v>
      </c>
      <c r="L634" t="n">
        <v>0</v>
      </c>
      <c r="M634" t="n">
        <v>0</v>
      </c>
      <c r="N634" t="n">
        <v>0</v>
      </c>
      <c r="O634" t="n">
        <v>0</v>
      </c>
      <c r="P634" t="n">
        <v>0</v>
      </c>
      <c r="Q634" t="n">
        <v>0</v>
      </c>
      <c r="R634" t="n">
        <v>0</v>
      </c>
      <c r="S634" t="n">
        <v>0</v>
      </c>
      <c r="T634" t="n">
        <v>0</v>
      </c>
      <c r="U634" s="2" t="inlineStr"/>
    </row>
    <row r="635" ht="15" customHeight="1">
      <c r="A635" t="inlineStr">
        <is>
          <t>A 30286-2026</t>
        </is>
      </c>
      <c r="B635" t="inlineStr">
        <is>
          <t>avverkningsanmälan</t>
        </is>
      </c>
      <c r="C635" t="inlineStr">
        <is>
          <t>Föryngringsavverkning</t>
        </is>
      </c>
      <c r="D635" s="1" t="n">
        <v>46206</v>
      </c>
      <c r="E635" s="1" t="n">
        <v>46219</v>
      </c>
      <c r="F635" t="inlineStr">
        <is>
          <t>VÄRMLANDS LÄN</t>
        </is>
      </c>
      <c r="G635" t="inlineStr">
        <is>
          <t>SUNNE</t>
        </is>
      </c>
      <c r="H635" t="inlineStr">
        <is>
          <t>Bergvik skog väst AB</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62164-2023</t>
        </is>
      </c>
      <c r="B636" t="inlineStr">
        <is>
          <t>avverkningsanmälan</t>
        </is>
      </c>
      <c r="C636" t="inlineStr">
        <is>
          <t>Föryngringsavverkning</t>
        </is>
      </c>
      <c r="D636" s="1" t="n">
        <v>45267</v>
      </c>
      <c r="E636" s="1" t="n">
        <v>46219</v>
      </c>
      <c r="F636" t="inlineStr">
        <is>
          <t>VÄRMLANDS LÄN</t>
        </is>
      </c>
      <c r="G636" t="inlineStr">
        <is>
          <t>SUNNE</t>
        </is>
      </c>
      <c r="H636" t="inlineStr">
        <is>
          <t>Kommuner</t>
        </is>
      </c>
      <c r="I636" t="n">
        <v>5</v>
      </c>
      <c r="J636" t="n">
        <v>0</v>
      </c>
      <c r="K636" t="n">
        <v>0</v>
      </c>
      <c r="L636" t="n">
        <v>0</v>
      </c>
      <c r="M636" t="n">
        <v>0</v>
      </c>
      <c r="N636" t="n">
        <v>0</v>
      </c>
      <c r="O636" t="n">
        <v>0</v>
      </c>
      <c r="P636" t="n">
        <v>0</v>
      </c>
      <c r="Q636" t="n">
        <v>0</v>
      </c>
      <c r="R636" t="n">
        <v>0</v>
      </c>
      <c r="S636" t="n">
        <v>0</v>
      </c>
      <c r="T636" t="n">
        <v>0</v>
      </c>
      <c r="U636" s="2" t="inlineStr"/>
    </row>
    <row r="637" ht="15" customHeight="1">
      <c r="A637" t="inlineStr">
        <is>
          <t>A 73231-2021</t>
        </is>
      </c>
      <c r="B637" t="inlineStr">
        <is>
          <t>avverkningsanmälan</t>
        </is>
      </c>
      <c r="C637" t="inlineStr">
        <is>
          <t>Föryngringsavverkning</t>
        </is>
      </c>
      <c r="D637" s="1" t="n">
        <v>44550</v>
      </c>
      <c r="E637" s="1" t="n">
        <v>46219</v>
      </c>
      <c r="F637" t="inlineStr">
        <is>
          <t>VÄRMLANDS LÄN</t>
        </is>
      </c>
      <c r="G637" t="inlineStr">
        <is>
          <t>SUNNE</t>
        </is>
      </c>
      <c r="I637" t="n">
        <v>1.6</v>
      </c>
      <c r="J637" t="n">
        <v>0</v>
      </c>
      <c r="K637" t="n">
        <v>0</v>
      </c>
      <c r="L637" t="n">
        <v>0</v>
      </c>
      <c r="M637" t="n">
        <v>0</v>
      </c>
      <c r="N637" t="n">
        <v>0</v>
      </c>
      <c r="O637" t="n">
        <v>0</v>
      </c>
      <c r="P637" t="n">
        <v>0</v>
      </c>
      <c r="Q637" t="n">
        <v>0</v>
      </c>
      <c r="R637" t="n">
        <v>0</v>
      </c>
      <c r="S637" t="n">
        <v>0</v>
      </c>
      <c r="T637" t="n">
        <v>0</v>
      </c>
      <c r="U637" s="2" t="inlineStr"/>
    </row>
    <row r="638" ht="15" customHeight="1">
      <c r="A638" t="inlineStr">
        <is>
          <t>A 73247-2021</t>
        </is>
      </c>
      <c r="B638" t="inlineStr">
        <is>
          <t>avverkningsanmälan</t>
        </is>
      </c>
      <c r="C638" t="inlineStr">
        <is>
          <t>Föryngringsavverkning</t>
        </is>
      </c>
      <c r="D638" s="1" t="n">
        <v>44550</v>
      </c>
      <c r="E638" s="1" t="n">
        <v>46219</v>
      </c>
      <c r="F638" t="inlineStr">
        <is>
          <t>VÄRMLANDS LÄN</t>
        </is>
      </c>
      <c r="G638" t="inlineStr">
        <is>
          <t>SUNNE</t>
        </is>
      </c>
      <c r="I638" t="n">
        <v>24.7</v>
      </c>
      <c r="J638" t="n">
        <v>0</v>
      </c>
      <c r="K638" t="n">
        <v>0</v>
      </c>
      <c r="L638" t="n">
        <v>0</v>
      </c>
      <c r="M638" t="n">
        <v>0</v>
      </c>
      <c r="N638" t="n">
        <v>0</v>
      </c>
      <c r="O638" t="n">
        <v>0</v>
      </c>
      <c r="P638" t="n">
        <v>0</v>
      </c>
      <c r="Q638" t="n">
        <v>0</v>
      </c>
      <c r="R638" t="n">
        <v>0</v>
      </c>
      <c r="S638" t="n">
        <v>0</v>
      </c>
      <c r="T638" t="n">
        <v>0</v>
      </c>
      <c r="U638" s="2" t="inlineStr"/>
    </row>
    <row r="639" ht="15" customHeight="1">
      <c r="A639" t="inlineStr">
        <is>
          <t>A 27053-2023</t>
        </is>
      </c>
      <c r="B639" t="inlineStr">
        <is>
          <t>avverkningsanmälan</t>
        </is>
      </c>
      <c r="C639" t="inlineStr">
        <is>
          <t>Föryngringsavverkning</t>
        </is>
      </c>
      <c r="D639" s="1" t="n">
        <v>45095</v>
      </c>
      <c r="E639" s="1" t="n">
        <v>46219</v>
      </c>
      <c r="F639" t="inlineStr">
        <is>
          <t>VÄRMLANDS LÄN</t>
        </is>
      </c>
      <c r="G639" t="inlineStr">
        <is>
          <t>SUNNE</t>
        </is>
      </c>
      <c r="I639" t="n">
        <v>4.4</v>
      </c>
      <c r="J639" t="n">
        <v>0</v>
      </c>
      <c r="K639" t="n">
        <v>0</v>
      </c>
      <c r="L639" t="n">
        <v>0</v>
      </c>
      <c r="M639" t="n">
        <v>0</v>
      </c>
      <c r="N639" t="n">
        <v>0</v>
      </c>
      <c r="O639" t="n">
        <v>0</v>
      </c>
      <c r="P639" t="n">
        <v>0</v>
      </c>
      <c r="Q639" t="n">
        <v>0</v>
      </c>
      <c r="R639" t="n">
        <v>0</v>
      </c>
      <c r="S639" t="n">
        <v>0</v>
      </c>
      <c r="T639" t="n">
        <v>0</v>
      </c>
      <c r="U639" s="2" t="inlineStr"/>
    </row>
    <row r="640" ht="15" customHeight="1">
      <c r="A640" t="inlineStr">
        <is>
          <t>A 29824-2025</t>
        </is>
      </c>
      <c r="B640" t="inlineStr">
        <is>
          <t>avverkningsanmälan</t>
        </is>
      </c>
      <c r="C640" t="inlineStr">
        <is>
          <t>Föryngringsavverkning</t>
        </is>
      </c>
      <c r="D640" s="1" t="n">
        <v>45825</v>
      </c>
      <c r="E640" s="1" t="n">
        <v>46219</v>
      </c>
      <c r="F640" t="inlineStr">
        <is>
          <t>VÄRMLANDS LÄN</t>
        </is>
      </c>
      <c r="G640" t="inlineStr">
        <is>
          <t>SUNNE</t>
        </is>
      </c>
      <c r="I640" t="n">
        <v>4.5</v>
      </c>
      <c r="J640" t="n">
        <v>0</v>
      </c>
      <c r="K640" t="n">
        <v>0</v>
      </c>
      <c r="L640" t="n">
        <v>0</v>
      </c>
      <c r="M640" t="n">
        <v>0</v>
      </c>
      <c r="N640" t="n">
        <v>0</v>
      </c>
      <c r="O640" t="n">
        <v>0</v>
      </c>
      <c r="P640" t="n">
        <v>0</v>
      </c>
      <c r="Q640" t="n">
        <v>0</v>
      </c>
      <c r="R640" t="n">
        <v>0</v>
      </c>
      <c r="S640" t="n">
        <v>0</v>
      </c>
      <c r="T640" t="n">
        <v>0</v>
      </c>
      <c r="U640" s="2" t="inlineStr"/>
    </row>
    <row r="641" ht="15" customHeight="1">
      <c r="A641" t="inlineStr">
        <is>
          <t>A 56391-2025</t>
        </is>
      </c>
      <c r="B641" t="inlineStr">
        <is>
          <t>avverkningsanmälan</t>
        </is>
      </c>
      <c r="C641" t="inlineStr">
        <is>
          <t>Föryngringsavverkning</t>
        </is>
      </c>
      <c r="D641" s="1" t="n">
        <v>45974</v>
      </c>
      <c r="E641" s="1" t="n">
        <v>46219</v>
      </c>
      <c r="F641" t="inlineStr">
        <is>
          <t>VÄRMLANDS LÄN</t>
        </is>
      </c>
      <c r="G641" t="inlineStr">
        <is>
          <t>SUNNE</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37218-2021</t>
        </is>
      </c>
      <c r="B642" t="inlineStr">
        <is>
          <t>avverkningsanmälan</t>
        </is>
      </c>
      <c r="C642" t="inlineStr">
        <is>
          <t>Föryngringsavverkning</t>
        </is>
      </c>
      <c r="D642" s="1" t="n">
        <v>44396</v>
      </c>
      <c r="E642" s="1" t="n">
        <v>46219</v>
      </c>
      <c r="F642" t="inlineStr">
        <is>
          <t>VÄRMLANDS LÄN</t>
        </is>
      </c>
      <c r="G642" t="inlineStr">
        <is>
          <t>SUNNE</t>
        </is>
      </c>
      <c r="H642" t="inlineStr">
        <is>
          <t>Övriga Aktiebolag</t>
        </is>
      </c>
      <c r="I642" t="n">
        <v>2.4</v>
      </c>
      <c r="J642" t="n">
        <v>0</v>
      </c>
      <c r="K642" t="n">
        <v>0</v>
      </c>
      <c r="L642" t="n">
        <v>0</v>
      </c>
      <c r="M642" t="n">
        <v>0</v>
      </c>
      <c r="N642" t="n">
        <v>0</v>
      </c>
      <c r="O642" t="n">
        <v>0</v>
      </c>
      <c r="P642" t="n">
        <v>0</v>
      </c>
      <c r="Q642" t="n">
        <v>0</v>
      </c>
      <c r="R642" t="n">
        <v>0</v>
      </c>
      <c r="S642" t="n">
        <v>0</v>
      </c>
      <c r="T642" t="n">
        <v>0</v>
      </c>
      <c r="U642" s="2" t="inlineStr"/>
    </row>
    <row r="643" ht="15" customHeight="1">
      <c r="A643" t="inlineStr">
        <is>
          <t>A 7199-2023</t>
        </is>
      </c>
      <c r="B643" t="inlineStr">
        <is>
          <t>avverkningsanmälan</t>
        </is>
      </c>
      <c r="C643" t="inlineStr">
        <is>
          <t>Föryngringsavverkning</t>
        </is>
      </c>
      <c r="D643" s="1" t="n">
        <v>44970</v>
      </c>
      <c r="E643" s="1" t="n">
        <v>46219</v>
      </c>
      <c r="F643" t="inlineStr">
        <is>
          <t>VÄRMLANDS LÄN</t>
        </is>
      </c>
      <c r="G643" t="inlineStr">
        <is>
          <t>SUNNE</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55867-2025</t>
        </is>
      </c>
      <c r="B644" t="inlineStr">
        <is>
          <t>avverkningsanmälan</t>
        </is>
      </c>
      <c r="C644" t="inlineStr">
        <is>
          <t>Föryngringsavverkning</t>
        </is>
      </c>
      <c r="D644" s="1" t="n">
        <v>45973</v>
      </c>
      <c r="E644" s="1" t="n">
        <v>46219</v>
      </c>
      <c r="F644" t="inlineStr">
        <is>
          <t>VÄRMLANDS LÄN</t>
        </is>
      </c>
      <c r="G644" t="inlineStr">
        <is>
          <t>SUNNE</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30409-2026</t>
        </is>
      </c>
      <c r="B645" t="inlineStr">
        <is>
          <t>avverkningsanmälan</t>
        </is>
      </c>
      <c r="C645" t="inlineStr">
        <is>
          <t>Föryngringsavverkning</t>
        </is>
      </c>
      <c r="D645" s="1" t="n">
        <v>46209</v>
      </c>
      <c r="E645" s="1" t="n">
        <v>46219</v>
      </c>
      <c r="F645" t="inlineStr">
        <is>
          <t>VÄRMLANDS LÄN</t>
        </is>
      </c>
      <c r="G645" t="inlineStr">
        <is>
          <t>SUNNE</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32202-2022</t>
        </is>
      </c>
      <c r="B646" t="inlineStr">
        <is>
          <t>avverkningsanmälan</t>
        </is>
      </c>
      <c r="C646" t="inlineStr">
        <is>
          <t>Föryngringsavverkning</t>
        </is>
      </c>
      <c r="D646" s="1" t="n">
        <v>44781</v>
      </c>
      <c r="E646" s="1" t="n">
        <v>46219</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42447-2023</t>
        </is>
      </c>
      <c r="B647" t="inlineStr">
        <is>
          <t>avverkningsanmälan</t>
        </is>
      </c>
      <c r="C647" t="inlineStr">
        <is>
          <t>Föryngringsavverkning</t>
        </is>
      </c>
      <c r="D647" s="1" t="n">
        <v>45180</v>
      </c>
      <c r="E647" s="1" t="n">
        <v>46219</v>
      </c>
      <c r="F647" t="inlineStr">
        <is>
          <t>VÄRMLANDS LÄN</t>
        </is>
      </c>
      <c r="G647" t="inlineStr">
        <is>
          <t>SUNNE</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50829-2021</t>
        </is>
      </c>
      <c r="B648" t="inlineStr">
        <is>
          <t>avverkningsanmälan</t>
        </is>
      </c>
      <c r="C648" t="inlineStr">
        <is>
          <t>Föryngringsavverkning</t>
        </is>
      </c>
      <c r="D648" s="1" t="n">
        <v>44460</v>
      </c>
      <c r="E648" s="1" t="n">
        <v>46219</v>
      </c>
      <c r="F648" t="inlineStr">
        <is>
          <t>VÄRMLANDS LÄN</t>
        </is>
      </c>
      <c r="G648" t="inlineStr">
        <is>
          <t>SUNNE</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1248-2023</t>
        </is>
      </c>
      <c r="B649" t="inlineStr">
        <is>
          <t>avverkningsanmälan</t>
        </is>
      </c>
      <c r="C649" t="inlineStr">
        <is>
          <t>Föryngringsavverkning</t>
        </is>
      </c>
      <c r="D649" s="1" t="n">
        <v>44931</v>
      </c>
      <c r="E649" s="1" t="n">
        <v>46219</v>
      </c>
      <c r="F649" t="inlineStr">
        <is>
          <t>VÄRMLANDS LÄN</t>
        </is>
      </c>
      <c r="G649" t="inlineStr">
        <is>
          <t>SUNNE</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30370-2026</t>
        </is>
      </c>
      <c r="B650" t="inlineStr">
        <is>
          <t>avverkningsanmälan</t>
        </is>
      </c>
      <c r="C650" t="inlineStr">
        <is>
          <t>Föryngringsavverkning</t>
        </is>
      </c>
      <c r="D650" s="1" t="n">
        <v>46209</v>
      </c>
      <c r="E650" s="1" t="n">
        <v>46219</v>
      </c>
      <c r="F650" t="inlineStr">
        <is>
          <t>VÄRMLANDS LÄN</t>
        </is>
      </c>
      <c r="G650" t="inlineStr">
        <is>
          <t>SUNNE</t>
        </is>
      </c>
      <c r="H650" t="inlineStr">
        <is>
          <t>Kommuner</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2691-2022</t>
        </is>
      </c>
      <c r="B651" t="inlineStr">
        <is>
          <t>avverkningsanmälan</t>
        </is>
      </c>
      <c r="C651" t="inlineStr">
        <is>
          <t>Avverkning för annat ändamål</t>
        </is>
      </c>
      <c r="D651" s="1" t="n">
        <v>44580</v>
      </c>
      <c r="E651" s="1" t="n">
        <v>46219</v>
      </c>
      <c r="F651" t="inlineStr">
        <is>
          <t>VÄRMLANDS LÄN</t>
        </is>
      </c>
      <c r="G651" t="inlineStr">
        <is>
          <t>SUNNE</t>
        </is>
      </c>
      <c r="H651" t="inlineStr">
        <is>
          <t>Övriga Aktiebolag</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13158-2023</t>
        </is>
      </c>
      <c r="B652" t="inlineStr">
        <is>
          <t>avverkningsanmälan</t>
        </is>
      </c>
      <c r="C652" t="inlineStr">
        <is>
          <t>Föryngringsavverkning</t>
        </is>
      </c>
      <c r="D652" s="1" t="n">
        <v>45002</v>
      </c>
      <c r="E652" s="1" t="n">
        <v>46219</v>
      </c>
      <c r="F652" t="inlineStr">
        <is>
          <t>VÄRMLANDS LÄN</t>
        </is>
      </c>
      <c r="G652" t="inlineStr">
        <is>
          <t>SUNNE</t>
        </is>
      </c>
      <c r="H652" t="inlineStr">
        <is>
          <t>Bergvik skog väst AB</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15170-2022</t>
        </is>
      </c>
      <c r="B653" t="inlineStr">
        <is>
          <t>avverkningsanmälan</t>
        </is>
      </c>
      <c r="C653" t="inlineStr">
        <is>
          <t>Föryngringsavverkning</t>
        </is>
      </c>
      <c r="D653" s="1" t="n">
        <v>44658</v>
      </c>
      <c r="E653" s="1" t="n">
        <v>46219</v>
      </c>
      <c r="F653" t="inlineStr">
        <is>
          <t>VÄRMLANDS LÄN</t>
        </is>
      </c>
      <c r="G653" t="inlineStr">
        <is>
          <t>SUNNE</t>
        </is>
      </c>
      <c r="I653" t="n">
        <v>3.7</v>
      </c>
      <c r="J653" t="n">
        <v>0</v>
      </c>
      <c r="K653" t="n">
        <v>0</v>
      </c>
      <c r="L653" t="n">
        <v>0</v>
      </c>
      <c r="M653" t="n">
        <v>0</v>
      </c>
      <c r="N653" t="n">
        <v>0</v>
      </c>
      <c r="O653" t="n">
        <v>0</v>
      </c>
      <c r="P653" t="n">
        <v>0</v>
      </c>
      <c r="Q653" t="n">
        <v>0</v>
      </c>
      <c r="R653" t="n">
        <v>0</v>
      </c>
      <c r="S653" t="n">
        <v>0</v>
      </c>
      <c r="T653" t="n">
        <v>0</v>
      </c>
      <c r="U653" s="2" t="inlineStr"/>
    </row>
    <row r="654" ht="15" customHeight="1">
      <c r="A654" t="inlineStr">
        <is>
          <t>A 15172-2022</t>
        </is>
      </c>
      <c r="B654" t="inlineStr">
        <is>
          <t>avverkningsanmälan</t>
        </is>
      </c>
      <c r="C654" t="inlineStr">
        <is>
          <t>Föryngringsavverkning</t>
        </is>
      </c>
      <c r="D654" s="1" t="n">
        <v>44658</v>
      </c>
      <c r="E654" s="1" t="n">
        <v>46219</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s="2" t="inlineStr"/>
    </row>
    <row r="655" ht="15" customHeight="1">
      <c r="A655" t="inlineStr">
        <is>
          <t>A 24415-2026</t>
        </is>
      </c>
      <c r="B655" t="inlineStr">
        <is>
          <t>avverkningsanmälan</t>
        </is>
      </c>
      <c r="C655" t="inlineStr">
        <is>
          <t>Föryngringsavverkning</t>
        </is>
      </c>
      <c r="D655" s="1" t="n">
        <v>46169</v>
      </c>
      <c r="E655" s="1" t="n">
        <v>46219</v>
      </c>
      <c r="F655" t="inlineStr">
        <is>
          <t>VÄRMLANDS LÄN</t>
        </is>
      </c>
      <c r="G655" t="inlineStr">
        <is>
          <t>SUNNE</t>
        </is>
      </c>
      <c r="I655" t="n">
        <v>16.1</v>
      </c>
      <c r="J655" t="n">
        <v>0</v>
      </c>
      <c r="K655" t="n">
        <v>0</v>
      </c>
      <c r="L655" t="n">
        <v>0</v>
      </c>
      <c r="M655" t="n">
        <v>0</v>
      </c>
      <c r="N655" t="n">
        <v>0</v>
      </c>
      <c r="O655" t="n">
        <v>0</v>
      </c>
      <c r="P655" t="n">
        <v>0</v>
      </c>
      <c r="Q655" t="n">
        <v>0</v>
      </c>
      <c r="R655" t="n">
        <v>0</v>
      </c>
      <c r="S655" t="n">
        <v>0</v>
      </c>
      <c r="T655" t="n">
        <v>0</v>
      </c>
      <c r="U655" s="2" t="inlineStr"/>
    </row>
    <row r="656" ht="15" customHeight="1">
      <c r="A656" t="inlineStr">
        <is>
          <t>A 24341-2026</t>
        </is>
      </c>
      <c r="B656" t="inlineStr">
        <is>
          <t>avverkningsanmälan</t>
        </is>
      </c>
      <c r="C656" t="inlineStr">
        <is>
          <t>Föryngringsavverkning</t>
        </is>
      </c>
      <c r="D656" s="1" t="n">
        <v>46169</v>
      </c>
      <c r="E656" s="1" t="n">
        <v>46219</v>
      </c>
      <c r="F656" t="inlineStr">
        <is>
          <t>VÄRMLANDS LÄN</t>
        </is>
      </c>
      <c r="G656" t="inlineStr">
        <is>
          <t>SUNNE</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4536-2023</t>
        </is>
      </c>
      <c r="B657" t="inlineStr">
        <is>
          <t>avverkningsanmälan</t>
        </is>
      </c>
      <c r="C657" t="inlineStr">
        <is>
          <t>Föryngringsavverkning</t>
        </is>
      </c>
      <c r="D657" s="1" t="n">
        <v>44956</v>
      </c>
      <c r="E657" s="1" t="n">
        <v>46219</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s="2" t="inlineStr"/>
    </row>
    <row r="658" ht="15" customHeight="1">
      <c r="A658" t="inlineStr">
        <is>
          <t>A 73050-2021</t>
        </is>
      </c>
      <c r="B658" t="inlineStr">
        <is>
          <t>avverkningsanmälan</t>
        </is>
      </c>
      <c r="C658" t="inlineStr">
        <is>
          <t>Föryngringsavverkning</t>
        </is>
      </c>
      <c r="D658" s="1" t="n">
        <v>44550</v>
      </c>
      <c r="E658" s="1" t="n">
        <v>46219</v>
      </c>
      <c r="F658" t="inlineStr">
        <is>
          <t>VÄRMLANDS LÄN</t>
        </is>
      </c>
      <c r="G658" t="inlineStr">
        <is>
          <t>SUNNE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57303-2025</t>
        </is>
      </c>
      <c r="B659" t="inlineStr">
        <is>
          <t>avverkningsanmälan</t>
        </is>
      </c>
      <c r="C659" t="inlineStr">
        <is>
          <t>Föryngringsavverkning</t>
        </is>
      </c>
      <c r="D659" s="1" t="n">
        <v>45979</v>
      </c>
      <c r="E659" s="1" t="n">
        <v>46219</v>
      </c>
      <c r="F659" t="inlineStr">
        <is>
          <t>VÄRMLANDS LÄN</t>
        </is>
      </c>
      <c r="G659" t="inlineStr">
        <is>
          <t>SUNNE</t>
        </is>
      </c>
      <c r="H659" t="inlineStr">
        <is>
          <t>Kyrkan</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24251-2026</t>
        </is>
      </c>
      <c r="B660" t="inlineStr">
        <is>
          <t>avverkningsanmälan</t>
        </is>
      </c>
      <c r="C660" t="inlineStr">
        <is>
          <t>Avverkning för annat ändamål</t>
        </is>
      </c>
      <c r="D660" s="1" t="n">
        <v>46168</v>
      </c>
      <c r="E660" s="1" t="n">
        <v>46219</v>
      </c>
      <c r="F660" t="inlineStr">
        <is>
          <t>VÄRMLANDS LÄN</t>
        </is>
      </c>
      <c r="G660" t="inlineStr">
        <is>
          <t>SUNNE</t>
        </is>
      </c>
      <c r="I660" t="n">
        <v>0.3</v>
      </c>
      <c r="J660" t="n">
        <v>0</v>
      </c>
      <c r="K660" t="n">
        <v>0</v>
      </c>
      <c r="L660" t="n">
        <v>0</v>
      </c>
      <c r="M660" t="n">
        <v>0</v>
      </c>
      <c r="N660" t="n">
        <v>0</v>
      </c>
      <c r="O660" t="n">
        <v>0</v>
      </c>
      <c r="P660" t="n">
        <v>0</v>
      </c>
      <c r="Q660" t="n">
        <v>0</v>
      </c>
      <c r="R660" t="n">
        <v>0</v>
      </c>
      <c r="S660" t="n">
        <v>0</v>
      </c>
      <c r="T660" t="n">
        <v>0</v>
      </c>
      <c r="U660" s="2" t="inlineStr"/>
    </row>
    <row r="661" ht="15" customHeight="1">
      <c r="A661" t="inlineStr">
        <is>
          <t>A 16896-2024</t>
        </is>
      </c>
      <c r="B661" t="inlineStr">
        <is>
          <t>avverkningsanmälan</t>
        </is>
      </c>
      <c r="C661" t="inlineStr">
        <is>
          <t>Föryngringsavverkning</t>
        </is>
      </c>
      <c r="D661" s="1" t="n">
        <v>45411</v>
      </c>
      <c r="E661" s="1" t="n">
        <v>46219</v>
      </c>
      <c r="F661" t="inlineStr">
        <is>
          <t>VÄRMLANDS LÄN</t>
        </is>
      </c>
      <c r="G661" t="inlineStr">
        <is>
          <t>SUNNE</t>
        </is>
      </c>
      <c r="H661" t="inlineStr">
        <is>
          <t>Bergvik skog väst AB</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9173-2023</t>
        </is>
      </c>
      <c r="B662" t="inlineStr">
        <is>
          <t>avverkningsanmälan</t>
        </is>
      </c>
      <c r="C662" t="inlineStr">
        <is>
          <t>Föryngringsavverkning</t>
        </is>
      </c>
      <c r="D662" s="1" t="n">
        <v>44980</v>
      </c>
      <c r="E662" s="1" t="n">
        <v>46219</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24411-2026</t>
        </is>
      </c>
      <c r="B663" t="inlineStr">
        <is>
          <t>avverkningsanmälan</t>
        </is>
      </c>
      <c r="C663" t="inlineStr">
        <is>
          <t>Föryngringsavverkning</t>
        </is>
      </c>
      <c r="D663" s="1" t="n">
        <v>46169</v>
      </c>
      <c r="E663" s="1" t="n">
        <v>46219</v>
      </c>
      <c r="F663" t="inlineStr">
        <is>
          <t>VÄRMLANDS LÄN</t>
        </is>
      </c>
      <c r="G663" t="inlineStr">
        <is>
          <t>SUNNE</t>
        </is>
      </c>
      <c r="H663" t="inlineStr">
        <is>
          <t>Bergvik skog väst AB</t>
        </is>
      </c>
      <c r="I663" t="n">
        <v>9.1</v>
      </c>
      <c r="J663" t="n">
        <v>0</v>
      </c>
      <c r="K663" t="n">
        <v>0</v>
      </c>
      <c r="L663" t="n">
        <v>0</v>
      </c>
      <c r="M663" t="n">
        <v>0</v>
      </c>
      <c r="N663" t="n">
        <v>0</v>
      </c>
      <c r="O663" t="n">
        <v>0</v>
      </c>
      <c r="P663" t="n">
        <v>0</v>
      </c>
      <c r="Q663" t="n">
        <v>0</v>
      </c>
      <c r="R663" t="n">
        <v>0</v>
      </c>
      <c r="S663" t="n">
        <v>0</v>
      </c>
      <c r="T663" t="n">
        <v>0</v>
      </c>
      <c r="U663" s="2" t="inlineStr"/>
    </row>
    <row r="664" ht="15" customHeight="1">
      <c r="A664" t="inlineStr">
        <is>
          <t>A 57306-2025</t>
        </is>
      </c>
      <c r="B664" t="inlineStr">
        <is>
          <t>avverkningsanmälan</t>
        </is>
      </c>
      <c r="C664" t="inlineStr">
        <is>
          <t>Föryngringsavverkning</t>
        </is>
      </c>
      <c r="D664" s="1" t="n">
        <v>45979</v>
      </c>
      <c r="E664" s="1" t="n">
        <v>46219</v>
      </c>
      <c r="F664" t="inlineStr">
        <is>
          <t>VÄRMLANDS LÄN</t>
        </is>
      </c>
      <c r="G664" t="inlineStr">
        <is>
          <t>SUNNE</t>
        </is>
      </c>
      <c r="H664" t="inlineStr">
        <is>
          <t>Kyrkan</t>
        </is>
      </c>
      <c r="I664" t="n">
        <v>1.8</v>
      </c>
      <c r="J664" t="n">
        <v>0</v>
      </c>
      <c r="K664" t="n">
        <v>0</v>
      </c>
      <c r="L664" t="n">
        <v>0</v>
      </c>
      <c r="M664" t="n">
        <v>0</v>
      </c>
      <c r="N664" t="n">
        <v>0</v>
      </c>
      <c r="O664" t="n">
        <v>0</v>
      </c>
      <c r="P664" t="n">
        <v>0</v>
      </c>
      <c r="Q664" t="n">
        <v>0</v>
      </c>
      <c r="R664" t="n">
        <v>0</v>
      </c>
      <c r="S664" t="n">
        <v>0</v>
      </c>
      <c r="T664" t="n">
        <v>0</v>
      </c>
      <c r="U664" s="2" t="inlineStr"/>
    </row>
    <row r="665" ht="15" customHeight="1">
      <c r="A665" t="inlineStr">
        <is>
          <t>A 14378-2022</t>
        </is>
      </c>
      <c r="B665" t="inlineStr">
        <is>
          <t>avverkningsanmälan</t>
        </is>
      </c>
      <c r="C665" t="inlineStr">
        <is>
          <t>Föryngringsavverkning</t>
        </is>
      </c>
      <c r="D665" s="1" t="n">
        <v>44652</v>
      </c>
      <c r="E665" s="1" t="n">
        <v>46219</v>
      </c>
      <c r="F665" t="inlineStr">
        <is>
          <t>VÄRMLANDS LÄN</t>
        </is>
      </c>
      <c r="G665" t="inlineStr">
        <is>
          <t>SUNNE</t>
        </is>
      </c>
      <c r="I665" t="n">
        <v>3</v>
      </c>
      <c r="J665" t="n">
        <v>0</v>
      </c>
      <c r="K665" t="n">
        <v>0</v>
      </c>
      <c r="L665" t="n">
        <v>0</v>
      </c>
      <c r="M665" t="n">
        <v>0</v>
      </c>
      <c r="N665" t="n">
        <v>0</v>
      </c>
      <c r="O665" t="n">
        <v>0</v>
      </c>
      <c r="P665" t="n">
        <v>0</v>
      </c>
      <c r="Q665" t="n">
        <v>0</v>
      </c>
      <c r="R665" t="n">
        <v>0</v>
      </c>
      <c r="S665" t="n">
        <v>0</v>
      </c>
      <c r="T665" t="n">
        <v>0</v>
      </c>
      <c r="U665" s="2" t="inlineStr"/>
    </row>
    <row r="666" ht="15" customHeight="1">
      <c r="A666" t="inlineStr">
        <is>
          <t>A 30207-2023</t>
        </is>
      </c>
      <c r="B666" t="inlineStr">
        <is>
          <t>avverkningsanmälan</t>
        </is>
      </c>
      <c r="C666" t="inlineStr">
        <is>
          <t>Föryngringsavverkning</t>
        </is>
      </c>
      <c r="D666" s="1" t="n">
        <v>45110</v>
      </c>
      <c r="E666" s="1" t="n">
        <v>46219</v>
      </c>
      <c r="F666" t="inlineStr">
        <is>
          <t>VÄRMLANDS LÄN</t>
        </is>
      </c>
      <c r="G666" t="inlineStr">
        <is>
          <t>SUNNE</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50353-2023</t>
        </is>
      </c>
      <c r="B667" t="inlineStr">
        <is>
          <t>avverkningsanmälan</t>
        </is>
      </c>
      <c r="C667" t="inlineStr">
        <is>
          <t>Föryngringsavverkning</t>
        </is>
      </c>
      <c r="D667" s="1" t="n">
        <v>45216</v>
      </c>
      <c r="E667" s="1" t="n">
        <v>46219</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16492-2023</t>
        </is>
      </c>
      <c r="B668" t="inlineStr">
        <is>
          <t>avverkningsanmälan</t>
        </is>
      </c>
      <c r="C668" t="inlineStr">
        <is>
          <t>Föryngringsavverkning</t>
        </is>
      </c>
      <c r="D668" s="1" t="n">
        <v>45029</v>
      </c>
      <c r="E668" s="1" t="n">
        <v>46219</v>
      </c>
      <c r="F668" t="inlineStr">
        <is>
          <t>VÄRMLANDS LÄN</t>
        </is>
      </c>
      <c r="G668" t="inlineStr">
        <is>
          <t>SUNNE</t>
        </is>
      </c>
      <c r="I668" t="n">
        <v>2.8</v>
      </c>
      <c r="J668" t="n">
        <v>0</v>
      </c>
      <c r="K668" t="n">
        <v>0</v>
      </c>
      <c r="L668" t="n">
        <v>0</v>
      </c>
      <c r="M668" t="n">
        <v>0</v>
      </c>
      <c r="N668" t="n">
        <v>0</v>
      </c>
      <c r="O668" t="n">
        <v>0</v>
      </c>
      <c r="P668" t="n">
        <v>0</v>
      </c>
      <c r="Q668" t="n">
        <v>0</v>
      </c>
      <c r="R668" t="n">
        <v>0</v>
      </c>
      <c r="S668" t="n">
        <v>0</v>
      </c>
      <c r="T668" t="n">
        <v>0</v>
      </c>
      <c r="U668" s="2" t="inlineStr"/>
    </row>
    <row r="669" ht="15" customHeight="1">
      <c r="A669" t="inlineStr">
        <is>
          <t>A 24314-2026</t>
        </is>
      </c>
      <c r="B669" t="inlineStr">
        <is>
          <t>avverkningsanmälan</t>
        </is>
      </c>
      <c r="C669" t="inlineStr">
        <is>
          <t>Föryngringsavverkning</t>
        </is>
      </c>
      <c r="D669" s="1" t="n">
        <v>46169</v>
      </c>
      <c r="E669" s="1" t="n">
        <v>46219</v>
      </c>
      <c r="F669" t="inlineStr">
        <is>
          <t>VÄRMLANDS LÄN</t>
        </is>
      </c>
      <c r="G669" t="inlineStr">
        <is>
          <t>SUNNE</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43089-2022</t>
        </is>
      </c>
      <c r="B670" t="inlineStr">
        <is>
          <t>avverkningsanmälan</t>
        </is>
      </c>
      <c r="C670" t="inlineStr">
        <is>
          <t>Föryngringsavverkning</t>
        </is>
      </c>
      <c r="D670" s="1" t="n">
        <v>44833</v>
      </c>
      <c r="E670" s="1" t="n">
        <v>46219</v>
      </c>
      <c r="F670" t="inlineStr">
        <is>
          <t>VÄRMLANDS LÄN</t>
        </is>
      </c>
      <c r="G670" t="inlineStr">
        <is>
          <t>SUNNE</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36926-2024</t>
        </is>
      </c>
      <c r="B671" t="inlineStr">
        <is>
          <t>avverkningsanmälan</t>
        </is>
      </c>
      <c r="C671" t="inlineStr">
        <is>
          <t>Föryngringsavverkning</t>
        </is>
      </c>
      <c r="D671" s="1" t="n">
        <v>45538</v>
      </c>
      <c r="E671" s="1" t="n">
        <v>46219</v>
      </c>
      <c r="F671" t="inlineStr">
        <is>
          <t>VÄRMLANDS LÄN</t>
        </is>
      </c>
      <c r="G671" t="inlineStr">
        <is>
          <t>SUNNE</t>
        </is>
      </c>
      <c r="I671" t="n">
        <v>0.9</v>
      </c>
      <c r="J671" t="n">
        <v>0</v>
      </c>
      <c r="K671" t="n">
        <v>0</v>
      </c>
      <c r="L671" t="n">
        <v>0</v>
      </c>
      <c r="M671" t="n">
        <v>0</v>
      </c>
      <c r="N671" t="n">
        <v>0</v>
      </c>
      <c r="O671" t="n">
        <v>0</v>
      </c>
      <c r="P671" t="n">
        <v>0</v>
      </c>
      <c r="Q671" t="n">
        <v>0</v>
      </c>
      <c r="R671" t="n">
        <v>0</v>
      </c>
      <c r="S671" t="n">
        <v>0</v>
      </c>
      <c r="T671" t="n">
        <v>0</v>
      </c>
      <c r="U671" s="2" t="inlineStr"/>
    </row>
    <row r="672" ht="15" customHeight="1">
      <c r="A672" t="inlineStr">
        <is>
          <t>A 60880-2024</t>
        </is>
      </c>
      <c r="B672" t="inlineStr">
        <is>
          <t>avverkningsanmälan</t>
        </is>
      </c>
      <c r="C672" t="inlineStr">
        <is>
          <t>Föryngringsavverkning</t>
        </is>
      </c>
      <c r="D672" s="1" t="n">
        <v>45644</v>
      </c>
      <c r="E672" s="1" t="n">
        <v>46219</v>
      </c>
      <c r="F672" t="inlineStr">
        <is>
          <t>VÄRMLANDS LÄN</t>
        </is>
      </c>
      <c r="G672" t="inlineStr">
        <is>
          <t>SUNNE</t>
        </is>
      </c>
      <c r="I672" t="n">
        <v>13.5</v>
      </c>
      <c r="J672" t="n">
        <v>0</v>
      </c>
      <c r="K672" t="n">
        <v>0</v>
      </c>
      <c r="L672" t="n">
        <v>0</v>
      </c>
      <c r="M672" t="n">
        <v>0</v>
      </c>
      <c r="N672" t="n">
        <v>0</v>
      </c>
      <c r="O672" t="n">
        <v>0</v>
      </c>
      <c r="P672" t="n">
        <v>0</v>
      </c>
      <c r="Q672" t="n">
        <v>0</v>
      </c>
      <c r="R672" t="n">
        <v>0</v>
      </c>
      <c r="S672" t="n">
        <v>0</v>
      </c>
      <c r="T672" t="n">
        <v>0</v>
      </c>
      <c r="U672" s="2" t="inlineStr"/>
    </row>
    <row r="673" ht="15" customHeight="1">
      <c r="A673" t="inlineStr">
        <is>
          <t>A 11427-2022</t>
        </is>
      </c>
      <c r="B673" t="inlineStr">
        <is>
          <t>avverkningsanmälan</t>
        </is>
      </c>
      <c r="C673" t="inlineStr">
        <is>
          <t>Föryngringsavverkning</t>
        </is>
      </c>
      <c r="D673" s="1" t="n">
        <v>44630</v>
      </c>
      <c r="E673" s="1" t="n">
        <v>46219</v>
      </c>
      <c r="F673" t="inlineStr">
        <is>
          <t>VÄRMLANDS LÄN</t>
        </is>
      </c>
      <c r="G673" t="inlineStr">
        <is>
          <t>SUNNE</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10394-2024</t>
        </is>
      </c>
      <c r="B674" t="inlineStr">
        <is>
          <t>avverkningsanmälan</t>
        </is>
      </c>
      <c r="C674" t="inlineStr">
        <is>
          <t>Föryngringsavverkning</t>
        </is>
      </c>
      <c r="D674" s="1" t="n">
        <v>45365</v>
      </c>
      <c r="E674" s="1" t="n">
        <v>46219</v>
      </c>
      <c r="F674" t="inlineStr">
        <is>
          <t>VÄRMLANDS LÄN</t>
        </is>
      </c>
      <c r="G674" t="inlineStr">
        <is>
          <t>SUNNE</t>
        </is>
      </c>
      <c r="I674" t="n">
        <v>1.9</v>
      </c>
      <c r="J674" t="n">
        <v>0</v>
      </c>
      <c r="K674" t="n">
        <v>0</v>
      </c>
      <c r="L674" t="n">
        <v>0</v>
      </c>
      <c r="M674" t="n">
        <v>0</v>
      </c>
      <c r="N674" t="n">
        <v>0</v>
      </c>
      <c r="O674" t="n">
        <v>0</v>
      </c>
      <c r="P674" t="n">
        <v>0</v>
      </c>
      <c r="Q674" t="n">
        <v>0</v>
      </c>
      <c r="R674" t="n">
        <v>0</v>
      </c>
      <c r="S674" t="n">
        <v>0</v>
      </c>
      <c r="T674" t="n">
        <v>0</v>
      </c>
      <c r="U674" s="2" t="inlineStr"/>
    </row>
    <row r="675" ht="15" customHeight="1">
      <c r="A675" t="inlineStr">
        <is>
          <t>A 6641-2024</t>
        </is>
      </c>
      <c r="B675" t="inlineStr">
        <is>
          <t>avverkningsanmälan</t>
        </is>
      </c>
      <c r="C675" t="inlineStr">
        <is>
          <t>Föryngringsavverkning</t>
        </is>
      </c>
      <c r="D675" s="1" t="n">
        <v>45341</v>
      </c>
      <c r="E675" s="1" t="n">
        <v>46219</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58180-2025</t>
        </is>
      </c>
      <c r="B676" t="inlineStr">
        <is>
          <t>avverkningsanmälan</t>
        </is>
      </c>
      <c r="C676" t="inlineStr">
        <is>
          <t>Föryngringsavverkning</t>
        </is>
      </c>
      <c r="D676" s="1" t="n">
        <v>45982</v>
      </c>
      <c r="E676" s="1" t="n">
        <v>46219</v>
      </c>
      <c r="F676" t="inlineStr">
        <is>
          <t>VÄRMLANDS LÄN</t>
        </is>
      </c>
      <c r="G676" t="inlineStr">
        <is>
          <t>SUNNE</t>
        </is>
      </c>
      <c r="I676" t="n">
        <v>3.7</v>
      </c>
      <c r="J676" t="n">
        <v>0</v>
      </c>
      <c r="K676" t="n">
        <v>0</v>
      </c>
      <c r="L676" t="n">
        <v>0</v>
      </c>
      <c r="M676" t="n">
        <v>0</v>
      </c>
      <c r="N676" t="n">
        <v>0</v>
      </c>
      <c r="O676" t="n">
        <v>0</v>
      </c>
      <c r="P676" t="n">
        <v>0</v>
      </c>
      <c r="Q676" t="n">
        <v>0</v>
      </c>
      <c r="R676" t="n">
        <v>0</v>
      </c>
      <c r="S676" t="n">
        <v>0</v>
      </c>
      <c r="T676" t="n">
        <v>0</v>
      </c>
      <c r="U676" s="2" t="inlineStr"/>
    </row>
    <row r="677" ht="15" customHeight="1">
      <c r="A677" t="inlineStr">
        <is>
          <t>A 57902-2025</t>
        </is>
      </c>
      <c r="B677" t="inlineStr">
        <is>
          <t>avverkningsanmälan</t>
        </is>
      </c>
      <c r="C677" t="inlineStr">
        <is>
          <t>Föryngringsavverkning</t>
        </is>
      </c>
      <c r="D677" s="1" t="n">
        <v>45981</v>
      </c>
      <c r="E677" s="1" t="n">
        <v>46219</v>
      </c>
      <c r="F677" t="inlineStr">
        <is>
          <t>VÄRMLANDS LÄN</t>
        </is>
      </c>
      <c r="G677" t="inlineStr">
        <is>
          <t>SUNNE</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58178-2025</t>
        </is>
      </c>
      <c r="B678" t="inlineStr">
        <is>
          <t>avverkningsanmälan</t>
        </is>
      </c>
      <c r="C678" t="inlineStr">
        <is>
          <t>Föryngringsavverkning</t>
        </is>
      </c>
      <c r="D678" s="1" t="n">
        <v>45982</v>
      </c>
      <c r="E678" s="1" t="n">
        <v>46219</v>
      </c>
      <c r="F678" t="inlineStr">
        <is>
          <t>VÄRMLANDS LÄN</t>
        </is>
      </c>
      <c r="G678" t="inlineStr">
        <is>
          <t>SUNNE</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58009-2025</t>
        </is>
      </c>
      <c r="B679" t="inlineStr">
        <is>
          <t>avverkningsanmälan</t>
        </is>
      </c>
      <c r="C679" t="inlineStr">
        <is>
          <t>Föryngringsavverkning</t>
        </is>
      </c>
      <c r="D679" s="1" t="n">
        <v>45982</v>
      </c>
      <c r="E679" s="1" t="n">
        <v>46219</v>
      </c>
      <c r="F679" t="inlineStr">
        <is>
          <t>VÄRMLANDS LÄN</t>
        </is>
      </c>
      <c r="G679" t="inlineStr">
        <is>
          <t>SUNNE</t>
        </is>
      </c>
      <c r="H679" t="inlineStr">
        <is>
          <t>Övriga Aktiebolag</t>
        </is>
      </c>
      <c r="I679" t="n">
        <v>6.7</v>
      </c>
      <c r="J679" t="n">
        <v>0</v>
      </c>
      <c r="K679" t="n">
        <v>0</v>
      </c>
      <c r="L679" t="n">
        <v>0</v>
      </c>
      <c r="M679" t="n">
        <v>0</v>
      </c>
      <c r="N679" t="n">
        <v>0</v>
      </c>
      <c r="O679" t="n">
        <v>0</v>
      </c>
      <c r="P679" t="n">
        <v>0</v>
      </c>
      <c r="Q679" t="n">
        <v>0</v>
      </c>
      <c r="R679" t="n">
        <v>0</v>
      </c>
      <c r="S679" t="n">
        <v>0</v>
      </c>
      <c r="T679" t="n">
        <v>0</v>
      </c>
      <c r="U679" s="2" t="inlineStr"/>
    </row>
    <row r="680" ht="15" customHeight="1">
      <c r="A680" t="inlineStr">
        <is>
          <t>A 58421-2025</t>
        </is>
      </c>
      <c r="B680" t="inlineStr">
        <is>
          <t>avverkningsanmälan</t>
        </is>
      </c>
      <c r="C680" t="inlineStr">
        <is>
          <t>Föryngringsavverkning</t>
        </is>
      </c>
      <c r="D680" s="1" t="n">
        <v>45985</v>
      </c>
      <c r="E680" s="1" t="n">
        <v>46219</v>
      </c>
      <c r="F680" t="inlineStr">
        <is>
          <t>VÄRMLANDS LÄN</t>
        </is>
      </c>
      <c r="G680" t="inlineStr">
        <is>
          <t>SUNNE</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18183-2023</t>
        </is>
      </c>
      <c r="B681" t="inlineStr">
        <is>
          <t>avverkningsanmälan</t>
        </is>
      </c>
      <c r="C681" t="inlineStr">
        <is>
          <t>Föryngringsavverkning</t>
        </is>
      </c>
      <c r="D681" s="1" t="n">
        <v>45041</v>
      </c>
      <c r="E681" s="1" t="n">
        <v>46219</v>
      </c>
      <c r="F681" t="inlineStr">
        <is>
          <t>VÄRMLANDS LÄN</t>
        </is>
      </c>
      <c r="G681" t="inlineStr">
        <is>
          <t>SUNNE</t>
        </is>
      </c>
      <c r="I681" t="n">
        <v>1</v>
      </c>
      <c r="J681" t="n">
        <v>0</v>
      </c>
      <c r="K681" t="n">
        <v>0</v>
      </c>
      <c r="L681" t="n">
        <v>0</v>
      </c>
      <c r="M681" t="n">
        <v>0</v>
      </c>
      <c r="N681" t="n">
        <v>0</v>
      </c>
      <c r="O681" t="n">
        <v>0</v>
      </c>
      <c r="P681" t="n">
        <v>0</v>
      </c>
      <c r="Q681" t="n">
        <v>0</v>
      </c>
      <c r="R681" t="n">
        <v>0</v>
      </c>
      <c r="S681" t="n">
        <v>0</v>
      </c>
      <c r="T681" t="n">
        <v>0</v>
      </c>
      <c r="U681" s="2" t="inlineStr"/>
    </row>
    <row r="682" ht="15" customHeight="1">
      <c r="A682" t="inlineStr">
        <is>
          <t>A 23038-2026</t>
        </is>
      </c>
      <c r="B682" t="inlineStr">
        <is>
          <t>avverkningsanmälan</t>
        </is>
      </c>
      <c r="C682" t="inlineStr">
        <is>
          <t>Föryngringsavverkning</t>
        </is>
      </c>
      <c r="D682" s="1" t="n">
        <v>46161</v>
      </c>
      <c r="E682" s="1" t="n">
        <v>46219</v>
      </c>
      <c r="F682" t="inlineStr">
        <is>
          <t>VÄRMLANDS LÄN</t>
        </is>
      </c>
      <c r="G682" t="inlineStr">
        <is>
          <t>SUNNE</t>
        </is>
      </c>
      <c r="I682" t="n">
        <v>5.9</v>
      </c>
      <c r="J682" t="n">
        <v>0</v>
      </c>
      <c r="K682" t="n">
        <v>0</v>
      </c>
      <c r="L682" t="n">
        <v>0</v>
      </c>
      <c r="M682" t="n">
        <v>0</v>
      </c>
      <c r="N682" t="n">
        <v>0</v>
      </c>
      <c r="O682" t="n">
        <v>0</v>
      </c>
      <c r="P682" t="n">
        <v>0</v>
      </c>
      <c r="Q682" t="n">
        <v>0</v>
      </c>
      <c r="R682" t="n">
        <v>0</v>
      </c>
      <c r="S682" t="n">
        <v>0</v>
      </c>
      <c r="T682" t="n">
        <v>0</v>
      </c>
      <c r="U682" s="2" t="inlineStr"/>
    </row>
    <row r="683" ht="15" customHeight="1">
      <c r="A683" t="inlineStr">
        <is>
          <t>A 32572-2024</t>
        </is>
      </c>
      <c r="B683" t="inlineStr">
        <is>
          <t>avverkningsanmälan</t>
        </is>
      </c>
      <c r="C683" t="inlineStr">
        <is>
          <t>Föryngringsavverkning</t>
        </is>
      </c>
      <c r="D683" s="1" t="n">
        <v>45513</v>
      </c>
      <c r="E683" s="1" t="n">
        <v>46219</v>
      </c>
      <c r="F683" t="inlineStr">
        <is>
          <t>VÄRMLANDS LÄN</t>
        </is>
      </c>
      <c r="G683" t="inlineStr">
        <is>
          <t>SUNNE</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58301-2025</t>
        </is>
      </c>
      <c r="B684" t="inlineStr">
        <is>
          <t>avverkningsanmälan</t>
        </is>
      </c>
      <c r="C684" t="inlineStr">
        <is>
          <t>Föryngringsavverkning</t>
        </is>
      </c>
      <c r="D684" s="1" t="n">
        <v>45985</v>
      </c>
      <c r="E684" s="1" t="n">
        <v>46219</v>
      </c>
      <c r="F684" t="inlineStr">
        <is>
          <t>VÄRMLANDS LÄN</t>
        </is>
      </c>
      <c r="G684" t="inlineStr">
        <is>
          <t>SUNNE</t>
        </is>
      </c>
      <c r="I684" t="n">
        <v>2.4</v>
      </c>
      <c r="J684" t="n">
        <v>0</v>
      </c>
      <c r="K684" t="n">
        <v>0</v>
      </c>
      <c r="L684" t="n">
        <v>0</v>
      </c>
      <c r="M684" t="n">
        <v>0</v>
      </c>
      <c r="N684" t="n">
        <v>0</v>
      </c>
      <c r="O684" t="n">
        <v>0</v>
      </c>
      <c r="P684" t="n">
        <v>0</v>
      </c>
      <c r="Q684" t="n">
        <v>0</v>
      </c>
      <c r="R684" t="n">
        <v>0</v>
      </c>
      <c r="S684" t="n">
        <v>0</v>
      </c>
      <c r="T684" t="n">
        <v>0</v>
      </c>
      <c r="U684" s="2" t="inlineStr"/>
    </row>
    <row r="685" ht="15" customHeight="1">
      <c r="A685" t="inlineStr">
        <is>
          <t>A 17358-2023</t>
        </is>
      </c>
      <c r="B685" t="inlineStr">
        <is>
          <t>avverkningsanmälan</t>
        </is>
      </c>
      <c r="C685" t="inlineStr">
        <is>
          <t>Föryngringsavverkning</t>
        </is>
      </c>
      <c r="D685" s="1" t="n">
        <v>45035</v>
      </c>
      <c r="E685" s="1" t="n">
        <v>46219</v>
      </c>
      <c r="F685" t="inlineStr">
        <is>
          <t>VÄRMLANDS LÄN</t>
        </is>
      </c>
      <c r="G685" t="inlineStr">
        <is>
          <t>SUNNE</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4492-2023</t>
        </is>
      </c>
      <c r="B686" t="inlineStr">
        <is>
          <t>avverkningsanmälan</t>
        </is>
      </c>
      <c r="C686" t="inlineStr">
        <is>
          <t>Föryngringsavverkning</t>
        </is>
      </c>
      <c r="D686" s="1" t="n">
        <v>44956</v>
      </c>
      <c r="E686" s="1" t="n">
        <v>46219</v>
      </c>
      <c r="F686" t="inlineStr">
        <is>
          <t>VÄRMLANDS LÄN</t>
        </is>
      </c>
      <c r="G686" t="inlineStr">
        <is>
          <t>SUNNE</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15752-2025</t>
        </is>
      </c>
      <c r="B687" t="inlineStr">
        <is>
          <t>avverkningsanmälan</t>
        </is>
      </c>
      <c r="C687" t="inlineStr">
        <is>
          <t>Föryngringsavverkning</t>
        </is>
      </c>
      <c r="D687" s="1" t="n">
        <v>45748</v>
      </c>
      <c r="E687" s="1" t="n">
        <v>46219</v>
      </c>
      <c r="F687" t="inlineStr">
        <is>
          <t>VÄRMLANDS LÄN</t>
        </is>
      </c>
      <c r="G687" t="inlineStr">
        <is>
          <t>SUNNE</t>
        </is>
      </c>
      <c r="I687" t="n">
        <v>1.1</v>
      </c>
      <c r="J687" t="n">
        <v>0</v>
      </c>
      <c r="K687" t="n">
        <v>0</v>
      </c>
      <c r="L687" t="n">
        <v>0</v>
      </c>
      <c r="M687" t="n">
        <v>0</v>
      </c>
      <c r="N687" t="n">
        <v>0</v>
      </c>
      <c r="O687" t="n">
        <v>0</v>
      </c>
      <c r="P687" t="n">
        <v>0</v>
      </c>
      <c r="Q687" t="n">
        <v>0</v>
      </c>
      <c r="R687" t="n">
        <v>0</v>
      </c>
      <c r="S687" t="n">
        <v>0</v>
      </c>
      <c r="T687" t="n">
        <v>0</v>
      </c>
      <c r="U687" s="2" t="inlineStr"/>
    </row>
    <row r="688" ht="15" customHeight="1">
      <c r="A688" t="inlineStr">
        <is>
          <t>A 6037-2023</t>
        </is>
      </c>
      <c r="B688" t="inlineStr">
        <is>
          <t>avverkningsanmälan</t>
        </is>
      </c>
      <c r="C688" t="inlineStr">
        <is>
          <t>Föryngringsavverkning</t>
        </is>
      </c>
      <c r="D688" s="1" t="n">
        <v>44964</v>
      </c>
      <c r="E688" s="1" t="n">
        <v>46219</v>
      </c>
      <c r="F688" t="inlineStr">
        <is>
          <t>VÄRMLANDS LÄN</t>
        </is>
      </c>
      <c r="G688" t="inlineStr">
        <is>
          <t>SUNNE</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46147-2023</t>
        </is>
      </c>
      <c r="B689" t="inlineStr">
        <is>
          <t>avverkningsanmälan</t>
        </is>
      </c>
      <c r="C689" t="inlineStr">
        <is>
          <t>Föryngringsavverkning</t>
        </is>
      </c>
      <c r="D689" s="1" t="n">
        <v>45196</v>
      </c>
      <c r="E689" s="1" t="n">
        <v>46219</v>
      </c>
      <c r="F689" t="inlineStr">
        <is>
          <t>VÄRMLANDS LÄN</t>
        </is>
      </c>
      <c r="G689" t="inlineStr">
        <is>
          <t>SUNNE</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22964-2024</t>
        </is>
      </c>
      <c r="B690" t="inlineStr">
        <is>
          <t>avverkningsanmälan</t>
        </is>
      </c>
      <c r="C690" t="inlineStr">
        <is>
          <t>Föryngringsavverkning</t>
        </is>
      </c>
      <c r="D690" s="1" t="n">
        <v>45449</v>
      </c>
      <c r="E690" s="1" t="n">
        <v>46219</v>
      </c>
      <c r="F690" t="inlineStr">
        <is>
          <t>VÄRMLANDS LÄN</t>
        </is>
      </c>
      <c r="G690" t="inlineStr">
        <is>
          <t>SUNNE</t>
        </is>
      </c>
      <c r="I690" t="n">
        <v>4.1</v>
      </c>
      <c r="J690" t="n">
        <v>0</v>
      </c>
      <c r="K690" t="n">
        <v>0</v>
      </c>
      <c r="L690" t="n">
        <v>0</v>
      </c>
      <c r="M690" t="n">
        <v>0</v>
      </c>
      <c r="N690" t="n">
        <v>0</v>
      </c>
      <c r="O690" t="n">
        <v>0</v>
      </c>
      <c r="P690" t="n">
        <v>0</v>
      </c>
      <c r="Q690" t="n">
        <v>0</v>
      </c>
      <c r="R690" t="n">
        <v>0</v>
      </c>
      <c r="S690" t="n">
        <v>0</v>
      </c>
      <c r="T690" t="n">
        <v>0</v>
      </c>
      <c r="U690" s="2" t="inlineStr"/>
    </row>
    <row r="691" ht="15" customHeight="1">
      <c r="A691" t="inlineStr">
        <is>
          <t>A 58298-2025</t>
        </is>
      </c>
      <c r="B691" t="inlineStr">
        <is>
          <t>avverkningsanmälan</t>
        </is>
      </c>
      <c r="C691" t="inlineStr">
        <is>
          <t>Föryngringsavverkning</t>
        </is>
      </c>
      <c r="D691" s="1" t="n">
        <v>45985</v>
      </c>
      <c r="E691" s="1" t="n">
        <v>46219</v>
      </c>
      <c r="F691" t="inlineStr">
        <is>
          <t>VÄRMLANDS LÄN</t>
        </is>
      </c>
      <c r="G691" t="inlineStr">
        <is>
          <t>SUNNE</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24522-2026</t>
        </is>
      </c>
      <c r="B692" t="inlineStr">
        <is>
          <t>avverkningsanmälan</t>
        </is>
      </c>
      <c r="C692" t="inlineStr">
        <is>
          <t>Föryngringsavverkning</t>
        </is>
      </c>
      <c r="D692" s="1" t="n">
        <v>46170</v>
      </c>
      <c r="E692" s="1" t="n">
        <v>46219</v>
      </c>
      <c r="F692" t="inlineStr">
        <is>
          <t>VÄRMLANDS LÄN</t>
        </is>
      </c>
      <c r="G692" t="inlineStr">
        <is>
          <t>SUNNE</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24762-2026</t>
        </is>
      </c>
      <c r="B693" t="inlineStr">
        <is>
          <t>avverkningsanmälan</t>
        </is>
      </c>
      <c r="C693" t="inlineStr">
        <is>
          <t>Föryngringsavverkning</t>
        </is>
      </c>
      <c r="D693" s="1" t="n">
        <v>46171</v>
      </c>
      <c r="E693" s="1" t="n">
        <v>46219</v>
      </c>
      <c r="F693" t="inlineStr">
        <is>
          <t>VÄRMLANDS LÄN</t>
        </is>
      </c>
      <c r="G693" t="inlineStr">
        <is>
          <t>SUNNE</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24787-2026</t>
        </is>
      </c>
      <c r="B694" t="inlineStr">
        <is>
          <t>avverkningsanmälan</t>
        </is>
      </c>
      <c r="C694" t="inlineStr">
        <is>
          <t>Föryngringsavverkning</t>
        </is>
      </c>
      <c r="D694" s="1" t="n">
        <v>46171</v>
      </c>
      <c r="E694" s="1" t="n">
        <v>46219</v>
      </c>
      <c r="F694" t="inlineStr">
        <is>
          <t>VÄRMLANDS LÄN</t>
        </is>
      </c>
      <c r="G694" t="inlineStr">
        <is>
          <t>SUNNE</t>
        </is>
      </c>
      <c r="I694" t="n">
        <v>3.5</v>
      </c>
      <c r="J694" t="n">
        <v>0</v>
      </c>
      <c r="K694" t="n">
        <v>0</v>
      </c>
      <c r="L694" t="n">
        <v>0</v>
      </c>
      <c r="M694" t="n">
        <v>0</v>
      </c>
      <c r="N694" t="n">
        <v>0</v>
      </c>
      <c r="O694" t="n">
        <v>0</v>
      </c>
      <c r="P694" t="n">
        <v>0</v>
      </c>
      <c r="Q694" t="n">
        <v>0</v>
      </c>
      <c r="R694" t="n">
        <v>0</v>
      </c>
      <c r="S694" t="n">
        <v>0</v>
      </c>
      <c r="T694" t="n">
        <v>0</v>
      </c>
      <c r="U694" s="2" t="inlineStr"/>
    </row>
    <row r="695" ht="15" customHeight="1">
      <c r="A695" t="inlineStr">
        <is>
          <t>A 27727-2023</t>
        </is>
      </c>
      <c r="B695" t="inlineStr">
        <is>
          <t>avverkningsanmälan</t>
        </is>
      </c>
      <c r="C695" t="inlineStr">
        <is>
          <t>Föryngringsavverkning</t>
        </is>
      </c>
      <c r="D695" s="1" t="n">
        <v>45093</v>
      </c>
      <c r="E695" s="1" t="n">
        <v>46219</v>
      </c>
      <c r="F695" t="inlineStr">
        <is>
          <t>VÄRMLANDS LÄN</t>
        </is>
      </c>
      <c r="G695" t="inlineStr">
        <is>
          <t>SUNNE</t>
        </is>
      </c>
      <c r="I695" t="n">
        <v>1.6</v>
      </c>
      <c r="J695" t="n">
        <v>0</v>
      </c>
      <c r="K695" t="n">
        <v>0</v>
      </c>
      <c r="L695" t="n">
        <v>0</v>
      </c>
      <c r="M695" t="n">
        <v>0</v>
      </c>
      <c r="N695" t="n">
        <v>0</v>
      </c>
      <c r="O695" t="n">
        <v>0</v>
      </c>
      <c r="P695" t="n">
        <v>0</v>
      </c>
      <c r="Q695" t="n">
        <v>0</v>
      </c>
      <c r="R695" t="n">
        <v>0</v>
      </c>
      <c r="S695" t="n">
        <v>0</v>
      </c>
      <c r="T695" t="n">
        <v>0</v>
      </c>
      <c r="U695" s="2" t="inlineStr"/>
    </row>
    <row r="696" ht="15" customHeight="1">
      <c r="A696" t="inlineStr">
        <is>
          <t>A 62166-2024</t>
        </is>
      </c>
      <c r="B696" t="inlineStr">
        <is>
          <t>avverkningsanmälan</t>
        </is>
      </c>
      <c r="C696" t="inlineStr">
        <is>
          <t>Föryngringsavverkning</t>
        </is>
      </c>
      <c r="D696" s="1" t="n">
        <v>45657</v>
      </c>
      <c r="E696" s="1" t="n">
        <v>46219</v>
      </c>
      <c r="F696" t="inlineStr">
        <is>
          <t>VÄRMLANDS LÄN</t>
        </is>
      </c>
      <c r="G696" t="inlineStr">
        <is>
          <t>SUNNE</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1626-2023</t>
        </is>
      </c>
      <c r="B697" t="inlineStr">
        <is>
          <t>avverkningsanmälan</t>
        </is>
      </c>
      <c r="C697" t="inlineStr">
        <is>
          <t>Föryngringsavverkning</t>
        </is>
      </c>
      <c r="D697" s="1" t="n">
        <v>44937</v>
      </c>
      <c r="E697" s="1" t="n">
        <v>46219</v>
      </c>
      <c r="F697" t="inlineStr">
        <is>
          <t>VÄRMLANDS LÄN</t>
        </is>
      </c>
      <c r="G697" t="inlineStr">
        <is>
          <t>SUNNE</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10224-2022</t>
        </is>
      </c>
      <c r="B698" t="inlineStr">
        <is>
          <t>avverkningsanmälan</t>
        </is>
      </c>
      <c r="C698" t="inlineStr">
        <is>
          <t>Föryngringsavverkning</t>
        </is>
      </c>
      <c r="D698" s="1" t="n">
        <v>44622</v>
      </c>
      <c r="E698" s="1" t="n">
        <v>46219</v>
      </c>
      <c r="F698" t="inlineStr">
        <is>
          <t>VÄRMLANDS LÄN</t>
        </is>
      </c>
      <c r="G698" t="inlineStr">
        <is>
          <t>SUNNE</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31129-2026</t>
        </is>
      </c>
      <c r="B699" t="inlineStr">
        <is>
          <t>avverkningsanmälan</t>
        </is>
      </c>
      <c r="C699" t="inlineStr">
        <is>
          <t>Föryngringsavverkning</t>
        </is>
      </c>
      <c r="D699" s="1" t="n">
        <v>46216</v>
      </c>
      <c r="E699" s="1" t="n">
        <v>46219</v>
      </c>
      <c r="F699" t="inlineStr">
        <is>
          <t>VÄRMLANDS LÄN</t>
        </is>
      </c>
      <c r="G699" t="inlineStr">
        <is>
          <t>SUNNE</t>
        </is>
      </c>
      <c r="H699" t="inlineStr">
        <is>
          <t>Bergvik skog väst AB</t>
        </is>
      </c>
      <c r="I699" t="n">
        <v>8.6</v>
      </c>
      <c r="J699" t="n">
        <v>0</v>
      </c>
      <c r="K699" t="n">
        <v>0</v>
      </c>
      <c r="L699" t="n">
        <v>0</v>
      </c>
      <c r="M699" t="n">
        <v>0</v>
      </c>
      <c r="N699" t="n">
        <v>0</v>
      </c>
      <c r="O699" t="n">
        <v>0</v>
      </c>
      <c r="P699" t="n">
        <v>0</v>
      </c>
      <c r="Q699" t="n">
        <v>0</v>
      </c>
      <c r="R699" t="n">
        <v>0</v>
      </c>
      <c r="S699" t="n">
        <v>0</v>
      </c>
      <c r="T699" t="n">
        <v>0</v>
      </c>
      <c r="U699" s="2" t="inlineStr"/>
    </row>
    <row r="700" ht="15" customHeight="1">
      <c r="A700" t="inlineStr">
        <is>
          <t>A 59700-2025</t>
        </is>
      </c>
      <c r="B700" t="inlineStr">
        <is>
          <t>avverkningsanmälan</t>
        </is>
      </c>
      <c r="C700" t="inlineStr">
        <is>
          <t>Föryngringsavverkning</t>
        </is>
      </c>
      <c r="D700" s="1" t="n">
        <v>45992</v>
      </c>
      <c r="E700" s="1" t="n">
        <v>46219</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59561-2025</t>
        </is>
      </c>
      <c r="B701" t="inlineStr">
        <is>
          <t>avverkningsanmälan</t>
        </is>
      </c>
      <c r="C701" t="inlineStr">
        <is>
          <t>Föryngringsavverkning</t>
        </is>
      </c>
      <c r="D701" s="1" t="n">
        <v>45991</v>
      </c>
      <c r="E701" s="1" t="n">
        <v>46219</v>
      </c>
      <c r="F701" t="inlineStr">
        <is>
          <t>VÄRMLANDS LÄN</t>
        </is>
      </c>
      <c r="G701" t="inlineStr">
        <is>
          <t>SUNNE</t>
        </is>
      </c>
      <c r="I701" t="n">
        <v>4.1</v>
      </c>
      <c r="J701" t="n">
        <v>0</v>
      </c>
      <c r="K701" t="n">
        <v>0</v>
      </c>
      <c r="L701" t="n">
        <v>0</v>
      </c>
      <c r="M701" t="n">
        <v>0</v>
      </c>
      <c r="N701" t="n">
        <v>0</v>
      </c>
      <c r="O701" t="n">
        <v>0</v>
      </c>
      <c r="P701" t="n">
        <v>0</v>
      </c>
      <c r="Q701" t="n">
        <v>0</v>
      </c>
      <c r="R701" t="n">
        <v>0</v>
      </c>
      <c r="S701" t="n">
        <v>0</v>
      </c>
      <c r="T701" t="n">
        <v>0</v>
      </c>
      <c r="U701" s="2" t="inlineStr"/>
    </row>
    <row r="702" ht="15" customHeight="1">
      <c r="A702" t="inlineStr">
        <is>
          <t>A 59799-2025</t>
        </is>
      </c>
      <c r="B702" t="inlineStr">
        <is>
          <t>avverkningsanmälan</t>
        </is>
      </c>
      <c r="C702" t="inlineStr">
        <is>
          <t>Föryngringsavverkning</t>
        </is>
      </c>
      <c r="D702" s="1" t="n">
        <v>45992</v>
      </c>
      <c r="E702" s="1" t="n">
        <v>46219</v>
      </c>
      <c r="F702" t="inlineStr">
        <is>
          <t>VÄRMLANDS LÄN</t>
        </is>
      </c>
      <c r="G702" t="inlineStr">
        <is>
          <t>SUNNE</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38361-2022</t>
        </is>
      </c>
      <c r="B703" t="inlineStr">
        <is>
          <t>avverkningsanmälan</t>
        </is>
      </c>
      <c r="C703" t="inlineStr">
        <is>
          <t>Föryngringsavverkning</t>
        </is>
      </c>
      <c r="D703" s="1" t="n">
        <v>44812</v>
      </c>
      <c r="E703" s="1" t="n">
        <v>46219</v>
      </c>
      <c r="F703" t="inlineStr">
        <is>
          <t>VÄRMLANDS LÄN</t>
        </is>
      </c>
      <c r="G703" t="inlineStr">
        <is>
          <t>SUNNE</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59363-2025</t>
        </is>
      </c>
      <c r="B704" t="inlineStr">
        <is>
          <t>avverkningsanmälan</t>
        </is>
      </c>
      <c r="C704" t="inlineStr">
        <is>
          <t>Föryngringsavverkning</t>
        </is>
      </c>
      <c r="D704" s="1" t="n">
        <v>45989</v>
      </c>
      <c r="E704" s="1" t="n">
        <v>46219</v>
      </c>
      <c r="F704" t="inlineStr">
        <is>
          <t>VÄRMLANDS LÄN</t>
        </is>
      </c>
      <c r="G704" t="inlineStr">
        <is>
          <t>SUNNE</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59775-2025</t>
        </is>
      </c>
      <c r="B705" t="inlineStr">
        <is>
          <t>avverkningsanmälan</t>
        </is>
      </c>
      <c r="C705" t="inlineStr">
        <is>
          <t>Föryngringsavverkning</t>
        </is>
      </c>
      <c r="D705" s="1" t="n">
        <v>45992</v>
      </c>
      <c r="E705" s="1" t="n">
        <v>46219</v>
      </c>
      <c r="F705" t="inlineStr">
        <is>
          <t>VÄRMLANDS LÄN</t>
        </is>
      </c>
      <c r="G705" t="inlineStr">
        <is>
          <t>SUNNE</t>
        </is>
      </c>
      <c r="I705" t="n">
        <v>3</v>
      </c>
      <c r="J705" t="n">
        <v>0</v>
      </c>
      <c r="K705" t="n">
        <v>0</v>
      </c>
      <c r="L705" t="n">
        <v>0</v>
      </c>
      <c r="M705" t="n">
        <v>0</v>
      </c>
      <c r="N705" t="n">
        <v>0</v>
      </c>
      <c r="O705" t="n">
        <v>0</v>
      </c>
      <c r="P705" t="n">
        <v>0</v>
      </c>
      <c r="Q705" t="n">
        <v>0</v>
      </c>
      <c r="R705" t="n">
        <v>0</v>
      </c>
      <c r="S705" t="n">
        <v>0</v>
      </c>
      <c r="T705" t="n">
        <v>0</v>
      </c>
      <c r="U705" s="2" t="inlineStr"/>
    </row>
    <row r="706" ht="15" customHeight="1">
      <c r="A706" t="inlineStr">
        <is>
          <t>A 59791-2025</t>
        </is>
      </c>
      <c r="B706" t="inlineStr">
        <is>
          <t>avverkningsanmälan</t>
        </is>
      </c>
      <c r="C706" t="inlineStr">
        <is>
          <t>Föryngringsavverkning</t>
        </is>
      </c>
      <c r="D706" s="1" t="n">
        <v>45992</v>
      </c>
      <c r="E706" s="1" t="n">
        <v>46219</v>
      </c>
      <c r="F706" t="inlineStr">
        <is>
          <t>VÄRMLANDS LÄN</t>
        </is>
      </c>
      <c r="G706" t="inlineStr">
        <is>
          <t>SUNNE</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54339-2022</t>
        </is>
      </c>
      <c r="B707" t="inlineStr">
        <is>
          <t>avverkningsanmälan</t>
        </is>
      </c>
      <c r="C707" t="inlineStr">
        <is>
          <t>Föryngringsavverkning</t>
        </is>
      </c>
      <c r="D707" s="1" t="n">
        <v>44882</v>
      </c>
      <c r="E707" s="1" t="n">
        <v>46219</v>
      </c>
      <c r="F707" t="inlineStr">
        <is>
          <t>VÄRMLANDS LÄN</t>
        </is>
      </c>
      <c r="G707" t="inlineStr">
        <is>
          <t>SUNNE</t>
        </is>
      </c>
      <c r="I707" t="n">
        <v>8.1</v>
      </c>
      <c r="J707" t="n">
        <v>0</v>
      </c>
      <c r="K707" t="n">
        <v>0</v>
      </c>
      <c r="L707" t="n">
        <v>0</v>
      </c>
      <c r="M707" t="n">
        <v>0</v>
      </c>
      <c r="N707" t="n">
        <v>0</v>
      </c>
      <c r="O707" t="n">
        <v>0</v>
      </c>
      <c r="P707" t="n">
        <v>0</v>
      </c>
      <c r="Q707" t="n">
        <v>0</v>
      </c>
      <c r="R707" t="n">
        <v>0</v>
      </c>
      <c r="S707" t="n">
        <v>0</v>
      </c>
      <c r="T707" t="n">
        <v>0</v>
      </c>
      <c r="U707" s="2" t="inlineStr"/>
    </row>
    <row r="708" ht="15" customHeight="1">
      <c r="A708" t="inlineStr">
        <is>
          <t>A 59783-2025</t>
        </is>
      </c>
      <c r="B708" t="inlineStr">
        <is>
          <t>avverkningsanmälan</t>
        </is>
      </c>
      <c r="C708" t="inlineStr">
        <is>
          <t>Föryngringsavverkning</t>
        </is>
      </c>
      <c r="D708" s="1" t="n">
        <v>45992</v>
      </c>
      <c r="E708" s="1" t="n">
        <v>46219</v>
      </c>
      <c r="F708" t="inlineStr">
        <is>
          <t>VÄRMLANDS LÄN</t>
        </is>
      </c>
      <c r="G708" t="inlineStr">
        <is>
          <t>SUNNE</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59361-2025</t>
        </is>
      </c>
      <c r="B709" t="inlineStr">
        <is>
          <t>avverkningsanmälan</t>
        </is>
      </c>
      <c r="C709" t="inlineStr">
        <is>
          <t>Föryngringsavverkning</t>
        </is>
      </c>
      <c r="D709" s="1" t="n">
        <v>45989</v>
      </c>
      <c r="E709" s="1" t="n">
        <v>46219</v>
      </c>
      <c r="F709" t="inlineStr">
        <is>
          <t>VÄRMLANDS LÄN</t>
        </is>
      </c>
      <c r="G709" t="inlineStr">
        <is>
          <t>SUNNE</t>
        </is>
      </c>
      <c r="I709" t="n">
        <v>3.5</v>
      </c>
      <c r="J709" t="n">
        <v>0</v>
      </c>
      <c r="K709" t="n">
        <v>0</v>
      </c>
      <c r="L709" t="n">
        <v>0</v>
      </c>
      <c r="M709" t="n">
        <v>0</v>
      </c>
      <c r="N709" t="n">
        <v>0</v>
      </c>
      <c r="O709" t="n">
        <v>0</v>
      </c>
      <c r="P709" t="n">
        <v>0</v>
      </c>
      <c r="Q709" t="n">
        <v>0</v>
      </c>
      <c r="R709" t="n">
        <v>0</v>
      </c>
      <c r="S709" t="n">
        <v>0</v>
      </c>
      <c r="T709" t="n">
        <v>0</v>
      </c>
      <c r="U709" s="2" t="inlineStr"/>
    </row>
    <row r="710" ht="15" customHeight="1">
      <c r="A710" t="inlineStr">
        <is>
          <t>A 34375-2023</t>
        </is>
      </c>
      <c r="B710" t="inlineStr">
        <is>
          <t>avverkningsanmälan</t>
        </is>
      </c>
      <c r="C710" t="inlineStr">
        <is>
          <t>Föryngringsavverkning</t>
        </is>
      </c>
      <c r="D710" s="1" t="n">
        <v>45131</v>
      </c>
      <c r="E710" s="1" t="n">
        <v>46219</v>
      </c>
      <c r="F710" t="inlineStr">
        <is>
          <t>VÄRMLANDS LÄN</t>
        </is>
      </c>
      <c r="G710" t="inlineStr">
        <is>
          <t>SUNNE</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36578-2023</t>
        </is>
      </c>
      <c r="B711" t="inlineStr">
        <is>
          <t>avverkningsanmälan</t>
        </is>
      </c>
      <c r="C711" t="inlineStr">
        <is>
          <t>Föryngringsavverkning</t>
        </is>
      </c>
      <c r="D711" s="1" t="n">
        <v>45153</v>
      </c>
      <c r="E711" s="1" t="n">
        <v>46219</v>
      </c>
      <c r="F711" t="inlineStr">
        <is>
          <t>VÄRMLANDS LÄN</t>
        </is>
      </c>
      <c r="G711" t="inlineStr">
        <is>
          <t>SUNNE</t>
        </is>
      </c>
      <c r="I711" t="n">
        <v>6.7</v>
      </c>
      <c r="J711" t="n">
        <v>0</v>
      </c>
      <c r="K711" t="n">
        <v>0</v>
      </c>
      <c r="L711" t="n">
        <v>0</v>
      </c>
      <c r="M711" t="n">
        <v>0</v>
      </c>
      <c r="N711" t="n">
        <v>0</v>
      </c>
      <c r="O711" t="n">
        <v>0</v>
      </c>
      <c r="P711" t="n">
        <v>0</v>
      </c>
      <c r="Q711" t="n">
        <v>0</v>
      </c>
      <c r="R711" t="n">
        <v>0</v>
      </c>
      <c r="S711" t="n">
        <v>0</v>
      </c>
      <c r="T711" t="n">
        <v>0</v>
      </c>
      <c r="U711" s="2" t="inlineStr"/>
    </row>
    <row r="712" ht="15" customHeight="1">
      <c r="A712" t="inlineStr">
        <is>
          <t>A 31305-2026</t>
        </is>
      </c>
      <c r="B712" t="inlineStr">
        <is>
          <t>avverkningsanmälan</t>
        </is>
      </c>
      <c r="C712" t="inlineStr">
        <is>
          <t>Föryngringsavverkning</t>
        </is>
      </c>
      <c r="D712" s="1" t="n">
        <v>46218</v>
      </c>
      <c r="E712" s="1" t="n">
        <v>46219</v>
      </c>
      <c r="F712" t="inlineStr">
        <is>
          <t>VÄRMLANDS LÄN</t>
        </is>
      </c>
      <c r="G712" t="inlineStr">
        <is>
          <t>SUNNE</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52226-2024</t>
        </is>
      </c>
      <c r="B713" t="inlineStr">
        <is>
          <t>avverkningsanmälan</t>
        </is>
      </c>
      <c r="C713" t="inlineStr">
        <is>
          <t>Föryngringsavverkning</t>
        </is>
      </c>
      <c r="D713" s="1" t="n">
        <v>45607</v>
      </c>
      <c r="E713" s="1" t="n">
        <v>46219</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s="2" t="inlineStr"/>
    </row>
    <row r="714" ht="15" customHeight="1">
      <c r="A714" t="inlineStr">
        <is>
          <t>A 60014-2025</t>
        </is>
      </c>
      <c r="B714" t="inlineStr">
        <is>
          <t>avverkningsanmälan</t>
        </is>
      </c>
      <c r="C714" t="inlineStr">
        <is>
          <t>Föryngringsavverkning</t>
        </is>
      </c>
      <c r="D714" s="1" t="n">
        <v>45993</v>
      </c>
      <c r="E714" s="1" t="n">
        <v>46219</v>
      </c>
      <c r="F714" t="inlineStr">
        <is>
          <t>VÄRMLANDS LÄN</t>
        </is>
      </c>
      <c r="G714" t="inlineStr">
        <is>
          <t>SUNNE</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60271-2025</t>
        </is>
      </c>
      <c r="B715" t="inlineStr">
        <is>
          <t>avverkningsanmälan</t>
        </is>
      </c>
      <c r="C715" t="inlineStr">
        <is>
          <t>Föryngringsavverkning</t>
        </is>
      </c>
      <c r="D715" s="1" t="n">
        <v>45994</v>
      </c>
      <c r="E715" s="1" t="n">
        <v>46219</v>
      </c>
      <c r="F715" t="inlineStr">
        <is>
          <t>VÄRMLANDS LÄN</t>
        </is>
      </c>
      <c r="G715" t="inlineStr">
        <is>
          <t>SUNNE</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60020-2025</t>
        </is>
      </c>
      <c r="B716" t="inlineStr">
        <is>
          <t>avverkningsanmälan</t>
        </is>
      </c>
      <c r="C716" t="inlineStr">
        <is>
          <t>Föryngringsavverkning</t>
        </is>
      </c>
      <c r="D716" s="1" t="n">
        <v>45993</v>
      </c>
      <c r="E716" s="1" t="n">
        <v>46219</v>
      </c>
      <c r="F716" t="inlineStr">
        <is>
          <t>VÄRMLANDS LÄN</t>
        </is>
      </c>
      <c r="G716" t="inlineStr">
        <is>
          <t>SUNNE</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12237-2023</t>
        </is>
      </c>
      <c r="B717" t="inlineStr">
        <is>
          <t>avverkningsanmälan</t>
        </is>
      </c>
      <c r="C717" t="inlineStr">
        <is>
          <t>Föryngringsavverkning</t>
        </is>
      </c>
      <c r="D717" s="1" t="n">
        <v>44998</v>
      </c>
      <c r="E717" s="1" t="n">
        <v>46219</v>
      </c>
      <c r="F717" t="inlineStr">
        <is>
          <t>VÄRMLANDS LÄN</t>
        </is>
      </c>
      <c r="G717" t="inlineStr">
        <is>
          <t>SUNNE</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74230-2021</t>
        </is>
      </c>
      <c r="B718" t="inlineStr">
        <is>
          <t>avverkningsanmälan</t>
        </is>
      </c>
      <c r="C718" t="inlineStr">
        <is>
          <t>Föryngringsavverkning</t>
        </is>
      </c>
      <c r="D718" s="1" t="n">
        <v>44558</v>
      </c>
      <c r="E718" s="1" t="n">
        <v>46219</v>
      </c>
      <c r="F718" t="inlineStr">
        <is>
          <t>VÄRMLANDS LÄN</t>
        </is>
      </c>
      <c r="G718" t="inlineStr">
        <is>
          <t>SUNNE</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60126-2025</t>
        </is>
      </c>
      <c r="B719" t="inlineStr">
        <is>
          <t>avverkningsanmälan</t>
        </is>
      </c>
      <c r="C719" t="inlineStr">
        <is>
          <t>Föryngringsavverkning</t>
        </is>
      </c>
      <c r="D719" s="1" t="n">
        <v>45994</v>
      </c>
      <c r="E719" s="1" t="n">
        <v>46219</v>
      </c>
      <c r="F719" t="inlineStr">
        <is>
          <t>VÄRMLANDS LÄN</t>
        </is>
      </c>
      <c r="G719" t="inlineStr">
        <is>
          <t>SUNNE</t>
        </is>
      </c>
      <c r="I719" t="n">
        <v>8.5</v>
      </c>
      <c r="J719" t="n">
        <v>0</v>
      </c>
      <c r="K719" t="n">
        <v>0</v>
      </c>
      <c r="L719" t="n">
        <v>0</v>
      </c>
      <c r="M719" t="n">
        <v>0</v>
      </c>
      <c r="N719" t="n">
        <v>0</v>
      </c>
      <c r="O719" t="n">
        <v>0</v>
      </c>
      <c r="P719" t="n">
        <v>0</v>
      </c>
      <c r="Q719" t="n">
        <v>0</v>
      </c>
      <c r="R719" t="n">
        <v>0</v>
      </c>
      <c r="S719" t="n">
        <v>0</v>
      </c>
      <c r="T719" t="n">
        <v>0</v>
      </c>
      <c r="U719" s="2" t="inlineStr"/>
    </row>
    <row r="720" ht="15" customHeight="1">
      <c r="A720" t="inlineStr">
        <is>
          <t>A 50695-2024</t>
        </is>
      </c>
      <c r="B720" t="inlineStr">
        <is>
          <t>avverkningsanmälan</t>
        </is>
      </c>
      <c r="C720" t="inlineStr">
        <is>
          <t>Föryngringsavverkning</t>
        </is>
      </c>
      <c r="D720" s="1" t="n">
        <v>45602</v>
      </c>
      <c r="E720" s="1" t="n">
        <v>46219</v>
      </c>
      <c r="F720" t="inlineStr">
        <is>
          <t>VÄRMLANDS LÄN</t>
        </is>
      </c>
      <c r="G720" t="inlineStr">
        <is>
          <t>SUNNE</t>
        </is>
      </c>
      <c r="I720" t="n">
        <v>1.5</v>
      </c>
      <c r="J720" t="n">
        <v>0</v>
      </c>
      <c r="K720" t="n">
        <v>0</v>
      </c>
      <c r="L720" t="n">
        <v>0</v>
      </c>
      <c r="M720" t="n">
        <v>0</v>
      </c>
      <c r="N720" t="n">
        <v>0</v>
      </c>
      <c r="O720" t="n">
        <v>0</v>
      </c>
      <c r="P720" t="n">
        <v>0</v>
      </c>
      <c r="Q720" t="n">
        <v>0</v>
      </c>
      <c r="R720" t="n">
        <v>0</v>
      </c>
      <c r="S720" t="n">
        <v>0</v>
      </c>
      <c r="T720" t="n">
        <v>0</v>
      </c>
      <c r="U720" s="2" t="inlineStr"/>
    </row>
    <row r="721" ht="15" customHeight="1">
      <c r="A721" t="inlineStr">
        <is>
          <t>A 50753-2024</t>
        </is>
      </c>
      <c r="B721" t="inlineStr">
        <is>
          <t>avverkningsanmälan</t>
        </is>
      </c>
      <c r="C721" t="inlineStr">
        <is>
          <t>Föryngringsavverkning</t>
        </is>
      </c>
      <c r="D721" s="1" t="n">
        <v>45602</v>
      </c>
      <c r="E721" s="1" t="n">
        <v>46219</v>
      </c>
      <c r="F721" t="inlineStr">
        <is>
          <t>VÄRMLANDS LÄN</t>
        </is>
      </c>
      <c r="G721" t="inlineStr">
        <is>
          <t>SUNNE</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3074-2024</t>
        </is>
      </c>
      <c r="B722" t="inlineStr">
        <is>
          <t>avverkningsanmälan</t>
        </is>
      </c>
      <c r="C722" t="inlineStr">
        <is>
          <t>Föryngringsavverkning</t>
        </is>
      </c>
      <c r="D722" s="1" t="n">
        <v>45316</v>
      </c>
      <c r="E722" s="1" t="n">
        <v>46219</v>
      </c>
      <c r="F722" t="inlineStr">
        <is>
          <t>VÄRMLANDS LÄN</t>
        </is>
      </c>
      <c r="G722" t="inlineStr">
        <is>
          <t>SUNNE</t>
        </is>
      </c>
      <c r="H722" t="inlineStr">
        <is>
          <t>Kommuner</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60070-2025</t>
        </is>
      </c>
      <c r="B723" t="inlineStr">
        <is>
          <t>avverkningsanmälan</t>
        </is>
      </c>
      <c r="C723" t="inlineStr">
        <is>
          <t>Föryngringsavverkning</t>
        </is>
      </c>
      <c r="D723" s="1" t="n">
        <v>45993</v>
      </c>
      <c r="E723" s="1" t="n">
        <v>46219</v>
      </c>
      <c r="F723" t="inlineStr">
        <is>
          <t>VÄRMLANDS LÄN</t>
        </is>
      </c>
      <c r="G723" t="inlineStr">
        <is>
          <t>SUNNE</t>
        </is>
      </c>
      <c r="I723" t="n">
        <v>5.2</v>
      </c>
      <c r="J723" t="n">
        <v>0</v>
      </c>
      <c r="K723" t="n">
        <v>0</v>
      </c>
      <c r="L723" t="n">
        <v>0</v>
      </c>
      <c r="M723" t="n">
        <v>0</v>
      </c>
      <c r="N723" t="n">
        <v>0</v>
      </c>
      <c r="O723" t="n">
        <v>0</v>
      </c>
      <c r="P723" t="n">
        <v>0</v>
      </c>
      <c r="Q723" t="n">
        <v>0</v>
      </c>
      <c r="R723" t="n">
        <v>0</v>
      </c>
      <c r="S723" t="n">
        <v>0</v>
      </c>
      <c r="T723" t="n">
        <v>0</v>
      </c>
      <c r="U723" s="2" t="inlineStr"/>
    </row>
    <row r="724" ht="15" customHeight="1">
      <c r="A724" t="inlineStr">
        <is>
          <t>A 49437-2024</t>
        </is>
      </c>
      <c r="B724" t="inlineStr">
        <is>
          <t>avverkningsanmälan</t>
        </is>
      </c>
      <c r="C724" t="inlineStr">
        <is>
          <t>Föryngringsavverkning</t>
        </is>
      </c>
      <c r="D724" s="1" t="n">
        <v>45595</v>
      </c>
      <c r="E724" s="1" t="n">
        <v>46219</v>
      </c>
      <c r="F724" t="inlineStr">
        <is>
          <t>VÄRMLANDS LÄN</t>
        </is>
      </c>
      <c r="G724" t="inlineStr">
        <is>
          <t>SUNNE</t>
        </is>
      </c>
      <c r="I724" t="n">
        <v>3.2</v>
      </c>
      <c r="J724" t="n">
        <v>0</v>
      </c>
      <c r="K724" t="n">
        <v>0</v>
      </c>
      <c r="L724" t="n">
        <v>0</v>
      </c>
      <c r="M724" t="n">
        <v>0</v>
      </c>
      <c r="N724" t="n">
        <v>0</v>
      </c>
      <c r="O724" t="n">
        <v>0</v>
      </c>
      <c r="P724" t="n">
        <v>0</v>
      </c>
      <c r="Q724" t="n">
        <v>0</v>
      </c>
      <c r="R724" t="n">
        <v>0</v>
      </c>
      <c r="S724" t="n">
        <v>0</v>
      </c>
      <c r="T724" t="n">
        <v>0</v>
      </c>
      <c r="U724" s="2" t="inlineStr"/>
    </row>
    <row r="725" ht="15" customHeight="1">
      <c r="A725" t="inlineStr">
        <is>
          <t>A 60027-2025</t>
        </is>
      </c>
      <c r="B725" t="inlineStr">
        <is>
          <t>avverkningsanmälan</t>
        </is>
      </c>
      <c r="C725" t="inlineStr">
        <is>
          <t>Föryngringsavverkning</t>
        </is>
      </c>
      <c r="D725" s="1" t="n">
        <v>45993</v>
      </c>
      <c r="E725" s="1" t="n">
        <v>46219</v>
      </c>
      <c r="F725" t="inlineStr">
        <is>
          <t>VÄRMLANDS LÄN</t>
        </is>
      </c>
      <c r="G725" t="inlineStr">
        <is>
          <t>SUNNE</t>
        </is>
      </c>
      <c r="I725" t="n">
        <v>2.6</v>
      </c>
      <c r="J725" t="n">
        <v>0</v>
      </c>
      <c r="K725" t="n">
        <v>0</v>
      </c>
      <c r="L725" t="n">
        <v>0</v>
      </c>
      <c r="M725" t="n">
        <v>0</v>
      </c>
      <c r="N725" t="n">
        <v>0</v>
      </c>
      <c r="O725" t="n">
        <v>0</v>
      </c>
      <c r="P725" t="n">
        <v>0</v>
      </c>
      <c r="Q725" t="n">
        <v>0</v>
      </c>
      <c r="R725" t="n">
        <v>0</v>
      </c>
      <c r="S725" t="n">
        <v>0</v>
      </c>
      <c r="T725" t="n">
        <v>0</v>
      </c>
      <c r="U725" s="2" t="inlineStr"/>
    </row>
    <row r="726" ht="15" customHeight="1">
      <c r="A726" t="inlineStr">
        <is>
          <t>A 60689-2023</t>
        </is>
      </c>
      <c r="B726" t="inlineStr">
        <is>
          <t>avverkningsanmälan</t>
        </is>
      </c>
      <c r="C726" t="inlineStr">
        <is>
          <t>Föryngringsavverkning</t>
        </is>
      </c>
      <c r="D726" s="1" t="n">
        <v>45260</v>
      </c>
      <c r="E726" s="1" t="n">
        <v>46219</v>
      </c>
      <c r="F726" t="inlineStr">
        <is>
          <t>VÄRMLANDS LÄN</t>
        </is>
      </c>
      <c r="G726" t="inlineStr">
        <is>
          <t>SUNNE</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47076-2023</t>
        </is>
      </c>
      <c r="B727" t="inlineStr">
        <is>
          <t>avverkningsanmälan</t>
        </is>
      </c>
      <c r="C727" t="inlineStr">
        <is>
          <t>Föryngringsavverkning</t>
        </is>
      </c>
      <c r="D727" s="1" t="n">
        <v>45201</v>
      </c>
      <c r="E727" s="1" t="n">
        <v>46219</v>
      </c>
      <c r="F727" t="inlineStr">
        <is>
          <t>VÄRMLANDS LÄN</t>
        </is>
      </c>
      <c r="G727" t="inlineStr">
        <is>
          <t>SUNNE</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64425-2023</t>
        </is>
      </c>
      <c r="B728" t="inlineStr">
        <is>
          <t>avverkningsanmälan</t>
        </is>
      </c>
      <c r="C728" t="inlineStr">
        <is>
          <t>Föryngringsavverkning</t>
        </is>
      </c>
      <c r="D728" s="1" t="n">
        <v>45280</v>
      </c>
      <c r="E728" s="1" t="n">
        <v>46219</v>
      </c>
      <c r="F728" t="inlineStr">
        <is>
          <t>VÄRMLANDS LÄN</t>
        </is>
      </c>
      <c r="G728" t="inlineStr">
        <is>
          <t>SUNNE</t>
        </is>
      </c>
      <c r="I728" t="n">
        <v>2.1</v>
      </c>
      <c r="J728" t="n">
        <v>0</v>
      </c>
      <c r="K728" t="n">
        <v>0</v>
      </c>
      <c r="L728" t="n">
        <v>0</v>
      </c>
      <c r="M728" t="n">
        <v>0</v>
      </c>
      <c r="N728" t="n">
        <v>0</v>
      </c>
      <c r="O728" t="n">
        <v>0</v>
      </c>
      <c r="P728" t="n">
        <v>0</v>
      </c>
      <c r="Q728" t="n">
        <v>0</v>
      </c>
      <c r="R728" t="n">
        <v>0</v>
      </c>
      <c r="S728" t="n">
        <v>0</v>
      </c>
      <c r="T728" t="n">
        <v>0</v>
      </c>
      <c r="U728" s="2" t="inlineStr"/>
    </row>
    <row r="729" ht="15" customHeight="1">
      <c r="A729" t="inlineStr">
        <is>
          <t>A 60399-2025</t>
        </is>
      </c>
      <c r="B729" t="inlineStr">
        <is>
          <t>avverkningsanmälan</t>
        </is>
      </c>
      <c r="C729" t="inlineStr">
        <is>
          <t>Föryngringsavverkning</t>
        </is>
      </c>
      <c r="D729" s="1" t="n">
        <v>45995</v>
      </c>
      <c r="E729" s="1" t="n">
        <v>46219</v>
      </c>
      <c r="F729" t="inlineStr">
        <is>
          <t>VÄRMLANDS LÄN</t>
        </is>
      </c>
      <c r="G729" t="inlineStr">
        <is>
          <t>SUNNE</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5652-2024</t>
        </is>
      </c>
      <c r="B730" t="inlineStr">
        <is>
          <t>avverkningsanmälan</t>
        </is>
      </c>
      <c r="C730" t="inlineStr">
        <is>
          <t>Föryngringsavverkning</t>
        </is>
      </c>
      <c r="D730" s="1" t="n">
        <v>45334</v>
      </c>
      <c r="E730" s="1" t="n">
        <v>46219</v>
      </c>
      <c r="F730" t="inlineStr">
        <is>
          <t>VÄRMLANDS LÄN</t>
        </is>
      </c>
      <c r="G730" t="inlineStr">
        <is>
          <t>SUNNE</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5653-2024</t>
        </is>
      </c>
      <c r="B731" t="inlineStr">
        <is>
          <t>avverkningsanmälan</t>
        </is>
      </c>
      <c r="C731" t="inlineStr">
        <is>
          <t>Föryngringsavverkning</t>
        </is>
      </c>
      <c r="D731" s="1" t="n">
        <v>45334</v>
      </c>
      <c r="E731" s="1" t="n">
        <v>46219</v>
      </c>
      <c r="F731" t="inlineStr">
        <is>
          <t>VÄRMLANDS LÄN</t>
        </is>
      </c>
      <c r="G731" t="inlineStr">
        <is>
          <t>SUNNE</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61257-2025</t>
        </is>
      </c>
      <c r="B732" t="inlineStr">
        <is>
          <t>avverkningsanmälan</t>
        </is>
      </c>
      <c r="C732" t="inlineStr">
        <is>
          <t>Föryngringsavverkning</t>
        </is>
      </c>
      <c r="D732" s="1" t="n">
        <v>46000</v>
      </c>
      <c r="E732" s="1" t="n">
        <v>46219</v>
      </c>
      <c r="F732" t="inlineStr">
        <is>
          <t>VÄRMLANDS LÄN</t>
        </is>
      </c>
      <c r="G732" t="inlineStr">
        <is>
          <t>SUNNE</t>
        </is>
      </c>
      <c r="I732" t="n">
        <v>2.1</v>
      </c>
      <c r="J732" t="n">
        <v>0</v>
      </c>
      <c r="K732" t="n">
        <v>0</v>
      </c>
      <c r="L732" t="n">
        <v>0</v>
      </c>
      <c r="M732" t="n">
        <v>0</v>
      </c>
      <c r="N732" t="n">
        <v>0</v>
      </c>
      <c r="O732" t="n">
        <v>0</v>
      </c>
      <c r="P732" t="n">
        <v>0</v>
      </c>
      <c r="Q732" t="n">
        <v>0</v>
      </c>
      <c r="R732" t="n">
        <v>0</v>
      </c>
      <c r="S732" t="n">
        <v>0</v>
      </c>
      <c r="T732" t="n">
        <v>0</v>
      </c>
      <c r="U732" s="2" t="inlineStr"/>
    </row>
    <row r="733" ht="15" customHeight="1">
      <c r="A733" t="inlineStr">
        <is>
          <t>A 46792-2024</t>
        </is>
      </c>
      <c r="B733" t="inlineStr">
        <is>
          <t>avverkningsanmälan</t>
        </is>
      </c>
      <c r="C733" t="inlineStr">
        <is>
          <t>Föryngringsavverkning</t>
        </is>
      </c>
      <c r="D733" s="1" t="n">
        <v>45583</v>
      </c>
      <c r="E733" s="1" t="n">
        <v>46219</v>
      </c>
      <c r="F733" t="inlineStr">
        <is>
          <t>VÄRMLANDS LÄN</t>
        </is>
      </c>
      <c r="G733" t="inlineStr">
        <is>
          <t>SUNNE</t>
        </is>
      </c>
      <c r="H733" t="inlineStr">
        <is>
          <t>Kommuner</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25237-2026</t>
        </is>
      </c>
      <c r="B734" t="inlineStr">
        <is>
          <t>avverkningsanmälan</t>
        </is>
      </c>
      <c r="C734" t="inlineStr">
        <is>
          <t>Föryngringsavverkning</t>
        </is>
      </c>
      <c r="D734" s="1" t="n">
        <v>46175</v>
      </c>
      <c r="E734" s="1" t="n">
        <v>46219</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61110-2025</t>
        </is>
      </c>
      <c r="B735" t="inlineStr">
        <is>
          <t>avverkningsanmälan</t>
        </is>
      </c>
      <c r="C735" t="inlineStr">
        <is>
          <t>Föryngringsavverkning</t>
        </is>
      </c>
      <c r="D735" s="1" t="n">
        <v>45999</v>
      </c>
      <c r="E735" s="1" t="n">
        <v>46219</v>
      </c>
      <c r="F735" t="inlineStr">
        <is>
          <t>VÄRMLANDS LÄN</t>
        </is>
      </c>
      <c r="G735" t="inlineStr">
        <is>
          <t>SUNNE</t>
        </is>
      </c>
      <c r="I735" t="n">
        <v>4.6</v>
      </c>
      <c r="J735" t="n">
        <v>0</v>
      </c>
      <c r="K735" t="n">
        <v>0</v>
      </c>
      <c r="L735" t="n">
        <v>0</v>
      </c>
      <c r="M735" t="n">
        <v>0</v>
      </c>
      <c r="N735" t="n">
        <v>0</v>
      </c>
      <c r="O735" t="n">
        <v>0</v>
      </c>
      <c r="P735" t="n">
        <v>0</v>
      </c>
      <c r="Q735" t="n">
        <v>0</v>
      </c>
      <c r="R735" t="n">
        <v>0</v>
      </c>
      <c r="S735" t="n">
        <v>0</v>
      </c>
      <c r="T735" t="n">
        <v>0</v>
      </c>
      <c r="U735" s="2" t="inlineStr"/>
    </row>
    <row r="736" ht="15" customHeight="1">
      <c r="A736" t="inlineStr">
        <is>
          <t>A 31038-2023</t>
        </is>
      </c>
      <c r="B736" t="inlineStr">
        <is>
          <t>avverkningsanmälan</t>
        </is>
      </c>
      <c r="C736" t="inlineStr">
        <is>
          <t>Föryngringsavverkning</t>
        </is>
      </c>
      <c r="D736" s="1" t="n">
        <v>45113</v>
      </c>
      <c r="E736" s="1" t="n">
        <v>46219</v>
      </c>
      <c r="F736" t="inlineStr">
        <is>
          <t>VÄRMLANDS LÄN</t>
        </is>
      </c>
      <c r="G736" t="inlineStr">
        <is>
          <t>SUNNE</t>
        </is>
      </c>
      <c r="I736" t="n">
        <v>3.2</v>
      </c>
      <c r="J736" t="n">
        <v>0</v>
      </c>
      <c r="K736" t="n">
        <v>0</v>
      </c>
      <c r="L736" t="n">
        <v>0</v>
      </c>
      <c r="M736" t="n">
        <v>0</v>
      </c>
      <c r="N736" t="n">
        <v>0</v>
      </c>
      <c r="O736" t="n">
        <v>0</v>
      </c>
      <c r="P736" t="n">
        <v>0</v>
      </c>
      <c r="Q736" t="n">
        <v>0</v>
      </c>
      <c r="R736" t="n">
        <v>0</v>
      </c>
      <c r="S736" t="n">
        <v>0</v>
      </c>
      <c r="T736" t="n">
        <v>0</v>
      </c>
      <c r="U736" s="2" t="inlineStr"/>
    </row>
    <row r="737" ht="15" customHeight="1">
      <c r="A737" t="inlineStr">
        <is>
          <t>A 25173-2026</t>
        </is>
      </c>
      <c r="B737" t="inlineStr">
        <is>
          <t>avverkningsanmälan</t>
        </is>
      </c>
      <c r="C737" t="inlineStr">
        <is>
          <t>Föryngringsavverkning</t>
        </is>
      </c>
      <c r="D737" s="1" t="n">
        <v>46175</v>
      </c>
      <c r="E737" s="1" t="n">
        <v>46219</v>
      </c>
      <c r="F737" t="inlineStr">
        <is>
          <t>VÄRMLANDS LÄN</t>
        </is>
      </c>
      <c r="G737" t="inlineStr">
        <is>
          <t>SUNNE</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42523-2023</t>
        </is>
      </c>
      <c r="B738" t="inlineStr">
        <is>
          <t>avverkningsanmälan</t>
        </is>
      </c>
      <c r="C738" t="inlineStr">
        <is>
          <t>Föryngringsavverkning</t>
        </is>
      </c>
      <c r="D738" s="1" t="n">
        <v>45181</v>
      </c>
      <c r="E738" s="1" t="n">
        <v>46219</v>
      </c>
      <c r="F738" t="inlineStr">
        <is>
          <t>VÄRMLANDS LÄN</t>
        </is>
      </c>
      <c r="G738" t="inlineStr">
        <is>
          <t>SUNNE</t>
        </is>
      </c>
      <c r="I738" t="n">
        <v>0.5</v>
      </c>
      <c r="J738" t="n">
        <v>0</v>
      </c>
      <c r="K738" t="n">
        <v>0</v>
      </c>
      <c r="L738" t="n">
        <v>0</v>
      </c>
      <c r="M738" t="n">
        <v>0</v>
      </c>
      <c r="N738" t="n">
        <v>0</v>
      </c>
      <c r="O738" t="n">
        <v>0</v>
      </c>
      <c r="P738" t="n">
        <v>0</v>
      </c>
      <c r="Q738" t="n">
        <v>0</v>
      </c>
      <c r="R738" t="n">
        <v>0</v>
      </c>
      <c r="S738" t="n">
        <v>0</v>
      </c>
      <c r="T738" t="n">
        <v>0</v>
      </c>
      <c r="U738" s="2" t="inlineStr"/>
    </row>
    <row r="739" ht="15" customHeight="1">
      <c r="A739" t="inlineStr">
        <is>
          <t>A 61001-2025</t>
        </is>
      </c>
      <c r="B739" t="inlineStr">
        <is>
          <t>avverkningsanmälan</t>
        </is>
      </c>
      <c r="C739" t="inlineStr">
        <is>
          <t>Föryngringsavverkning</t>
        </is>
      </c>
      <c r="D739" s="1" t="n">
        <v>45999</v>
      </c>
      <c r="E739" s="1" t="n">
        <v>46219</v>
      </c>
      <c r="F739" t="inlineStr">
        <is>
          <t>VÄRMLANDS LÄN</t>
        </is>
      </c>
      <c r="G739" t="inlineStr">
        <is>
          <t>SUNNE</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36550-2023</t>
        </is>
      </c>
      <c r="B740" t="inlineStr">
        <is>
          <t>avverkningsanmälan</t>
        </is>
      </c>
      <c r="C740" t="inlineStr">
        <is>
          <t>Föryngringsavverkning</t>
        </is>
      </c>
      <c r="D740" s="1" t="n">
        <v>45153</v>
      </c>
      <c r="E740" s="1" t="n">
        <v>46219</v>
      </c>
      <c r="F740" t="inlineStr">
        <is>
          <t>VÄRMLANDS LÄN</t>
        </is>
      </c>
      <c r="G740" t="inlineStr">
        <is>
          <t>SUNNE</t>
        </is>
      </c>
      <c r="I740" t="n">
        <v>3.4</v>
      </c>
      <c r="J740" t="n">
        <v>0</v>
      </c>
      <c r="K740" t="n">
        <v>0</v>
      </c>
      <c r="L740" t="n">
        <v>0</v>
      </c>
      <c r="M740" t="n">
        <v>0</v>
      </c>
      <c r="N740" t="n">
        <v>0</v>
      </c>
      <c r="O740" t="n">
        <v>0</v>
      </c>
      <c r="P740" t="n">
        <v>0</v>
      </c>
      <c r="Q740" t="n">
        <v>0</v>
      </c>
      <c r="R740" t="n">
        <v>0</v>
      </c>
      <c r="S740" t="n">
        <v>0</v>
      </c>
      <c r="T740" t="n">
        <v>0</v>
      </c>
      <c r="U740" s="2" t="inlineStr"/>
    </row>
    <row r="741" ht="15" customHeight="1">
      <c r="A741" t="inlineStr">
        <is>
          <t>A 55079-2022</t>
        </is>
      </c>
      <c r="B741" t="inlineStr">
        <is>
          <t>avverkningsanmälan</t>
        </is>
      </c>
      <c r="C741" t="inlineStr">
        <is>
          <t>Föryngringsavverkning</t>
        </is>
      </c>
      <c r="D741" s="1" t="n">
        <v>44886</v>
      </c>
      <c r="E741" s="1" t="n">
        <v>46219</v>
      </c>
      <c r="F741" t="inlineStr">
        <is>
          <t>VÄRMLANDS LÄN</t>
        </is>
      </c>
      <c r="G741" t="inlineStr">
        <is>
          <t>SUNNE</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54865-2021</t>
        </is>
      </c>
      <c r="B742" t="inlineStr">
        <is>
          <t>avverkningsanmälan</t>
        </is>
      </c>
      <c r="C742" t="inlineStr">
        <is>
          <t>Föryngringsavverkning</t>
        </is>
      </c>
      <c r="D742" s="1" t="n">
        <v>44474</v>
      </c>
      <c r="E742" s="1" t="n">
        <v>46219</v>
      </c>
      <c r="F742" t="inlineStr">
        <is>
          <t>VÄRMLANDS LÄN</t>
        </is>
      </c>
      <c r="G742" t="inlineStr">
        <is>
          <t>SUNNE</t>
        </is>
      </c>
      <c r="I742" t="n">
        <v>15.2</v>
      </c>
      <c r="J742" t="n">
        <v>0</v>
      </c>
      <c r="K742" t="n">
        <v>0</v>
      </c>
      <c r="L742" t="n">
        <v>0</v>
      </c>
      <c r="M742" t="n">
        <v>0</v>
      </c>
      <c r="N742" t="n">
        <v>0</v>
      </c>
      <c r="O742" t="n">
        <v>0</v>
      </c>
      <c r="P742" t="n">
        <v>0</v>
      </c>
      <c r="Q742" t="n">
        <v>0</v>
      </c>
      <c r="R742" t="n">
        <v>0</v>
      </c>
      <c r="S742" t="n">
        <v>0</v>
      </c>
      <c r="T742" t="n">
        <v>0</v>
      </c>
      <c r="U742" s="2" t="inlineStr"/>
    </row>
    <row r="743" ht="15" customHeight="1">
      <c r="A743" t="inlineStr">
        <is>
          <t>A 61002-2025</t>
        </is>
      </c>
      <c r="B743" t="inlineStr">
        <is>
          <t>avverkningsanmälan</t>
        </is>
      </c>
      <c r="C743" t="inlineStr">
        <is>
          <t>Föryngringsavverkning</t>
        </is>
      </c>
      <c r="D743" s="1" t="n">
        <v>45999</v>
      </c>
      <c r="E743" s="1" t="n">
        <v>46219</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55390-2024</t>
        </is>
      </c>
      <c r="B744" t="inlineStr">
        <is>
          <t>avverkningsanmälan</t>
        </is>
      </c>
      <c r="C744" t="inlineStr">
        <is>
          <t>Föryngringsavverkning</t>
        </is>
      </c>
      <c r="D744" s="1" t="n">
        <v>45622</v>
      </c>
      <c r="E744" s="1" t="n">
        <v>46219</v>
      </c>
      <c r="F744" t="inlineStr">
        <is>
          <t>VÄRMLANDS LÄN</t>
        </is>
      </c>
      <c r="G744" t="inlineStr">
        <is>
          <t>SUNNE</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42377-2023</t>
        </is>
      </c>
      <c r="B745" t="inlineStr">
        <is>
          <t>avverkningsanmälan</t>
        </is>
      </c>
      <c r="C745" t="inlineStr">
        <is>
          <t>Föryngringsavverkning</t>
        </is>
      </c>
      <c r="D745" s="1" t="n">
        <v>45180</v>
      </c>
      <c r="E745" s="1" t="n">
        <v>46219</v>
      </c>
      <c r="F745" t="inlineStr">
        <is>
          <t>VÄRMLANDS LÄN</t>
        </is>
      </c>
      <c r="G745" t="inlineStr">
        <is>
          <t>SUNNE</t>
        </is>
      </c>
      <c r="I745" t="n">
        <v>2.6</v>
      </c>
      <c r="J745" t="n">
        <v>0</v>
      </c>
      <c r="K745" t="n">
        <v>0</v>
      </c>
      <c r="L745" t="n">
        <v>0</v>
      </c>
      <c r="M745" t="n">
        <v>0</v>
      </c>
      <c r="N745" t="n">
        <v>0</v>
      </c>
      <c r="O745" t="n">
        <v>0</v>
      </c>
      <c r="P745" t="n">
        <v>0</v>
      </c>
      <c r="Q745" t="n">
        <v>0</v>
      </c>
      <c r="R745" t="n">
        <v>0</v>
      </c>
      <c r="S745" t="n">
        <v>0</v>
      </c>
      <c r="T745" t="n">
        <v>0</v>
      </c>
      <c r="U745" s="2" t="inlineStr"/>
    </row>
    <row r="746" ht="15" customHeight="1">
      <c r="A746" t="inlineStr">
        <is>
          <t>A 44623-2023</t>
        </is>
      </c>
      <c r="B746" t="inlineStr">
        <is>
          <t>avverkningsanmälan</t>
        </is>
      </c>
      <c r="C746" t="inlineStr">
        <is>
          <t>Föryngringsavverkning</t>
        </is>
      </c>
      <c r="D746" s="1" t="n">
        <v>45189</v>
      </c>
      <c r="E746" s="1" t="n">
        <v>46219</v>
      </c>
      <c r="F746" t="inlineStr">
        <is>
          <t>VÄRMLANDS LÄN</t>
        </is>
      </c>
      <c r="G746" t="inlineStr">
        <is>
          <t>SUNNE</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26995-2024</t>
        </is>
      </c>
      <c r="B747" t="inlineStr">
        <is>
          <t>avverkningsanmälan</t>
        </is>
      </c>
      <c r="C747" t="inlineStr">
        <is>
          <t>Föryngringsavverkning</t>
        </is>
      </c>
      <c r="D747" s="1" t="n">
        <v>45471</v>
      </c>
      <c r="E747" s="1" t="n">
        <v>46219</v>
      </c>
      <c r="F747" t="inlineStr">
        <is>
          <t>VÄRMLANDS LÄN</t>
        </is>
      </c>
      <c r="G747" t="inlineStr">
        <is>
          <t>SUNNE</t>
        </is>
      </c>
      <c r="H747" t="inlineStr">
        <is>
          <t>Bergvik skog väst AB</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4566-2022</t>
        </is>
      </c>
      <c r="B748" t="inlineStr">
        <is>
          <t>avverkningsanmälan</t>
        </is>
      </c>
      <c r="C748" t="inlineStr">
        <is>
          <t>Föryngringsavverkning</t>
        </is>
      </c>
      <c r="D748" s="1" t="n">
        <v>44591</v>
      </c>
      <c r="E748" s="1" t="n">
        <v>46219</v>
      </c>
      <c r="F748" t="inlineStr">
        <is>
          <t>VÄRMLANDS LÄN</t>
        </is>
      </c>
      <c r="G748" t="inlineStr">
        <is>
          <t>SUNNE</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61760-2025</t>
        </is>
      </c>
      <c r="B749" t="inlineStr">
        <is>
          <t>avverkningsanmälan</t>
        </is>
      </c>
      <c r="C749" t="inlineStr">
        <is>
          <t>Föryngringsavverkning</t>
        </is>
      </c>
      <c r="D749" s="1" t="n">
        <v>46002</v>
      </c>
      <c r="E749" s="1" t="n">
        <v>46219</v>
      </c>
      <c r="F749" t="inlineStr">
        <is>
          <t>VÄRMLANDS LÄN</t>
        </is>
      </c>
      <c r="G749" t="inlineStr">
        <is>
          <t>SUNNE</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18116-2023</t>
        </is>
      </c>
      <c r="B750" t="inlineStr">
        <is>
          <t>avverkningsanmälan</t>
        </is>
      </c>
      <c r="C750" t="inlineStr">
        <is>
          <t>Föryngringsavverkning</t>
        </is>
      </c>
      <c r="D750" s="1" t="n">
        <v>45040</v>
      </c>
      <c r="E750" s="1" t="n">
        <v>46219</v>
      </c>
      <c r="F750" t="inlineStr">
        <is>
          <t>VÄRMLANDS LÄN</t>
        </is>
      </c>
      <c r="G750" t="inlineStr">
        <is>
          <t>SUNNE</t>
        </is>
      </c>
      <c r="I750" t="n">
        <v>2.5</v>
      </c>
      <c r="J750" t="n">
        <v>0</v>
      </c>
      <c r="K750" t="n">
        <v>0</v>
      </c>
      <c r="L750" t="n">
        <v>0</v>
      </c>
      <c r="M750" t="n">
        <v>0</v>
      </c>
      <c r="N750" t="n">
        <v>0</v>
      </c>
      <c r="O750" t="n">
        <v>0</v>
      </c>
      <c r="P750" t="n">
        <v>0</v>
      </c>
      <c r="Q750" t="n">
        <v>0</v>
      </c>
      <c r="R750" t="n">
        <v>0</v>
      </c>
      <c r="S750" t="n">
        <v>0</v>
      </c>
      <c r="T750" t="n">
        <v>0</v>
      </c>
      <c r="U750" s="2" t="inlineStr"/>
    </row>
    <row r="751" ht="15" customHeight="1">
      <c r="A751" t="inlineStr">
        <is>
          <t>A 20057-2024</t>
        </is>
      </c>
      <c r="B751" t="inlineStr">
        <is>
          <t>avverkningsanmälan</t>
        </is>
      </c>
      <c r="C751" t="inlineStr">
        <is>
          <t>Föryngringsavverkning</t>
        </is>
      </c>
      <c r="D751" s="1" t="n">
        <v>45434</v>
      </c>
      <c r="E751" s="1" t="n">
        <v>46219</v>
      </c>
      <c r="F751" t="inlineStr">
        <is>
          <t>VÄRMLANDS LÄN</t>
        </is>
      </c>
      <c r="G751" t="inlineStr">
        <is>
          <t>SUNNE</t>
        </is>
      </c>
      <c r="I751" t="n">
        <v>1.8</v>
      </c>
      <c r="J751" t="n">
        <v>0</v>
      </c>
      <c r="K751" t="n">
        <v>0</v>
      </c>
      <c r="L751" t="n">
        <v>0</v>
      </c>
      <c r="M751" t="n">
        <v>0</v>
      </c>
      <c r="N751" t="n">
        <v>0</v>
      </c>
      <c r="O751" t="n">
        <v>0</v>
      </c>
      <c r="P751" t="n">
        <v>0</v>
      </c>
      <c r="Q751" t="n">
        <v>0</v>
      </c>
      <c r="R751" t="n">
        <v>0</v>
      </c>
      <c r="S751" t="n">
        <v>0</v>
      </c>
      <c r="T751" t="n">
        <v>0</v>
      </c>
      <c r="U751" s="2" t="inlineStr"/>
    </row>
    <row r="752" ht="15" customHeight="1">
      <c r="A752" t="inlineStr">
        <is>
          <t>A 14740-2023</t>
        </is>
      </c>
      <c r="B752" t="inlineStr">
        <is>
          <t>avverkningsanmälan</t>
        </is>
      </c>
      <c r="C752" t="inlineStr">
        <is>
          <t>Föryngringsavverkning</t>
        </is>
      </c>
      <c r="D752" s="1" t="n">
        <v>45014</v>
      </c>
      <c r="E752" s="1" t="n">
        <v>46219</v>
      </c>
      <c r="F752" t="inlineStr">
        <is>
          <t>VÄRMLANDS LÄN</t>
        </is>
      </c>
      <c r="G752" t="inlineStr">
        <is>
          <t>SUNNE</t>
        </is>
      </c>
      <c r="I752" t="n">
        <v>6.8</v>
      </c>
      <c r="J752" t="n">
        <v>0</v>
      </c>
      <c r="K752" t="n">
        <v>0</v>
      </c>
      <c r="L752" t="n">
        <v>0</v>
      </c>
      <c r="M752" t="n">
        <v>0</v>
      </c>
      <c r="N752" t="n">
        <v>0</v>
      </c>
      <c r="O752" t="n">
        <v>0</v>
      </c>
      <c r="P752" t="n">
        <v>0</v>
      </c>
      <c r="Q752" t="n">
        <v>0</v>
      </c>
      <c r="R752" t="n">
        <v>0</v>
      </c>
      <c r="S752" t="n">
        <v>0</v>
      </c>
      <c r="T752" t="n">
        <v>0</v>
      </c>
      <c r="U752" s="2" t="inlineStr"/>
    </row>
    <row r="753" ht="15" customHeight="1">
      <c r="A753" t="inlineStr">
        <is>
          <t>A 17691-2025</t>
        </is>
      </c>
      <c r="B753" t="inlineStr">
        <is>
          <t>avverkningsanmälan</t>
        </is>
      </c>
      <c r="C753" t="inlineStr">
        <is>
          <t>Föryngringsavverkning</t>
        </is>
      </c>
      <c r="D753" s="1" t="n">
        <v>45758</v>
      </c>
      <c r="E753" s="1" t="n">
        <v>46219</v>
      </c>
      <c r="F753" t="inlineStr">
        <is>
          <t>VÄRMLANDS LÄN</t>
        </is>
      </c>
      <c r="G753" t="inlineStr">
        <is>
          <t>SUNNE</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5709-2025</t>
        </is>
      </c>
      <c r="B754" t="inlineStr">
        <is>
          <t>avverkningsanmälan</t>
        </is>
      </c>
      <c r="C754" t="inlineStr">
        <is>
          <t>Föryngringsavverkning</t>
        </is>
      </c>
      <c r="D754" s="1" t="n">
        <v>45694</v>
      </c>
      <c r="E754" s="1" t="n">
        <v>46219</v>
      </c>
      <c r="F754" t="inlineStr">
        <is>
          <t>VÄRMLANDS LÄN</t>
        </is>
      </c>
      <c r="G754" t="inlineStr">
        <is>
          <t>SUNNE</t>
        </is>
      </c>
      <c r="I754" t="n">
        <v>11.3</v>
      </c>
      <c r="J754" t="n">
        <v>0</v>
      </c>
      <c r="K754" t="n">
        <v>0</v>
      </c>
      <c r="L754" t="n">
        <v>0</v>
      </c>
      <c r="M754" t="n">
        <v>0</v>
      </c>
      <c r="N754" t="n">
        <v>0</v>
      </c>
      <c r="O754" t="n">
        <v>0</v>
      </c>
      <c r="P754" t="n">
        <v>0</v>
      </c>
      <c r="Q754" t="n">
        <v>0</v>
      </c>
      <c r="R754" t="n">
        <v>0</v>
      </c>
      <c r="S754" t="n">
        <v>0</v>
      </c>
      <c r="T754" t="n">
        <v>0</v>
      </c>
      <c r="U754" s="2" t="inlineStr"/>
    </row>
    <row r="755" ht="15" customHeight="1">
      <c r="A755" t="inlineStr">
        <is>
          <t>A 38377-2024</t>
        </is>
      </c>
      <c r="B755" t="inlineStr">
        <is>
          <t>avverkningsanmälan</t>
        </is>
      </c>
      <c r="C755" t="inlineStr">
        <is>
          <t>Föryngringsavverkning</t>
        </is>
      </c>
      <c r="D755" s="1" t="n">
        <v>45545</v>
      </c>
      <c r="E755" s="1" t="n">
        <v>46219</v>
      </c>
      <c r="F755" t="inlineStr">
        <is>
          <t>VÄRMLANDS LÄN</t>
        </is>
      </c>
      <c r="G755" t="inlineStr">
        <is>
          <t>SUNNE</t>
        </is>
      </c>
      <c r="I755" t="n">
        <v>4.1</v>
      </c>
      <c r="J755" t="n">
        <v>0</v>
      </c>
      <c r="K755" t="n">
        <v>0</v>
      </c>
      <c r="L755" t="n">
        <v>0</v>
      </c>
      <c r="M755" t="n">
        <v>0</v>
      </c>
      <c r="N755" t="n">
        <v>0</v>
      </c>
      <c r="O755" t="n">
        <v>0</v>
      </c>
      <c r="P755" t="n">
        <v>0</v>
      </c>
      <c r="Q755" t="n">
        <v>0</v>
      </c>
      <c r="R755" t="n">
        <v>0</v>
      </c>
      <c r="S755" t="n">
        <v>0</v>
      </c>
      <c r="T755" t="n">
        <v>0</v>
      </c>
      <c r="U755" s="2" t="inlineStr"/>
    </row>
    <row r="756" ht="15" customHeight="1">
      <c r="A756" t="inlineStr">
        <is>
          <t>A 62067-2025</t>
        </is>
      </c>
      <c r="B756" t="inlineStr">
        <is>
          <t>avverkningsanmälan</t>
        </is>
      </c>
      <c r="C756" t="inlineStr">
        <is>
          <t>Föryngringsavverkning</t>
        </is>
      </c>
      <c r="D756" s="1" t="n">
        <v>46006</v>
      </c>
      <c r="E756" s="1" t="n">
        <v>46219</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7712-2024</t>
        </is>
      </c>
      <c r="B757" t="inlineStr">
        <is>
          <t>avverkningsanmälan</t>
        </is>
      </c>
      <c r="C757" t="inlineStr">
        <is>
          <t>Föryngringsavverkning</t>
        </is>
      </c>
      <c r="D757" s="1" t="n">
        <v>45349</v>
      </c>
      <c r="E757" s="1" t="n">
        <v>46219</v>
      </c>
      <c r="F757" t="inlineStr">
        <is>
          <t>VÄRMLANDS LÄN</t>
        </is>
      </c>
      <c r="G757" t="inlineStr">
        <is>
          <t>SUNNE</t>
        </is>
      </c>
      <c r="I757" t="n">
        <v>4</v>
      </c>
      <c r="J757" t="n">
        <v>0</v>
      </c>
      <c r="K757" t="n">
        <v>0</v>
      </c>
      <c r="L757" t="n">
        <v>0</v>
      </c>
      <c r="M757" t="n">
        <v>0</v>
      </c>
      <c r="N757" t="n">
        <v>0</v>
      </c>
      <c r="O757" t="n">
        <v>0</v>
      </c>
      <c r="P757" t="n">
        <v>0</v>
      </c>
      <c r="Q757" t="n">
        <v>0</v>
      </c>
      <c r="R757" t="n">
        <v>0</v>
      </c>
      <c r="S757" t="n">
        <v>0</v>
      </c>
      <c r="T757" t="n">
        <v>0</v>
      </c>
      <c r="U757" s="2" t="inlineStr"/>
    </row>
    <row r="758" ht="15" customHeight="1">
      <c r="A758" t="inlineStr">
        <is>
          <t>A 61882-2025</t>
        </is>
      </c>
      <c r="B758" t="inlineStr">
        <is>
          <t>avverkningsanmälan</t>
        </is>
      </c>
      <c r="C758" t="inlineStr">
        <is>
          <t>Föryngringsavverkning</t>
        </is>
      </c>
      <c r="D758" s="1" t="n">
        <v>46003</v>
      </c>
      <c r="E758" s="1" t="n">
        <v>46219</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62073-2025</t>
        </is>
      </c>
      <c r="B759" t="inlineStr">
        <is>
          <t>avverkningsanmälan</t>
        </is>
      </c>
      <c r="C759" t="inlineStr">
        <is>
          <t>Föryngringsavverkning</t>
        </is>
      </c>
      <c r="D759" s="1" t="n">
        <v>46006</v>
      </c>
      <c r="E759" s="1" t="n">
        <v>46219</v>
      </c>
      <c r="F759" t="inlineStr">
        <is>
          <t>VÄRMLANDS LÄN</t>
        </is>
      </c>
      <c r="G759" t="inlineStr">
        <is>
          <t>SUNNE</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41407-2024</t>
        </is>
      </c>
      <c r="B760" t="inlineStr">
        <is>
          <t>avverkningsanmälan</t>
        </is>
      </c>
      <c r="C760" t="inlineStr">
        <is>
          <t>Föryngringsavverkning</t>
        </is>
      </c>
      <c r="D760" s="1" t="n">
        <v>45560</v>
      </c>
      <c r="E760" s="1" t="n">
        <v>46219</v>
      </c>
      <c r="F760" t="inlineStr">
        <is>
          <t>VÄRMLANDS LÄN</t>
        </is>
      </c>
      <c r="G760" t="inlineStr">
        <is>
          <t>SUNNE</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62070-2025</t>
        </is>
      </c>
      <c r="B761" t="inlineStr">
        <is>
          <t>avverkningsanmälan</t>
        </is>
      </c>
      <c r="C761" t="inlineStr">
        <is>
          <t>Föryngringsavverkning</t>
        </is>
      </c>
      <c r="D761" s="1" t="n">
        <v>46006</v>
      </c>
      <c r="E761" s="1" t="n">
        <v>46219</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16882-2024</t>
        </is>
      </c>
      <c r="B762" t="inlineStr">
        <is>
          <t>avverkningsanmälan</t>
        </is>
      </c>
      <c r="C762" t="inlineStr">
        <is>
          <t>Föryngringsavverkning</t>
        </is>
      </c>
      <c r="D762" s="1" t="n">
        <v>45411</v>
      </c>
      <c r="E762" s="1" t="n">
        <v>46219</v>
      </c>
      <c r="F762" t="inlineStr">
        <is>
          <t>VÄRMLANDS LÄN</t>
        </is>
      </c>
      <c r="G762" t="inlineStr">
        <is>
          <t>SUNNE</t>
        </is>
      </c>
      <c r="H762" t="inlineStr">
        <is>
          <t>Bergvik skog väst AB</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31020-2024</t>
        </is>
      </c>
      <c r="B763" t="inlineStr">
        <is>
          <t>avverkningsanmälan</t>
        </is>
      </c>
      <c r="C763" t="inlineStr">
        <is>
          <t>Föryngringsavverkning</t>
        </is>
      </c>
      <c r="D763" s="1" t="n">
        <v>45499</v>
      </c>
      <c r="E763" s="1" t="n">
        <v>46219</v>
      </c>
      <c r="F763" t="inlineStr">
        <is>
          <t>VÄRMLANDS LÄN</t>
        </is>
      </c>
      <c r="G763" t="inlineStr">
        <is>
          <t>SUNNE</t>
        </is>
      </c>
      <c r="I763" t="n">
        <v>5</v>
      </c>
      <c r="J763" t="n">
        <v>0</v>
      </c>
      <c r="K763" t="n">
        <v>0</v>
      </c>
      <c r="L763" t="n">
        <v>0</v>
      </c>
      <c r="M763" t="n">
        <v>0</v>
      </c>
      <c r="N763" t="n">
        <v>0</v>
      </c>
      <c r="O763" t="n">
        <v>0</v>
      </c>
      <c r="P763" t="n">
        <v>0</v>
      </c>
      <c r="Q763" t="n">
        <v>0</v>
      </c>
      <c r="R763" t="n">
        <v>0</v>
      </c>
      <c r="S763" t="n">
        <v>0</v>
      </c>
      <c r="T763" t="n">
        <v>0</v>
      </c>
      <c r="U763" s="2" t="inlineStr"/>
    </row>
    <row r="764" ht="15" customHeight="1">
      <c r="A764" t="inlineStr">
        <is>
          <t>A 43483-2024</t>
        </is>
      </c>
      <c r="B764" t="inlineStr">
        <is>
          <t>avverkningsanmälan</t>
        </is>
      </c>
      <c r="C764" t="inlineStr">
        <is>
          <t>Föryngringsavverkning</t>
        </is>
      </c>
      <c r="D764" s="1" t="n">
        <v>45568</v>
      </c>
      <c r="E764" s="1" t="n">
        <v>46219</v>
      </c>
      <c r="F764" t="inlineStr">
        <is>
          <t>VÄRMLANDS LÄN</t>
        </is>
      </c>
      <c r="G764" t="inlineStr">
        <is>
          <t>SUNNE</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11687-2025</t>
        </is>
      </c>
      <c r="B765" t="inlineStr">
        <is>
          <t>avverkningsanmälan</t>
        </is>
      </c>
      <c r="C765" t="inlineStr">
        <is>
          <t>Föryngringsavverkning</t>
        </is>
      </c>
      <c r="D765" s="1" t="n">
        <v>45726</v>
      </c>
      <c r="E765" s="1" t="n">
        <v>46219</v>
      </c>
      <c r="F765" t="inlineStr">
        <is>
          <t>VÄRMLANDS LÄN</t>
        </is>
      </c>
      <c r="G765" t="inlineStr">
        <is>
          <t>SUNNE</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24923-2023</t>
        </is>
      </c>
      <c r="B766" t="inlineStr">
        <is>
          <t>avverkningsanmälan</t>
        </is>
      </c>
      <c r="C766" t="inlineStr">
        <is>
          <t>Föryngringsavverkning</t>
        </is>
      </c>
      <c r="D766" s="1" t="n">
        <v>45085</v>
      </c>
      <c r="E766" s="1" t="n">
        <v>46219</v>
      </c>
      <c r="F766" t="inlineStr">
        <is>
          <t>VÄRMLANDS LÄN</t>
        </is>
      </c>
      <c r="G766" t="inlineStr">
        <is>
          <t>SUNNE</t>
        </is>
      </c>
      <c r="I766" t="n">
        <v>4.2</v>
      </c>
      <c r="J766" t="n">
        <v>0</v>
      </c>
      <c r="K766" t="n">
        <v>0</v>
      </c>
      <c r="L766" t="n">
        <v>0</v>
      </c>
      <c r="M766" t="n">
        <v>0</v>
      </c>
      <c r="N766" t="n">
        <v>0</v>
      </c>
      <c r="O766" t="n">
        <v>0</v>
      </c>
      <c r="P766" t="n">
        <v>0</v>
      </c>
      <c r="Q766" t="n">
        <v>0</v>
      </c>
      <c r="R766" t="n">
        <v>0</v>
      </c>
      <c r="S766" t="n">
        <v>0</v>
      </c>
      <c r="T766" t="n">
        <v>0</v>
      </c>
      <c r="U766" s="2" t="inlineStr"/>
    </row>
    <row r="767" ht="15" customHeight="1">
      <c r="A767" t="inlineStr">
        <is>
          <t>A 30304-2024</t>
        </is>
      </c>
      <c r="B767" t="inlineStr">
        <is>
          <t>avverkningsanmälan</t>
        </is>
      </c>
      <c r="C767" t="inlineStr">
        <is>
          <t>Föryngringsavverkning</t>
        </is>
      </c>
      <c r="D767" s="1" t="n">
        <v>45490</v>
      </c>
      <c r="E767" s="1" t="n">
        <v>46219</v>
      </c>
      <c r="F767" t="inlineStr">
        <is>
          <t>VÄRMLANDS LÄN</t>
        </is>
      </c>
      <c r="G767" t="inlineStr">
        <is>
          <t>SUNNE</t>
        </is>
      </c>
      <c r="I767" t="n">
        <v>0.6</v>
      </c>
      <c r="J767" t="n">
        <v>0</v>
      </c>
      <c r="K767" t="n">
        <v>0</v>
      </c>
      <c r="L767" t="n">
        <v>0</v>
      </c>
      <c r="M767" t="n">
        <v>0</v>
      </c>
      <c r="N767" t="n">
        <v>0</v>
      </c>
      <c r="O767" t="n">
        <v>0</v>
      </c>
      <c r="P767" t="n">
        <v>0</v>
      </c>
      <c r="Q767" t="n">
        <v>0</v>
      </c>
      <c r="R767" t="n">
        <v>0</v>
      </c>
      <c r="S767" t="n">
        <v>0</v>
      </c>
      <c r="T767" t="n">
        <v>0</v>
      </c>
      <c r="U767" s="2" t="inlineStr"/>
    </row>
    <row r="768" ht="15" customHeight="1">
      <c r="A768" t="inlineStr">
        <is>
          <t>A 29216-2023</t>
        </is>
      </c>
      <c r="B768" t="inlineStr">
        <is>
          <t>avverkningsanmälan</t>
        </is>
      </c>
      <c r="C768" t="inlineStr">
        <is>
          <t>Föryngringsavverkning</t>
        </is>
      </c>
      <c r="D768" s="1" t="n">
        <v>45105</v>
      </c>
      <c r="E768" s="1" t="n">
        <v>46219</v>
      </c>
      <c r="F768" t="inlineStr">
        <is>
          <t>VÄRMLANDS LÄN</t>
        </is>
      </c>
      <c r="G768" t="inlineStr">
        <is>
          <t>SUNNE</t>
        </is>
      </c>
      <c r="I768" t="n">
        <v>6.8</v>
      </c>
      <c r="J768" t="n">
        <v>0</v>
      </c>
      <c r="K768" t="n">
        <v>0</v>
      </c>
      <c r="L768" t="n">
        <v>0</v>
      </c>
      <c r="M768" t="n">
        <v>0</v>
      </c>
      <c r="N768" t="n">
        <v>0</v>
      </c>
      <c r="O768" t="n">
        <v>0</v>
      </c>
      <c r="P768" t="n">
        <v>0</v>
      </c>
      <c r="Q768" t="n">
        <v>0</v>
      </c>
      <c r="R768" t="n">
        <v>0</v>
      </c>
      <c r="S768" t="n">
        <v>0</v>
      </c>
      <c r="T768" t="n">
        <v>0</v>
      </c>
      <c r="U768" s="2" t="inlineStr"/>
    </row>
    <row r="769" ht="15" customHeight="1">
      <c r="A769" t="inlineStr">
        <is>
          <t>A 6-2022</t>
        </is>
      </c>
      <c r="B769" t="inlineStr">
        <is>
          <t>avverkningsanmälan</t>
        </is>
      </c>
      <c r="C769" t="inlineStr">
        <is>
          <t>Föryngringsavverkning</t>
        </is>
      </c>
      <c r="D769" s="1" t="n">
        <v>44563</v>
      </c>
      <c r="E769" s="1" t="n">
        <v>46219</v>
      </c>
      <c r="F769" t="inlineStr">
        <is>
          <t>VÄRMLANDS LÄN</t>
        </is>
      </c>
      <c r="G769" t="inlineStr">
        <is>
          <t>SUNNE</t>
        </is>
      </c>
      <c r="I769" t="n">
        <v>3.7</v>
      </c>
      <c r="J769" t="n">
        <v>0</v>
      </c>
      <c r="K769" t="n">
        <v>0</v>
      </c>
      <c r="L769" t="n">
        <v>0</v>
      </c>
      <c r="M769" t="n">
        <v>0</v>
      </c>
      <c r="N769" t="n">
        <v>0</v>
      </c>
      <c r="O769" t="n">
        <v>0</v>
      </c>
      <c r="P769" t="n">
        <v>0</v>
      </c>
      <c r="Q769" t="n">
        <v>0</v>
      </c>
      <c r="R769" t="n">
        <v>0</v>
      </c>
      <c r="S769" t="n">
        <v>0</v>
      </c>
      <c r="T769" t="n">
        <v>0</v>
      </c>
      <c r="U769" s="2" t="inlineStr"/>
    </row>
    <row r="770" ht="15" customHeight="1">
      <c r="A770" t="inlineStr">
        <is>
          <t>A 25429-2023</t>
        </is>
      </c>
      <c r="B770" t="inlineStr">
        <is>
          <t>avverkningsanmälan</t>
        </is>
      </c>
      <c r="C770" t="inlineStr">
        <is>
          <t>Föryngringsavverkning</t>
        </is>
      </c>
      <c r="D770" s="1" t="n">
        <v>45089</v>
      </c>
      <c r="E770" s="1" t="n">
        <v>46219</v>
      </c>
      <c r="F770" t="inlineStr">
        <is>
          <t>VÄRMLANDS LÄN</t>
        </is>
      </c>
      <c r="G770" t="inlineStr">
        <is>
          <t>SUNNE</t>
        </is>
      </c>
      <c r="I770" t="n">
        <v>8</v>
      </c>
      <c r="J770" t="n">
        <v>0</v>
      </c>
      <c r="K770" t="n">
        <v>0</v>
      </c>
      <c r="L770" t="n">
        <v>0</v>
      </c>
      <c r="M770" t="n">
        <v>0</v>
      </c>
      <c r="N770" t="n">
        <v>0</v>
      </c>
      <c r="O770" t="n">
        <v>0</v>
      </c>
      <c r="P770" t="n">
        <v>0</v>
      </c>
      <c r="Q770" t="n">
        <v>0</v>
      </c>
      <c r="R770" t="n">
        <v>0</v>
      </c>
      <c r="S770" t="n">
        <v>0</v>
      </c>
      <c r="T770" t="n">
        <v>0</v>
      </c>
      <c r="U770" s="2" t="inlineStr"/>
    </row>
    <row r="771" ht="15" customHeight="1">
      <c r="A771" t="inlineStr">
        <is>
          <t>A 46102-2023</t>
        </is>
      </c>
      <c r="B771" t="inlineStr">
        <is>
          <t>avverkningsanmälan</t>
        </is>
      </c>
      <c r="C771" t="inlineStr">
        <is>
          <t>Föryngringsavverkning</t>
        </is>
      </c>
      <c r="D771" s="1" t="n">
        <v>45196</v>
      </c>
      <c r="E771" s="1" t="n">
        <v>46219</v>
      </c>
      <c r="F771" t="inlineStr">
        <is>
          <t>VÄRMLANDS LÄN</t>
        </is>
      </c>
      <c r="G771" t="inlineStr">
        <is>
          <t>SUNNE</t>
        </is>
      </c>
      <c r="I771" t="n">
        <v>3.6</v>
      </c>
      <c r="J771" t="n">
        <v>0</v>
      </c>
      <c r="K771" t="n">
        <v>0</v>
      </c>
      <c r="L771" t="n">
        <v>0</v>
      </c>
      <c r="M771" t="n">
        <v>0</v>
      </c>
      <c r="N771" t="n">
        <v>0</v>
      </c>
      <c r="O771" t="n">
        <v>0</v>
      </c>
      <c r="P771" t="n">
        <v>0</v>
      </c>
      <c r="Q771" t="n">
        <v>0</v>
      </c>
      <c r="R771" t="n">
        <v>0</v>
      </c>
      <c r="S771" t="n">
        <v>0</v>
      </c>
      <c r="T771" t="n">
        <v>0</v>
      </c>
      <c r="U771" s="2" t="inlineStr"/>
    </row>
    <row r="772" ht="15" customHeight="1">
      <c r="A772" t="inlineStr">
        <is>
          <t>A 63280-2025</t>
        </is>
      </c>
      <c r="B772" t="inlineStr">
        <is>
          <t>avverkningsanmälan</t>
        </is>
      </c>
      <c r="C772" t="inlineStr">
        <is>
          <t>Föryngringsavverkning</t>
        </is>
      </c>
      <c r="D772" s="1" t="n">
        <v>46010</v>
      </c>
      <c r="E772" s="1" t="n">
        <v>46219</v>
      </c>
      <c r="F772" t="inlineStr">
        <is>
          <t>VÄRMLANDS LÄN</t>
        </is>
      </c>
      <c r="G772" t="inlineStr">
        <is>
          <t>SUNNE</t>
        </is>
      </c>
      <c r="H772" t="inlineStr">
        <is>
          <t>Kyrkan</t>
        </is>
      </c>
      <c r="I772" t="n">
        <v>7.9</v>
      </c>
      <c r="J772" t="n">
        <v>0</v>
      </c>
      <c r="K772" t="n">
        <v>0</v>
      </c>
      <c r="L772" t="n">
        <v>0</v>
      </c>
      <c r="M772" t="n">
        <v>0</v>
      </c>
      <c r="N772" t="n">
        <v>0</v>
      </c>
      <c r="O772" t="n">
        <v>0</v>
      </c>
      <c r="P772" t="n">
        <v>0</v>
      </c>
      <c r="Q772" t="n">
        <v>0</v>
      </c>
      <c r="R772" t="n">
        <v>0</v>
      </c>
      <c r="S772" t="n">
        <v>0</v>
      </c>
      <c r="T772" t="n">
        <v>0</v>
      </c>
      <c r="U772" s="2" t="inlineStr"/>
    </row>
    <row r="773" ht="15" customHeight="1">
      <c r="A773" t="inlineStr">
        <is>
          <t>A 5006-2025</t>
        </is>
      </c>
      <c r="B773" t="inlineStr">
        <is>
          <t>avverkningsanmälan</t>
        </is>
      </c>
      <c r="C773" t="inlineStr">
        <is>
          <t>Föryngringsavverkning</t>
        </is>
      </c>
      <c r="D773" s="1" t="n">
        <v>45691</v>
      </c>
      <c r="E773" s="1" t="n">
        <v>46219</v>
      </c>
      <c r="F773" t="inlineStr">
        <is>
          <t>VÄRMLANDS LÄN</t>
        </is>
      </c>
      <c r="G773" t="inlineStr">
        <is>
          <t>SUNNE</t>
        </is>
      </c>
      <c r="I773" t="n">
        <v>1.2</v>
      </c>
      <c r="J773" t="n">
        <v>0</v>
      </c>
      <c r="K773" t="n">
        <v>0</v>
      </c>
      <c r="L773" t="n">
        <v>0</v>
      </c>
      <c r="M773" t="n">
        <v>0</v>
      </c>
      <c r="N773" t="n">
        <v>0</v>
      </c>
      <c r="O773" t="n">
        <v>0</v>
      </c>
      <c r="P773" t="n">
        <v>0</v>
      </c>
      <c r="Q773" t="n">
        <v>0</v>
      </c>
      <c r="R773" t="n">
        <v>0</v>
      </c>
      <c r="S773" t="n">
        <v>0</v>
      </c>
      <c r="T773" t="n">
        <v>0</v>
      </c>
      <c r="U773" s="2" t="inlineStr"/>
    </row>
    <row r="774" ht="15" customHeight="1">
      <c r="A774" t="inlineStr">
        <is>
          <t>A 20978-2023</t>
        </is>
      </c>
      <c r="B774" t="inlineStr">
        <is>
          <t>avverkningsanmälan</t>
        </is>
      </c>
      <c r="C774" t="inlineStr">
        <is>
          <t>Föryngringsavverkning</t>
        </is>
      </c>
      <c r="D774" s="1" t="n">
        <v>45061</v>
      </c>
      <c r="E774" s="1" t="n">
        <v>46219</v>
      </c>
      <c r="F774" t="inlineStr">
        <is>
          <t>VÄRMLANDS LÄN</t>
        </is>
      </c>
      <c r="G774" t="inlineStr">
        <is>
          <t>SUNNE</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25199-2023</t>
        </is>
      </c>
      <c r="B775" t="inlineStr">
        <is>
          <t>avverkningsanmälan</t>
        </is>
      </c>
      <c r="C775" t="inlineStr">
        <is>
          <t>Föryngringsavverkning</t>
        </is>
      </c>
      <c r="D775" s="1" t="n">
        <v>45086</v>
      </c>
      <c r="E775" s="1" t="n">
        <v>46219</v>
      </c>
      <c r="F775" t="inlineStr">
        <is>
          <t>VÄRMLANDS LÄN</t>
        </is>
      </c>
      <c r="G775" t="inlineStr">
        <is>
          <t>SUNNE</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25208-2023</t>
        </is>
      </c>
      <c r="B776" t="inlineStr">
        <is>
          <t>avverkningsanmälan</t>
        </is>
      </c>
      <c r="C776" t="inlineStr">
        <is>
          <t>Föryngringsavverkning</t>
        </is>
      </c>
      <c r="D776" s="1" t="n">
        <v>45086</v>
      </c>
      <c r="E776" s="1" t="n">
        <v>46219</v>
      </c>
      <c r="F776" t="inlineStr">
        <is>
          <t>VÄRMLANDS LÄN</t>
        </is>
      </c>
      <c r="G776" t="inlineStr">
        <is>
          <t>SUNNE</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47273-2024</t>
        </is>
      </c>
      <c r="B777" t="inlineStr">
        <is>
          <t>avverkningsanmälan</t>
        </is>
      </c>
      <c r="C777" t="inlineStr">
        <is>
          <t>Föryngringsavverkning</t>
        </is>
      </c>
      <c r="D777" s="1" t="n">
        <v>45586</v>
      </c>
      <c r="E777" s="1" t="n">
        <v>46219</v>
      </c>
      <c r="F777" t="inlineStr">
        <is>
          <t>VÄRMLANDS LÄN</t>
        </is>
      </c>
      <c r="G777" t="inlineStr">
        <is>
          <t>SUNNE</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39128-2023</t>
        </is>
      </c>
      <c r="B778" t="inlineStr">
        <is>
          <t>avverkningsanmälan</t>
        </is>
      </c>
      <c r="C778" t="inlineStr">
        <is>
          <t>Föryngringsavverkning</t>
        </is>
      </c>
      <c r="D778" s="1" t="n">
        <v>45165</v>
      </c>
      <c r="E778" s="1" t="n">
        <v>46219</v>
      </c>
      <c r="F778" t="inlineStr">
        <is>
          <t>VÄRMLANDS LÄN</t>
        </is>
      </c>
      <c r="G778" t="inlineStr">
        <is>
          <t>SUNNE</t>
        </is>
      </c>
      <c r="I778" t="n">
        <v>3.6</v>
      </c>
      <c r="J778" t="n">
        <v>0</v>
      </c>
      <c r="K778" t="n">
        <v>0</v>
      </c>
      <c r="L778" t="n">
        <v>0</v>
      </c>
      <c r="M778" t="n">
        <v>0</v>
      </c>
      <c r="N778" t="n">
        <v>0</v>
      </c>
      <c r="O778" t="n">
        <v>0</v>
      </c>
      <c r="P778" t="n">
        <v>0</v>
      </c>
      <c r="Q778" t="n">
        <v>0</v>
      </c>
      <c r="R778" t="n">
        <v>0</v>
      </c>
      <c r="S778" t="n">
        <v>0</v>
      </c>
      <c r="T778" t="n">
        <v>0</v>
      </c>
      <c r="U778" s="2" t="inlineStr"/>
    </row>
    <row r="779" ht="15" customHeight="1">
      <c r="A779" t="inlineStr">
        <is>
          <t>A 44170-2024</t>
        </is>
      </c>
      <c r="B779" t="inlineStr">
        <is>
          <t>avverkningsanmälan</t>
        </is>
      </c>
      <c r="C779" t="inlineStr">
        <is>
          <t>Föryngringsavverkning</t>
        </is>
      </c>
      <c r="D779" s="1" t="n">
        <v>45572</v>
      </c>
      <c r="E779" s="1" t="n">
        <v>46219</v>
      </c>
      <c r="F779" t="inlineStr">
        <is>
          <t>VÄRMLANDS LÄN</t>
        </is>
      </c>
      <c r="G779" t="inlineStr">
        <is>
          <t>SUNNE</t>
        </is>
      </c>
      <c r="I779" t="n">
        <v>0.7</v>
      </c>
      <c r="J779" t="n">
        <v>0</v>
      </c>
      <c r="K779" t="n">
        <v>0</v>
      </c>
      <c r="L779" t="n">
        <v>0</v>
      </c>
      <c r="M779" t="n">
        <v>0</v>
      </c>
      <c r="N779" t="n">
        <v>0</v>
      </c>
      <c r="O779" t="n">
        <v>0</v>
      </c>
      <c r="P779" t="n">
        <v>0</v>
      </c>
      <c r="Q779" t="n">
        <v>0</v>
      </c>
      <c r="R779" t="n">
        <v>0</v>
      </c>
      <c r="S779" t="n">
        <v>0</v>
      </c>
      <c r="T779" t="n">
        <v>0</v>
      </c>
      <c r="U779" s="2" t="inlineStr"/>
    </row>
    <row r="780" ht="15" customHeight="1">
      <c r="A780" t="inlineStr">
        <is>
          <t>A 53428-2024</t>
        </is>
      </c>
      <c r="B780" t="inlineStr">
        <is>
          <t>avverkningsanmälan</t>
        </is>
      </c>
      <c r="C780" t="inlineStr">
        <is>
          <t>Föryngringsavverkning</t>
        </is>
      </c>
      <c r="D780" s="1" t="n">
        <v>45614</v>
      </c>
      <c r="E780" s="1" t="n">
        <v>46219</v>
      </c>
      <c r="F780" t="inlineStr">
        <is>
          <t>VÄRMLANDS LÄN</t>
        </is>
      </c>
      <c r="G780" t="inlineStr">
        <is>
          <t>SUNNE</t>
        </is>
      </c>
      <c r="I780" t="n">
        <v>1.7</v>
      </c>
      <c r="J780" t="n">
        <v>0</v>
      </c>
      <c r="K780" t="n">
        <v>0</v>
      </c>
      <c r="L780" t="n">
        <v>0</v>
      </c>
      <c r="M780" t="n">
        <v>0</v>
      </c>
      <c r="N780" t="n">
        <v>0</v>
      </c>
      <c r="O780" t="n">
        <v>0</v>
      </c>
      <c r="P780" t="n">
        <v>0</v>
      </c>
      <c r="Q780" t="n">
        <v>0</v>
      </c>
      <c r="R780" t="n">
        <v>0</v>
      </c>
      <c r="S780" t="n">
        <v>0</v>
      </c>
      <c r="T780" t="n">
        <v>0</v>
      </c>
      <c r="U780" s="2" t="inlineStr"/>
    </row>
    <row r="781" ht="15" customHeight="1">
      <c r="A781" t="inlineStr">
        <is>
          <t>A 20465-2023</t>
        </is>
      </c>
      <c r="B781" t="inlineStr">
        <is>
          <t>avverkningsanmälan</t>
        </is>
      </c>
      <c r="C781" t="inlineStr">
        <is>
          <t>Föryngringsavverkning</t>
        </is>
      </c>
      <c r="D781" s="1" t="n">
        <v>45057</v>
      </c>
      <c r="E781" s="1" t="n">
        <v>46219</v>
      </c>
      <c r="F781" t="inlineStr">
        <is>
          <t>VÄRMLANDS LÄN</t>
        </is>
      </c>
      <c r="G781" t="inlineStr">
        <is>
          <t>SUNNE</t>
        </is>
      </c>
      <c r="H781" t="inlineStr">
        <is>
          <t>Kyrkan</t>
        </is>
      </c>
      <c r="I781" t="n">
        <v>3.5</v>
      </c>
      <c r="J781" t="n">
        <v>0</v>
      </c>
      <c r="K781" t="n">
        <v>0</v>
      </c>
      <c r="L781" t="n">
        <v>0</v>
      </c>
      <c r="M781" t="n">
        <v>0</v>
      </c>
      <c r="N781" t="n">
        <v>0</v>
      </c>
      <c r="O781" t="n">
        <v>0</v>
      </c>
      <c r="P781" t="n">
        <v>0</v>
      </c>
      <c r="Q781" t="n">
        <v>0</v>
      </c>
      <c r="R781" t="n">
        <v>0</v>
      </c>
      <c r="S781" t="n">
        <v>0</v>
      </c>
      <c r="T781" t="n">
        <v>0</v>
      </c>
      <c r="U781" s="2" t="inlineStr"/>
    </row>
    <row r="782" ht="15" customHeight="1">
      <c r="A782" t="inlineStr">
        <is>
          <t>A 63704-2025</t>
        </is>
      </c>
      <c r="B782" t="inlineStr">
        <is>
          <t>avverkningsanmälan</t>
        </is>
      </c>
      <c r="C782" t="inlineStr">
        <is>
          <t>Föryngringsavverkning</t>
        </is>
      </c>
      <c r="D782" s="1" t="n">
        <v>46014</v>
      </c>
      <c r="E782" s="1" t="n">
        <v>46219</v>
      </c>
      <c r="F782" t="inlineStr">
        <is>
          <t>VÄRMLANDS LÄN</t>
        </is>
      </c>
      <c r="G782" t="inlineStr">
        <is>
          <t>SUNNE</t>
        </is>
      </c>
      <c r="I782" t="n">
        <v>3.2</v>
      </c>
      <c r="J782" t="n">
        <v>0</v>
      </c>
      <c r="K782" t="n">
        <v>0</v>
      </c>
      <c r="L782" t="n">
        <v>0</v>
      </c>
      <c r="M782" t="n">
        <v>0</v>
      </c>
      <c r="N782" t="n">
        <v>0</v>
      </c>
      <c r="O782" t="n">
        <v>0</v>
      </c>
      <c r="P782" t="n">
        <v>0</v>
      </c>
      <c r="Q782" t="n">
        <v>0</v>
      </c>
      <c r="R782" t="n">
        <v>0</v>
      </c>
      <c r="S782" t="n">
        <v>0</v>
      </c>
      <c r="T782" t="n">
        <v>0</v>
      </c>
      <c r="U782" s="2" t="inlineStr"/>
    </row>
    <row r="783" ht="15" customHeight="1">
      <c r="A783" t="inlineStr">
        <is>
          <t>A 55121-2024</t>
        </is>
      </c>
      <c r="B783" t="inlineStr">
        <is>
          <t>avverkningsanmälan</t>
        </is>
      </c>
      <c r="C783" t="inlineStr">
        <is>
          <t>Föryngringsavverkning</t>
        </is>
      </c>
      <c r="D783" s="1" t="n">
        <v>45621</v>
      </c>
      <c r="E783" s="1" t="n">
        <v>46219</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63705-2025</t>
        </is>
      </c>
      <c r="B784" t="inlineStr">
        <is>
          <t>avverkningsanmälan</t>
        </is>
      </c>
      <c r="C784" t="inlineStr">
        <is>
          <t>Föryngringsavverkning</t>
        </is>
      </c>
      <c r="D784" s="1" t="n">
        <v>46014</v>
      </c>
      <c r="E784" s="1" t="n">
        <v>46219</v>
      </c>
      <c r="F784" t="inlineStr">
        <is>
          <t>VÄRMLANDS LÄN</t>
        </is>
      </c>
      <c r="G784" t="inlineStr">
        <is>
          <t>SUNNE</t>
        </is>
      </c>
      <c r="I784" t="n">
        <v>0.3</v>
      </c>
      <c r="J784" t="n">
        <v>0</v>
      </c>
      <c r="K784" t="n">
        <v>0</v>
      </c>
      <c r="L784" t="n">
        <v>0</v>
      </c>
      <c r="M784" t="n">
        <v>0</v>
      </c>
      <c r="N784" t="n">
        <v>0</v>
      </c>
      <c r="O784" t="n">
        <v>0</v>
      </c>
      <c r="P784" t="n">
        <v>0</v>
      </c>
      <c r="Q784" t="n">
        <v>0</v>
      </c>
      <c r="R784" t="n">
        <v>0</v>
      </c>
      <c r="S784" t="n">
        <v>0</v>
      </c>
      <c r="T784" t="n">
        <v>0</v>
      </c>
      <c r="U784" s="2" t="inlineStr"/>
    </row>
    <row r="785" ht="15" customHeight="1">
      <c r="A785" t="inlineStr">
        <is>
          <t>A 46880-2024</t>
        </is>
      </c>
      <c r="B785" t="inlineStr">
        <is>
          <t>avverkningsanmälan</t>
        </is>
      </c>
      <c r="C785" t="inlineStr">
        <is>
          <t>Föryngringsavverkning</t>
        </is>
      </c>
      <c r="D785" s="1" t="n">
        <v>45583</v>
      </c>
      <c r="E785" s="1" t="n">
        <v>46219</v>
      </c>
      <c r="F785" t="inlineStr">
        <is>
          <t>VÄRMLANDS LÄN</t>
        </is>
      </c>
      <c r="G785" t="inlineStr">
        <is>
          <t>SUNNE</t>
        </is>
      </c>
      <c r="H785" t="inlineStr">
        <is>
          <t>Kommuner</t>
        </is>
      </c>
      <c r="I785" t="n">
        <v>4.1</v>
      </c>
      <c r="J785" t="n">
        <v>0</v>
      </c>
      <c r="K785" t="n">
        <v>0</v>
      </c>
      <c r="L785" t="n">
        <v>0</v>
      </c>
      <c r="M785" t="n">
        <v>0</v>
      </c>
      <c r="N785" t="n">
        <v>0</v>
      </c>
      <c r="O785" t="n">
        <v>0</v>
      </c>
      <c r="P785" t="n">
        <v>0</v>
      </c>
      <c r="Q785" t="n">
        <v>0</v>
      </c>
      <c r="R785" t="n">
        <v>0</v>
      </c>
      <c r="S785" t="n">
        <v>0</v>
      </c>
      <c r="T785" t="n">
        <v>0</v>
      </c>
      <c r="U785" s="2" t="inlineStr"/>
    </row>
    <row r="786" ht="15" customHeight="1">
      <c r="A786" t="inlineStr">
        <is>
          <t>A 67-2026</t>
        </is>
      </c>
      <c r="B786" t="inlineStr">
        <is>
          <t>avverkningsanmälan</t>
        </is>
      </c>
      <c r="C786" t="inlineStr">
        <is>
          <t>Föryngringsavverkning</t>
        </is>
      </c>
      <c r="D786" s="1" t="n">
        <v>46014</v>
      </c>
      <c r="E786" s="1" t="n">
        <v>46219</v>
      </c>
      <c r="F786" t="inlineStr">
        <is>
          <t>VÄRMLANDS LÄN</t>
        </is>
      </c>
      <c r="G786" t="inlineStr">
        <is>
          <t>SUNNE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42477-2023</t>
        </is>
      </c>
      <c r="B787" t="inlineStr">
        <is>
          <t>avverkningsanmälan</t>
        </is>
      </c>
      <c r="C787" t="inlineStr">
        <is>
          <t>Föryngringsavverkning</t>
        </is>
      </c>
      <c r="D787" s="1" t="n">
        <v>45180</v>
      </c>
      <c r="E787" s="1" t="n">
        <v>46219</v>
      </c>
      <c r="F787" t="inlineStr">
        <is>
          <t>VÄRMLANDS LÄN</t>
        </is>
      </c>
      <c r="G787" t="inlineStr">
        <is>
          <t>SUNNE</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15908-2025</t>
        </is>
      </c>
      <c r="B788" t="inlineStr">
        <is>
          <t>avverkningsanmälan</t>
        </is>
      </c>
      <c r="C788" t="inlineStr">
        <is>
          <t>Föryngringsavverkning</t>
        </is>
      </c>
      <c r="D788" s="1" t="n">
        <v>45749</v>
      </c>
      <c r="E788" s="1" t="n">
        <v>46219</v>
      </c>
      <c r="F788" t="inlineStr">
        <is>
          <t>VÄRMLANDS LÄN</t>
        </is>
      </c>
      <c r="G788" t="inlineStr">
        <is>
          <t>SUNNE</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43312-2023</t>
        </is>
      </c>
      <c r="B789" t="inlineStr">
        <is>
          <t>avverkningsanmälan</t>
        </is>
      </c>
      <c r="C789" t="inlineStr">
        <is>
          <t>Föryngringsavverkning</t>
        </is>
      </c>
      <c r="D789" s="1" t="n">
        <v>45183</v>
      </c>
      <c r="E789" s="1" t="n">
        <v>46219</v>
      </c>
      <c r="F789" t="inlineStr">
        <is>
          <t>VÄRMLANDS LÄN</t>
        </is>
      </c>
      <c r="G789" t="inlineStr">
        <is>
          <t>SUNNE</t>
        </is>
      </c>
      <c r="I789" t="n">
        <v>2.1</v>
      </c>
      <c r="J789" t="n">
        <v>0</v>
      </c>
      <c r="K789" t="n">
        <v>0</v>
      </c>
      <c r="L789" t="n">
        <v>0</v>
      </c>
      <c r="M789" t="n">
        <v>0</v>
      </c>
      <c r="N789" t="n">
        <v>0</v>
      </c>
      <c r="O789" t="n">
        <v>0</v>
      </c>
      <c r="P789" t="n">
        <v>0</v>
      </c>
      <c r="Q789" t="n">
        <v>0</v>
      </c>
      <c r="R789" t="n">
        <v>0</v>
      </c>
      <c r="S789" t="n">
        <v>0</v>
      </c>
      <c r="T789" t="n">
        <v>0</v>
      </c>
      <c r="U789" s="2" t="inlineStr"/>
    </row>
    <row r="790" ht="15" customHeight="1">
      <c r="A790" t="inlineStr">
        <is>
          <t>A 63816-2025</t>
        </is>
      </c>
      <c r="B790" t="inlineStr">
        <is>
          <t>avverkningsanmälan</t>
        </is>
      </c>
      <c r="C790" t="inlineStr">
        <is>
          <t>Föryngringsavverkning</t>
        </is>
      </c>
      <c r="D790" s="1" t="n">
        <v>46020</v>
      </c>
      <c r="E790" s="1" t="n">
        <v>46219</v>
      </c>
      <c r="F790" t="inlineStr">
        <is>
          <t>VÄRMLANDS LÄN</t>
        </is>
      </c>
      <c r="G790" t="inlineStr">
        <is>
          <t>SUNNE</t>
        </is>
      </c>
      <c r="I790" t="n">
        <v>5.5</v>
      </c>
      <c r="J790" t="n">
        <v>0</v>
      </c>
      <c r="K790" t="n">
        <v>0</v>
      </c>
      <c r="L790" t="n">
        <v>0</v>
      </c>
      <c r="M790" t="n">
        <v>0</v>
      </c>
      <c r="N790" t="n">
        <v>0</v>
      </c>
      <c r="O790" t="n">
        <v>0</v>
      </c>
      <c r="P790" t="n">
        <v>0</v>
      </c>
      <c r="Q790" t="n">
        <v>0</v>
      </c>
      <c r="R790" t="n">
        <v>0</v>
      </c>
      <c r="S790" t="n">
        <v>0</v>
      </c>
      <c r="T790" t="n">
        <v>0</v>
      </c>
      <c r="U790" s="2" t="inlineStr"/>
    </row>
    <row r="791" ht="15" customHeight="1">
      <c r="A791" t="inlineStr">
        <is>
          <t>A 63817-2025</t>
        </is>
      </c>
      <c r="B791" t="inlineStr">
        <is>
          <t>avverkningsanmälan</t>
        </is>
      </c>
      <c r="C791" t="inlineStr">
        <is>
          <t>Föryngringsavverkning</t>
        </is>
      </c>
      <c r="D791" s="1" t="n">
        <v>46020</v>
      </c>
      <c r="E791" s="1" t="n">
        <v>46219</v>
      </c>
      <c r="F791" t="inlineStr">
        <is>
          <t>VÄRMLANDS LÄN</t>
        </is>
      </c>
      <c r="G791" t="inlineStr">
        <is>
          <t>SUNNE</t>
        </is>
      </c>
      <c r="I791" t="n">
        <v>2</v>
      </c>
      <c r="J791" t="n">
        <v>0</v>
      </c>
      <c r="K791" t="n">
        <v>0</v>
      </c>
      <c r="L791" t="n">
        <v>0</v>
      </c>
      <c r="M791" t="n">
        <v>0</v>
      </c>
      <c r="N791" t="n">
        <v>0</v>
      </c>
      <c r="O791" t="n">
        <v>0</v>
      </c>
      <c r="P791" t="n">
        <v>0</v>
      </c>
      <c r="Q791" t="n">
        <v>0</v>
      </c>
      <c r="R791" t="n">
        <v>0</v>
      </c>
      <c r="S791" t="n">
        <v>0</v>
      </c>
      <c r="T791" t="n">
        <v>0</v>
      </c>
      <c r="U791" s="2" t="inlineStr"/>
    </row>
    <row r="792" ht="15" customHeight="1">
      <c r="A792" t="inlineStr">
        <is>
          <t>A 63832-2025</t>
        </is>
      </c>
      <c r="B792" t="inlineStr">
        <is>
          <t>avverkningsanmälan</t>
        </is>
      </c>
      <c r="C792" t="inlineStr">
        <is>
          <t>Föryngringsavverkning</t>
        </is>
      </c>
      <c r="D792" s="1" t="n">
        <v>46020</v>
      </c>
      <c r="E792" s="1" t="n">
        <v>46219</v>
      </c>
      <c r="F792" t="inlineStr">
        <is>
          <t>VÄRMLANDS LÄN</t>
        </is>
      </c>
      <c r="G792" t="inlineStr">
        <is>
          <t>SUNNE</t>
        </is>
      </c>
      <c r="I792" t="n">
        <v>3.3</v>
      </c>
      <c r="J792" t="n">
        <v>0</v>
      </c>
      <c r="K792" t="n">
        <v>0</v>
      </c>
      <c r="L792" t="n">
        <v>0</v>
      </c>
      <c r="M792" t="n">
        <v>0</v>
      </c>
      <c r="N792" t="n">
        <v>0</v>
      </c>
      <c r="O792" t="n">
        <v>0</v>
      </c>
      <c r="P792" t="n">
        <v>0</v>
      </c>
      <c r="Q792" t="n">
        <v>0</v>
      </c>
      <c r="R792" t="n">
        <v>0</v>
      </c>
      <c r="S792" t="n">
        <v>0</v>
      </c>
      <c r="T792" t="n">
        <v>0</v>
      </c>
      <c r="U792" s="2" t="inlineStr"/>
    </row>
    <row r="793" ht="15" customHeight="1">
      <c r="A793" t="inlineStr">
        <is>
          <t>A 28004-2024</t>
        </is>
      </c>
      <c r="B793" t="inlineStr">
        <is>
          <t>avverkningsanmälan</t>
        </is>
      </c>
      <c r="C793" t="inlineStr">
        <is>
          <t>Föryngringsavverkning</t>
        </is>
      </c>
      <c r="D793" s="1" t="n">
        <v>45476</v>
      </c>
      <c r="E793" s="1" t="n">
        <v>46219</v>
      </c>
      <c r="F793" t="inlineStr">
        <is>
          <t>VÄRMLANDS LÄN</t>
        </is>
      </c>
      <c r="G793" t="inlineStr">
        <is>
          <t>SUNNE</t>
        </is>
      </c>
      <c r="I793" t="n">
        <v>2.6</v>
      </c>
      <c r="J793" t="n">
        <v>0</v>
      </c>
      <c r="K793" t="n">
        <v>0</v>
      </c>
      <c r="L793" t="n">
        <v>0</v>
      </c>
      <c r="M793" t="n">
        <v>0</v>
      </c>
      <c r="N793" t="n">
        <v>0</v>
      </c>
      <c r="O793" t="n">
        <v>0</v>
      </c>
      <c r="P793" t="n">
        <v>0</v>
      </c>
      <c r="Q793" t="n">
        <v>0</v>
      </c>
      <c r="R793" t="n">
        <v>0</v>
      </c>
      <c r="S793" t="n">
        <v>0</v>
      </c>
      <c r="T793" t="n">
        <v>0</v>
      </c>
      <c r="U793" s="2" t="inlineStr"/>
    </row>
    <row r="794" ht="15" customHeight="1">
      <c r="A794" t="inlineStr">
        <is>
          <t>A 60701-2024</t>
        </is>
      </c>
      <c r="B794" t="inlineStr">
        <is>
          <t>avverkningsanmälan</t>
        </is>
      </c>
      <c r="C794" t="inlineStr">
        <is>
          <t>Föryngringsavverkning</t>
        </is>
      </c>
      <c r="D794" s="1" t="n">
        <v>45644</v>
      </c>
      <c r="E794" s="1" t="n">
        <v>46219</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64093-2025</t>
        </is>
      </c>
      <c r="B795" t="inlineStr">
        <is>
          <t>avverkningsanmälan</t>
        </is>
      </c>
      <c r="C795" t="inlineStr">
        <is>
          <t>Föryngringsavverkning</t>
        </is>
      </c>
      <c r="D795" s="1" t="n">
        <v>46021</v>
      </c>
      <c r="E795" s="1" t="n">
        <v>46219</v>
      </c>
      <c r="F795" t="inlineStr">
        <is>
          <t>VÄRMLANDS LÄN</t>
        </is>
      </c>
      <c r="G795" t="inlineStr">
        <is>
          <t>SUNNE</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64024-2025</t>
        </is>
      </c>
      <c r="B796" t="inlineStr">
        <is>
          <t>avverkningsanmälan</t>
        </is>
      </c>
      <c r="C796" t="inlineStr">
        <is>
          <t>Föryngringsavverkning</t>
        </is>
      </c>
      <c r="D796" s="1" t="n">
        <v>46021</v>
      </c>
      <c r="E796" s="1" t="n">
        <v>46219</v>
      </c>
      <c r="F796" t="inlineStr">
        <is>
          <t>VÄRMLANDS LÄN</t>
        </is>
      </c>
      <c r="G796" t="inlineStr">
        <is>
          <t>SUNNE</t>
        </is>
      </c>
      <c r="I796" t="n">
        <v>1.7</v>
      </c>
      <c r="J796" t="n">
        <v>0</v>
      </c>
      <c r="K796" t="n">
        <v>0</v>
      </c>
      <c r="L796" t="n">
        <v>0</v>
      </c>
      <c r="M796" t="n">
        <v>0</v>
      </c>
      <c r="N796" t="n">
        <v>0</v>
      </c>
      <c r="O796" t="n">
        <v>0</v>
      </c>
      <c r="P796" t="n">
        <v>0</v>
      </c>
      <c r="Q796" t="n">
        <v>0</v>
      </c>
      <c r="R796" t="n">
        <v>0</v>
      </c>
      <c r="S796" t="n">
        <v>0</v>
      </c>
      <c r="T796" t="n">
        <v>0</v>
      </c>
      <c r="U796" s="2" t="inlineStr"/>
    </row>
    <row r="797" ht="15" customHeight="1">
      <c r="A797" t="inlineStr">
        <is>
          <t>A 64030-2025</t>
        </is>
      </c>
      <c r="B797" t="inlineStr">
        <is>
          <t>avverkningsanmälan</t>
        </is>
      </c>
      <c r="C797" t="inlineStr">
        <is>
          <t>Föryngringsavverkning</t>
        </is>
      </c>
      <c r="D797" s="1" t="n">
        <v>46021</v>
      </c>
      <c r="E797" s="1" t="n">
        <v>46219</v>
      </c>
      <c r="F797" t="inlineStr">
        <is>
          <t>VÄRMLANDS LÄN</t>
        </is>
      </c>
      <c r="G797" t="inlineStr">
        <is>
          <t>SUNNE</t>
        </is>
      </c>
      <c r="I797" t="n">
        <v>3.6</v>
      </c>
      <c r="J797" t="n">
        <v>0</v>
      </c>
      <c r="K797" t="n">
        <v>0</v>
      </c>
      <c r="L797" t="n">
        <v>0</v>
      </c>
      <c r="M797" t="n">
        <v>0</v>
      </c>
      <c r="N797" t="n">
        <v>0</v>
      </c>
      <c r="O797" t="n">
        <v>0</v>
      </c>
      <c r="P797" t="n">
        <v>0</v>
      </c>
      <c r="Q797" t="n">
        <v>0</v>
      </c>
      <c r="R797" t="n">
        <v>0</v>
      </c>
      <c r="S797" t="n">
        <v>0</v>
      </c>
      <c r="T797" t="n">
        <v>0</v>
      </c>
      <c r="U797" s="2" t="inlineStr"/>
    </row>
    <row r="798" ht="15" customHeight="1">
      <c r="A798" t="inlineStr">
        <is>
          <t>A 64048-2025</t>
        </is>
      </c>
      <c r="B798" t="inlineStr">
        <is>
          <t>avverkningsanmälan</t>
        </is>
      </c>
      <c r="C798" t="inlineStr">
        <is>
          <t>Föryngringsavverkning</t>
        </is>
      </c>
      <c r="D798" s="1" t="n">
        <v>46021</v>
      </c>
      <c r="E798" s="1" t="n">
        <v>46219</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25217-2023</t>
        </is>
      </c>
      <c r="B799" t="inlineStr">
        <is>
          <t>avverkningsanmälan</t>
        </is>
      </c>
      <c r="C799" t="inlineStr">
        <is>
          <t>Föryngringsavverkning</t>
        </is>
      </c>
      <c r="D799" s="1" t="n">
        <v>45086</v>
      </c>
      <c r="E799" s="1" t="n">
        <v>46219</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55495-2024</t>
        </is>
      </c>
      <c r="B800" t="inlineStr">
        <is>
          <t>avverkningsanmälan</t>
        </is>
      </c>
      <c r="C800" t="inlineStr">
        <is>
          <t>Föryngringsavverkning</t>
        </is>
      </c>
      <c r="D800" s="1" t="n">
        <v>45622</v>
      </c>
      <c r="E800" s="1" t="n">
        <v>46219</v>
      </c>
      <c r="F800" t="inlineStr">
        <is>
          <t>VÄRMLANDS LÄN</t>
        </is>
      </c>
      <c r="G800" t="inlineStr">
        <is>
          <t>SUNNE</t>
        </is>
      </c>
      <c r="I800" t="n">
        <v>3</v>
      </c>
      <c r="J800" t="n">
        <v>0</v>
      </c>
      <c r="K800" t="n">
        <v>0</v>
      </c>
      <c r="L800" t="n">
        <v>0</v>
      </c>
      <c r="M800" t="n">
        <v>0</v>
      </c>
      <c r="N800" t="n">
        <v>0</v>
      </c>
      <c r="O800" t="n">
        <v>0</v>
      </c>
      <c r="P800" t="n">
        <v>0</v>
      </c>
      <c r="Q800" t="n">
        <v>0</v>
      </c>
      <c r="R800" t="n">
        <v>0</v>
      </c>
      <c r="S800" t="n">
        <v>0</v>
      </c>
      <c r="T800" t="n">
        <v>0</v>
      </c>
      <c r="U800" s="2" t="inlineStr"/>
    </row>
    <row r="801" ht="15" customHeight="1">
      <c r="A801" t="inlineStr">
        <is>
          <t>A 55504-2024</t>
        </is>
      </c>
      <c r="B801" t="inlineStr">
        <is>
          <t>avverkningsanmälan</t>
        </is>
      </c>
      <c r="C801" t="inlineStr">
        <is>
          <t>Föryngringsavverkning</t>
        </is>
      </c>
      <c r="D801" s="1" t="n">
        <v>45621</v>
      </c>
      <c r="E801" s="1" t="n">
        <v>46219</v>
      </c>
      <c r="F801" t="inlineStr">
        <is>
          <t>VÄRMLANDS LÄN</t>
        </is>
      </c>
      <c r="G801" t="inlineStr">
        <is>
          <t>SUNNE</t>
        </is>
      </c>
      <c r="I801" t="n">
        <v>3.6</v>
      </c>
      <c r="J801" t="n">
        <v>0</v>
      </c>
      <c r="K801" t="n">
        <v>0</v>
      </c>
      <c r="L801" t="n">
        <v>0</v>
      </c>
      <c r="M801" t="n">
        <v>0</v>
      </c>
      <c r="N801" t="n">
        <v>0</v>
      </c>
      <c r="O801" t="n">
        <v>0</v>
      </c>
      <c r="P801" t="n">
        <v>0</v>
      </c>
      <c r="Q801" t="n">
        <v>0</v>
      </c>
      <c r="R801" t="n">
        <v>0</v>
      </c>
      <c r="S801" t="n">
        <v>0</v>
      </c>
      <c r="T801" t="n">
        <v>0</v>
      </c>
      <c r="U801" s="2" t="inlineStr"/>
    </row>
    <row r="802" ht="15" customHeight="1">
      <c r="A802" t="inlineStr">
        <is>
          <t>A 45665-2023</t>
        </is>
      </c>
      <c r="B802" t="inlineStr">
        <is>
          <t>avverkningsanmälan</t>
        </is>
      </c>
      <c r="C802" t="inlineStr">
        <is>
          <t>Avverkning för annat ändamål</t>
        </is>
      </c>
      <c r="D802" s="1" t="n">
        <v>45194</v>
      </c>
      <c r="E802" s="1" t="n">
        <v>46219</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10562-2022</t>
        </is>
      </c>
      <c r="B803" t="inlineStr">
        <is>
          <t>avverkningsanmälan</t>
        </is>
      </c>
      <c r="C803" t="inlineStr">
        <is>
          <t>Föryngringsavverkning</t>
        </is>
      </c>
      <c r="D803" s="1" t="n">
        <v>44623</v>
      </c>
      <c r="E803" s="1" t="n">
        <v>46219</v>
      </c>
      <c r="F803" t="inlineStr">
        <is>
          <t>VÄRMLANDS LÄN</t>
        </is>
      </c>
      <c r="G803" t="inlineStr">
        <is>
          <t>SUNNE</t>
        </is>
      </c>
      <c r="I803" t="n">
        <v>0.7</v>
      </c>
      <c r="J803" t="n">
        <v>0</v>
      </c>
      <c r="K803" t="n">
        <v>0</v>
      </c>
      <c r="L803" t="n">
        <v>0</v>
      </c>
      <c r="M803" t="n">
        <v>0</v>
      </c>
      <c r="N803" t="n">
        <v>0</v>
      </c>
      <c r="O803" t="n">
        <v>0</v>
      </c>
      <c r="P803" t="n">
        <v>0</v>
      </c>
      <c r="Q803" t="n">
        <v>0</v>
      </c>
      <c r="R803" t="n">
        <v>0</v>
      </c>
      <c r="S803" t="n">
        <v>0</v>
      </c>
      <c r="T803" t="n">
        <v>0</v>
      </c>
      <c r="U803" s="2" t="inlineStr"/>
    </row>
    <row r="804" ht="15" customHeight="1">
      <c r="A804" t="inlineStr">
        <is>
          <t>A 60999-2024</t>
        </is>
      </c>
      <c r="B804" t="inlineStr">
        <is>
          <t>avverkningsanmälan</t>
        </is>
      </c>
      <c r="C804" t="inlineStr">
        <is>
          <t>Föryngringsavverkning</t>
        </is>
      </c>
      <c r="D804" s="1" t="n">
        <v>45645</v>
      </c>
      <c r="E804" s="1" t="n">
        <v>46219</v>
      </c>
      <c r="F804" t="inlineStr">
        <is>
          <t>VÄRMLANDS LÄN</t>
        </is>
      </c>
      <c r="G804" t="inlineStr">
        <is>
          <t>SUNNE</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37666-2023</t>
        </is>
      </c>
      <c r="B805" t="inlineStr">
        <is>
          <t>avverkningsanmälan</t>
        </is>
      </c>
      <c r="C805" t="inlineStr">
        <is>
          <t>Föryngringsavverkning</t>
        </is>
      </c>
      <c r="D805" s="1" t="n">
        <v>45159</v>
      </c>
      <c r="E805" s="1" t="n">
        <v>46219</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44421-2023</t>
        </is>
      </c>
      <c r="B806" t="inlineStr">
        <is>
          <t>avverkningsanmälan</t>
        </is>
      </c>
      <c r="C806" t="inlineStr">
        <is>
          <t>Föryngringsavverkning</t>
        </is>
      </c>
      <c r="D806" s="1" t="n">
        <v>45189</v>
      </c>
      <c r="E806" s="1" t="n">
        <v>46219</v>
      </c>
      <c r="F806" t="inlineStr">
        <is>
          <t>VÄRMLANDS LÄN</t>
        </is>
      </c>
      <c r="G806" t="inlineStr">
        <is>
          <t>SUNNE</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44422-2023</t>
        </is>
      </c>
      <c r="B807" t="inlineStr">
        <is>
          <t>avverkningsanmälan</t>
        </is>
      </c>
      <c r="C807" t="inlineStr">
        <is>
          <t>Föryngringsavverkning</t>
        </is>
      </c>
      <c r="D807" s="1" t="n">
        <v>45189</v>
      </c>
      <c r="E807" s="1" t="n">
        <v>46219</v>
      </c>
      <c r="F807" t="inlineStr">
        <is>
          <t>VÄRMLANDS LÄN</t>
        </is>
      </c>
      <c r="G807" t="inlineStr">
        <is>
          <t>SUNNE</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44433-2023</t>
        </is>
      </c>
      <c r="B808" t="inlineStr">
        <is>
          <t>avverkningsanmälan</t>
        </is>
      </c>
      <c r="C808" t="inlineStr">
        <is>
          <t>Föryngringsavverkning</t>
        </is>
      </c>
      <c r="D808" s="1" t="n">
        <v>45183</v>
      </c>
      <c r="E808" s="1" t="n">
        <v>46219</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61216-2024</t>
        </is>
      </c>
      <c r="B809" t="inlineStr">
        <is>
          <t>avverkningsanmälan</t>
        </is>
      </c>
      <c r="C809" t="inlineStr">
        <is>
          <t>Föryngringsavverkning</t>
        </is>
      </c>
      <c r="D809" s="1" t="n">
        <v>45644</v>
      </c>
      <c r="E809" s="1" t="n">
        <v>46219</v>
      </c>
      <c r="F809" t="inlineStr">
        <is>
          <t>VÄRMLANDS LÄN</t>
        </is>
      </c>
      <c r="G809" t="inlineStr">
        <is>
          <t>SUNNE</t>
        </is>
      </c>
      <c r="I809" t="n">
        <v>9.800000000000001</v>
      </c>
      <c r="J809" t="n">
        <v>0</v>
      </c>
      <c r="K809" t="n">
        <v>0</v>
      </c>
      <c r="L809" t="n">
        <v>0</v>
      </c>
      <c r="M809" t="n">
        <v>0</v>
      </c>
      <c r="N809" t="n">
        <v>0</v>
      </c>
      <c r="O809" t="n">
        <v>0</v>
      </c>
      <c r="P809" t="n">
        <v>0</v>
      </c>
      <c r="Q809" t="n">
        <v>0</v>
      </c>
      <c r="R809" t="n">
        <v>0</v>
      </c>
      <c r="S809" t="n">
        <v>0</v>
      </c>
      <c r="T809" t="n">
        <v>0</v>
      </c>
      <c r="U809" s="2" t="inlineStr"/>
    </row>
    <row r="810" ht="15" customHeight="1">
      <c r="A810" t="inlineStr">
        <is>
          <t>A 36233-2024</t>
        </is>
      </c>
      <c r="B810" t="inlineStr">
        <is>
          <t>avverkningsanmälan</t>
        </is>
      </c>
      <c r="C810" t="inlineStr">
        <is>
          <t>Föryngringsavverkning</t>
        </is>
      </c>
      <c r="D810" s="1" t="n">
        <v>45534</v>
      </c>
      <c r="E810" s="1" t="n">
        <v>46219</v>
      </c>
      <c r="F810" t="inlineStr">
        <is>
          <t>VÄRMLANDS LÄN</t>
        </is>
      </c>
      <c r="G810" t="inlineStr">
        <is>
          <t>SUNNE</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7360-2022</t>
        </is>
      </c>
      <c r="B811" t="inlineStr">
        <is>
          <t>avverkningsanmälan</t>
        </is>
      </c>
      <c r="C811" t="inlineStr">
        <is>
          <t>Föryngringsavverkning</t>
        </is>
      </c>
      <c r="D811" s="1" t="n">
        <v>44606</v>
      </c>
      <c r="E811" s="1" t="n">
        <v>46219</v>
      </c>
      <c r="F811" t="inlineStr">
        <is>
          <t>VÄRMLANDS LÄN</t>
        </is>
      </c>
      <c r="G811" t="inlineStr">
        <is>
          <t>SUNNE</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27573-2023</t>
        </is>
      </c>
      <c r="B812" t="inlineStr">
        <is>
          <t>avverkningsanmälan</t>
        </is>
      </c>
      <c r="C812" t="inlineStr">
        <is>
          <t>Föryngringsavverkning</t>
        </is>
      </c>
      <c r="D812" s="1" t="n">
        <v>45093</v>
      </c>
      <c r="E812" s="1" t="n">
        <v>46219</v>
      </c>
      <c r="F812" t="inlineStr">
        <is>
          <t>VÄRMLANDS LÄN</t>
        </is>
      </c>
      <c r="G812" t="inlineStr">
        <is>
          <t>SUNNE</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3085-2024</t>
        </is>
      </c>
      <c r="B813" t="inlineStr">
        <is>
          <t>avverkningsanmälan</t>
        </is>
      </c>
      <c r="C813" t="inlineStr">
        <is>
          <t>Föryngringsavverkning</t>
        </is>
      </c>
      <c r="D813" s="1" t="n">
        <v>45316</v>
      </c>
      <c r="E813" s="1" t="n">
        <v>46219</v>
      </c>
      <c r="F813" t="inlineStr">
        <is>
          <t>VÄRMLANDS LÄN</t>
        </is>
      </c>
      <c r="G813" t="inlineStr">
        <is>
          <t>SUNNE</t>
        </is>
      </c>
      <c r="H813" t="inlineStr">
        <is>
          <t>Kommuner</t>
        </is>
      </c>
      <c r="I813" t="n">
        <v>0.4</v>
      </c>
      <c r="J813" t="n">
        <v>0</v>
      </c>
      <c r="K813" t="n">
        <v>0</v>
      </c>
      <c r="L813" t="n">
        <v>0</v>
      </c>
      <c r="M813" t="n">
        <v>0</v>
      </c>
      <c r="N813" t="n">
        <v>0</v>
      </c>
      <c r="O813" t="n">
        <v>0</v>
      </c>
      <c r="P813" t="n">
        <v>0</v>
      </c>
      <c r="Q813" t="n">
        <v>0</v>
      </c>
      <c r="R813" t="n">
        <v>0</v>
      </c>
      <c r="S813" t="n">
        <v>0</v>
      </c>
      <c r="T813" t="n">
        <v>0</v>
      </c>
      <c r="U813" s="2" t="inlineStr"/>
    </row>
    <row r="814" ht="15" customHeight="1">
      <c r="A814" t="inlineStr">
        <is>
          <t>A 60539-2023</t>
        </is>
      </c>
      <c r="B814" t="inlineStr">
        <is>
          <t>avverkningsanmälan</t>
        </is>
      </c>
      <c r="C814" t="inlineStr">
        <is>
          <t>Föryngringsavverkning</t>
        </is>
      </c>
      <c r="D814" s="1" t="n">
        <v>45259</v>
      </c>
      <c r="E814" s="1" t="n">
        <v>46219</v>
      </c>
      <c r="F814" t="inlineStr">
        <is>
          <t>VÄRMLANDS LÄN</t>
        </is>
      </c>
      <c r="G814" t="inlineStr">
        <is>
          <t>SUNNE</t>
        </is>
      </c>
      <c r="I814" t="n">
        <v>5.5</v>
      </c>
      <c r="J814" t="n">
        <v>0</v>
      </c>
      <c r="K814" t="n">
        <v>0</v>
      </c>
      <c r="L814" t="n">
        <v>0</v>
      </c>
      <c r="M814" t="n">
        <v>0</v>
      </c>
      <c r="N814" t="n">
        <v>0</v>
      </c>
      <c r="O814" t="n">
        <v>0</v>
      </c>
      <c r="P814" t="n">
        <v>0</v>
      </c>
      <c r="Q814" t="n">
        <v>0</v>
      </c>
      <c r="R814" t="n">
        <v>0</v>
      </c>
      <c r="S814" t="n">
        <v>0</v>
      </c>
      <c r="T814" t="n">
        <v>0</v>
      </c>
      <c r="U814" s="2" t="inlineStr"/>
    </row>
    <row r="815" ht="15" customHeight="1">
      <c r="A815" t="inlineStr">
        <is>
          <t>A 44869-2023</t>
        </is>
      </c>
      <c r="B815" t="inlineStr">
        <is>
          <t>avverkningsanmälan</t>
        </is>
      </c>
      <c r="C815" t="inlineStr">
        <is>
          <t>Föryngringsavverkning</t>
        </is>
      </c>
      <c r="D815" s="1" t="n">
        <v>45190</v>
      </c>
      <c r="E815" s="1" t="n">
        <v>46219</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45597-2023</t>
        </is>
      </c>
      <c r="B816" t="inlineStr">
        <is>
          <t>avverkningsanmälan</t>
        </is>
      </c>
      <c r="C816" t="inlineStr">
        <is>
          <t>Föryngringsavverkning</t>
        </is>
      </c>
      <c r="D816" s="1" t="n">
        <v>45194</v>
      </c>
      <c r="E816" s="1" t="n">
        <v>46219</v>
      </c>
      <c r="F816" t="inlineStr">
        <is>
          <t>VÄRMLANDS LÄN</t>
        </is>
      </c>
      <c r="G816" t="inlineStr">
        <is>
          <t>SUNNE</t>
        </is>
      </c>
      <c r="H816" t="inlineStr">
        <is>
          <t>Bergvik skog väst AB</t>
        </is>
      </c>
      <c r="I816" t="n">
        <v>6.6</v>
      </c>
      <c r="J816" t="n">
        <v>0</v>
      </c>
      <c r="K816" t="n">
        <v>0</v>
      </c>
      <c r="L816" t="n">
        <v>0</v>
      </c>
      <c r="M816" t="n">
        <v>0</v>
      </c>
      <c r="N816" t="n">
        <v>0</v>
      </c>
      <c r="O816" t="n">
        <v>0</v>
      </c>
      <c r="P816" t="n">
        <v>0</v>
      </c>
      <c r="Q816" t="n">
        <v>0</v>
      </c>
      <c r="R816" t="n">
        <v>0</v>
      </c>
      <c r="S816" t="n">
        <v>0</v>
      </c>
      <c r="T816" t="n">
        <v>0</v>
      </c>
      <c r="U816" s="2" t="inlineStr"/>
    </row>
    <row r="817" ht="15" customHeight="1">
      <c r="A817" t="inlineStr">
        <is>
          <t>A 20622-2025</t>
        </is>
      </c>
      <c r="B817" t="inlineStr">
        <is>
          <t>avverkningsanmälan</t>
        </is>
      </c>
      <c r="C817" t="inlineStr">
        <is>
          <t>Föryngringsavverkning</t>
        </is>
      </c>
      <c r="D817" s="1" t="n">
        <v>45776</v>
      </c>
      <c r="E817" s="1" t="n">
        <v>46219</v>
      </c>
      <c r="F817" t="inlineStr">
        <is>
          <t>VÄRMLANDS LÄN</t>
        </is>
      </c>
      <c r="G817" t="inlineStr">
        <is>
          <t>SUNNE</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44860-2022</t>
        </is>
      </c>
      <c r="B818" t="inlineStr">
        <is>
          <t>avverkningsanmälan</t>
        </is>
      </c>
      <c r="C818" t="inlineStr">
        <is>
          <t>Föryngringsavverkning</t>
        </is>
      </c>
      <c r="D818" s="1" t="n">
        <v>44841</v>
      </c>
      <c r="E818" s="1" t="n">
        <v>46219</v>
      </c>
      <c r="F818" t="inlineStr">
        <is>
          <t>VÄRMLANDS LÄN</t>
        </is>
      </c>
      <c r="G818" t="inlineStr">
        <is>
          <t>SUNNE</t>
        </is>
      </c>
      <c r="I818" t="n">
        <v>2.4</v>
      </c>
      <c r="J818" t="n">
        <v>0</v>
      </c>
      <c r="K818" t="n">
        <v>0</v>
      </c>
      <c r="L818" t="n">
        <v>0</v>
      </c>
      <c r="M818" t="n">
        <v>0</v>
      </c>
      <c r="N818" t="n">
        <v>0</v>
      </c>
      <c r="O818" t="n">
        <v>0</v>
      </c>
      <c r="P818" t="n">
        <v>0</v>
      </c>
      <c r="Q818" t="n">
        <v>0</v>
      </c>
      <c r="R818" t="n">
        <v>0</v>
      </c>
      <c r="S818" t="n">
        <v>0</v>
      </c>
      <c r="T818" t="n">
        <v>0</v>
      </c>
      <c r="U818" s="2" t="inlineStr"/>
    </row>
    <row r="819" ht="15" customHeight="1">
      <c r="A819" t="inlineStr">
        <is>
          <t>A 55153-2024</t>
        </is>
      </c>
      <c r="B819" t="inlineStr">
        <is>
          <t>avverkningsanmälan</t>
        </is>
      </c>
      <c r="C819" t="inlineStr">
        <is>
          <t>Föryngringsavverkning</t>
        </is>
      </c>
      <c r="D819" s="1" t="n">
        <v>45621</v>
      </c>
      <c r="E819" s="1" t="n">
        <v>46219</v>
      </c>
      <c r="F819" t="inlineStr">
        <is>
          <t>VÄRMLANDS LÄN</t>
        </is>
      </c>
      <c r="G819" t="inlineStr">
        <is>
          <t>SUNNE</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50872-2024</t>
        </is>
      </c>
      <c r="B820" t="inlineStr">
        <is>
          <t>avverkningsanmälan</t>
        </is>
      </c>
      <c r="C820" t="inlineStr">
        <is>
          <t>Föryngringsavverkning</t>
        </is>
      </c>
      <c r="D820" s="1" t="n">
        <v>45602</v>
      </c>
      <c r="E820" s="1" t="n">
        <v>46219</v>
      </c>
      <c r="F820" t="inlineStr">
        <is>
          <t>VÄRMLANDS LÄN</t>
        </is>
      </c>
      <c r="G820" t="inlineStr">
        <is>
          <t>SUNNE</t>
        </is>
      </c>
      <c r="I820" t="n">
        <v>1.6</v>
      </c>
      <c r="J820" t="n">
        <v>0</v>
      </c>
      <c r="K820" t="n">
        <v>0</v>
      </c>
      <c r="L820" t="n">
        <v>0</v>
      </c>
      <c r="M820" t="n">
        <v>0</v>
      </c>
      <c r="N820" t="n">
        <v>0</v>
      </c>
      <c r="O820" t="n">
        <v>0</v>
      </c>
      <c r="P820" t="n">
        <v>0</v>
      </c>
      <c r="Q820" t="n">
        <v>0</v>
      </c>
      <c r="R820" t="n">
        <v>0</v>
      </c>
      <c r="S820" t="n">
        <v>0</v>
      </c>
      <c r="T820" t="n">
        <v>0</v>
      </c>
      <c r="U820" s="2" t="inlineStr"/>
    </row>
    <row r="821" ht="15" customHeight="1">
      <c r="A821" t="inlineStr">
        <is>
          <t>A 1311-2026</t>
        </is>
      </c>
      <c r="B821" t="inlineStr">
        <is>
          <t>avverkningsanmälan</t>
        </is>
      </c>
      <c r="C821" t="inlineStr">
        <is>
          <t>Föryngringsavverkning</t>
        </is>
      </c>
      <c r="D821" s="1" t="n">
        <v>46031</v>
      </c>
      <c r="E821" s="1" t="n">
        <v>46219</v>
      </c>
      <c r="F821" t="inlineStr">
        <is>
          <t>VÄRMLANDS LÄN</t>
        </is>
      </c>
      <c r="G821" t="inlineStr">
        <is>
          <t>SUNNE</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19737-2022</t>
        </is>
      </c>
      <c r="B822" t="inlineStr">
        <is>
          <t>avverkningsanmälan</t>
        </is>
      </c>
      <c r="C822" t="inlineStr">
        <is>
          <t>Föryngringsavverkning</t>
        </is>
      </c>
      <c r="D822" s="1" t="n">
        <v>44694</v>
      </c>
      <c r="E822" s="1" t="n">
        <v>46219</v>
      </c>
      <c r="F822" t="inlineStr">
        <is>
          <t>VÄRMLANDS LÄN</t>
        </is>
      </c>
      <c r="G822" t="inlineStr">
        <is>
          <t>SUNNE</t>
        </is>
      </c>
      <c r="I822" t="n">
        <v>3.1</v>
      </c>
      <c r="J822" t="n">
        <v>0</v>
      </c>
      <c r="K822" t="n">
        <v>0</v>
      </c>
      <c r="L822" t="n">
        <v>0</v>
      </c>
      <c r="M822" t="n">
        <v>0</v>
      </c>
      <c r="N822" t="n">
        <v>0</v>
      </c>
      <c r="O822" t="n">
        <v>0</v>
      </c>
      <c r="P822" t="n">
        <v>0</v>
      </c>
      <c r="Q822" t="n">
        <v>0</v>
      </c>
      <c r="R822" t="n">
        <v>0</v>
      </c>
      <c r="S822" t="n">
        <v>0</v>
      </c>
      <c r="T822" t="n">
        <v>0</v>
      </c>
      <c r="U822" s="2" t="inlineStr"/>
    </row>
    <row r="823" ht="15" customHeight="1">
      <c r="A823" t="inlineStr">
        <is>
          <t>A 4022-2025</t>
        </is>
      </c>
      <c r="B823" t="inlineStr">
        <is>
          <t>avverkningsanmälan</t>
        </is>
      </c>
      <c r="C823" t="inlineStr">
        <is>
          <t>Föryngringsavverkning</t>
        </is>
      </c>
      <c r="D823" s="1" t="n">
        <v>45684</v>
      </c>
      <c r="E823" s="1" t="n">
        <v>46219</v>
      </c>
      <c r="F823" t="inlineStr">
        <is>
          <t>VÄRMLANDS LÄN</t>
        </is>
      </c>
      <c r="G823" t="inlineStr">
        <is>
          <t>SUNNE</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59814-2025</t>
        </is>
      </c>
      <c r="B824" t="inlineStr">
        <is>
          <t>avverkningsanmälan</t>
        </is>
      </c>
      <c r="C824" t="inlineStr">
        <is>
          <t>Föryngringsavverkning</t>
        </is>
      </c>
      <c r="D824" s="1" t="n">
        <v>45992</v>
      </c>
      <c r="E824" s="1" t="n">
        <v>46219</v>
      </c>
      <c r="F824" t="inlineStr">
        <is>
          <t>VÄRMLANDS LÄN</t>
        </is>
      </c>
      <c r="G824" t="inlineStr">
        <is>
          <t>SUNNE</t>
        </is>
      </c>
      <c r="I824" t="n">
        <v>1.1</v>
      </c>
      <c r="J824" t="n">
        <v>0</v>
      </c>
      <c r="K824" t="n">
        <v>0</v>
      </c>
      <c r="L824" t="n">
        <v>0</v>
      </c>
      <c r="M824" t="n">
        <v>0</v>
      </c>
      <c r="N824" t="n">
        <v>0</v>
      </c>
      <c r="O824" t="n">
        <v>0</v>
      </c>
      <c r="P824" t="n">
        <v>0</v>
      </c>
      <c r="Q824" t="n">
        <v>0</v>
      </c>
      <c r="R824" t="n">
        <v>0</v>
      </c>
      <c r="S824" t="n">
        <v>0</v>
      </c>
      <c r="T824" t="n">
        <v>0</v>
      </c>
      <c r="U824" s="2" t="inlineStr"/>
    </row>
    <row r="825" ht="15" customHeight="1">
      <c r="A825" t="inlineStr">
        <is>
          <t>A 21400-2025</t>
        </is>
      </c>
      <c r="B825" t="inlineStr">
        <is>
          <t>avverkningsanmälan</t>
        </is>
      </c>
      <c r="C825" t="inlineStr">
        <is>
          <t>Föryngringsavverkning</t>
        </is>
      </c>
      <c r="D825" s="1" t="n">
        <v>45782</v>
      </c>
      <c r="E825" s="1" t="n">
        <v>46219</v>
      </c>
      <c r="F825" t="inlineStr">
        <is>
          <t>VÄRMLANDS LÄN</t>
        </is>
      </c>
      <c r="G825" t="inlineStr">
        <is>
          <t>SUNNE</t>
        </is>
      </c>
      <c r="I825" t="n">
        <v>12.2</v>
      </c>
      <c r="J825" t="n">
        <v>0</v>
      </c>
      <c r="K825" t="n">
        <v>0</v>
      </c>
      <c r="L825" t="n">
        <v>0</v>
      </c>
      <c r="M825" t="n">
        <v>0</v>
      </c>
      <c r="N825" t="n">
        <v>0</v>
      </c>
      <c r="O825" t="n">
        <v>0</v>
      </c>
      <c r="P825" t="n">
        <v>0</v>
      </c>
      <c r="Q825" t="n">
        <v>0</v>
      </c>
      <c r="R825" t="n">
        <v>0</v>
      </c>
      <c r="S825" t="n">
        <v>0</v>
      </c>
      <c r="T825" t="n">
        <v>0</v>
      </c>
      <c r="U825" s="2" t="inlineStr"/>
    </row>
    <row r="826" ht="15" customHeight="1">
      <c r="A826" t="inlineStr">
        <is>
          <t>A 1842-2026</t>
        </is>
      </c>
      <c r="B826" t="inlineStr">
        <is>
          <t>avverkningsanmälan</t>
        </is>
      </c>
      <c r="C826" t="inlineStr">
        <is>
          <t>Föryngringsavverkning</t>
        </is>
      </c>
      <c r="D826" s="1" t="n">
        <v>46035</v>
      </c>
      <c r="E826" s="1" t="n">
        <v>46219</v>
      </c>
      <c r="F826" t="inlineStr">
        <is>
          <t>VÄRMLANDS LÄN</t>
        </is>
      </c>
      <c r="G826" t="inlineStr">
        <is>
          <t>SUNNE</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21312-2025</t>
        </is>
      </c>
      <c r="B827" t="inlineStr">
        <is>
          <t>avverkningsanmälan</t>
        </is>
      </c>
      <c r="C827" t="inlineStr">
        <is>
          <t>Föryngringsavverkning</t>
        </is>
      </c>
      <c r="D827" s="1" t="n">
        <v>45781</v>
      </c>
      <c r="E827" s="1" t="n">
        <v>46219</v>
      </c>
      <c r="F827" t="inlineStr">
        <is>
          <t>VÄRMLANDS LÄN</t>
        </is>
      </c>
      <c r="G827" t="inlineStr">
        <is>
          <t>SUNNE</t>
        </is>
      </c>
      <c r="I827" t="n">
        <v>4.9</v>
      </c>
      <c r="J827" t="n">
        <v>0</v>
      </c>
      <c r="K827" t="n">
        <v>0</v>
      </c>
      <c r="L827" t="n">
        <v>0</v>
      </c>
      <c r="M827" t="n">
        <v>0</v>
      </c>
      <c r="N827" t="n">
        <v>0</v>
      </c>
      <c r="O827" t="n">
        <v>0</v>
      </c>
      <c r="P827" t="n">
        <v>0</v>
      </c>
      <c r="Q827" t="n">
        <v>0</v>
      </c>
      <c r="R827" t="n">
        <v>0</v>
      </c>
      <c r="S827" t="n">
        <v>0</v>
      </c>
      <c r="T827" t="n">
        <v>0</v>
      </c>
      <c r="U827" s="2" t="inlineStr"/>
    </row>
    <row r="828" ht="15" customHeight="1">
      <c r="A828" t="inlineStr">
        <is>
          <t>A 5361-2022</t>
        </is>
      </c>
      <c r="B828" t="inlineStr">
        <is>
          <t>avverkningsanmälan</t>
        </is>
      </c>
      <c r="C828" t="inlineStr">
        <is>
          <t>Föryngringsavverkning</t>
        </is>
      </c>
      <c r="D828" s="1" t="n">
        <v>44594</v>
      </c>
      <c r="E828" s="1" t="n">
        <v>46219</v>
      </c>
      <c r="F828" t="inlineStr">
        <is>
          <t>VÄRMLANDS LÄN</t>
        </is>
      </c>
      <c r="G828" t="inlineStr">
        <is>
          <t>SUNNE</t>
        </is>
      </c>
      <c r="I828" t="n">
        <v>3.2</v>
      </c>
      <c r="J828" t="n">
        <v>0</v>
      </c>
      <c r="K828" t="n">
        <v>0</v>
      </c>
      <c r="L828" t="n">
        <v>0</v>
      </c>
      <c r="M828" t="n">
        <v>0</v>
      </c>
      <c r="N828" t="n">
        <v>0</v>
      </c>
      <c r="O828" t="n">
        <v>0</v>
      </c>
      <c r="P828" t="n">
        <v>0</v>
      </c>
      <c r="Q828" t="n">
        <v>0</v>
      </c>
      <c r="R828" t="n">
        <v>0</v>
      </c>
      <c r="S828" t="n">
        <v>0</v>
      </c>
      <c r="T828" t="n">
        <v>0</v>
      </c>
      <c r="U828" s="2" t="inlineStr"/>
    </row>
    <row r="829" ht="15" customHeight="1">
      <c r="A829" t="inlineStr">
        <is>
          <t>A 25005-2023</t>
        </is>
      </c>
      <c r="B829" t="inlineStr">
        <is>
          <t>avverkningsanmälan</t>
        </is>
      </c>
      <c r="C829" t="inlineStr">
        <is>
          <t>Föryngringsavverkning</t>
        </is>
      </c>
      <c r="D829" s="1" t="n">
        <v>45085</v>
      </c>
      <c r="E829" s="1" t="n">
        <v>46219</v>
      </c>
      <c r="F829" t="inlineStr">
        <is>
          <t>VÄRMLANDS LÄN</t>
        </is>
      </c>
      <c r="G829" t="inlineStr">
        <is>
          <t>SUNNE</t>
        </is>
      </c>
      <c r="I829" t="n">
        <v>3.2</v>
      </c>
      <c r="J829" t="n">
        <v>0</v>
      </c>
      <c r="K829" t="n">
        <v>0</v>
      </c>
      <c r="L829" t="n">
        <v>0</v>
      </c>
      <c r="M829" t="n">
        <v>0</v>
      </c>
      <c r="N829" t="n">
        <v>0</v>
      </c>
      <c r="O829" t="n">
        <v>0</v>
      </c>
      <c r="P829" t="n">
        <v>0</v>
      </c>
      <c r="Q829" t="n">
        <v>0</v>
      </c>
      <c r="R829" t="n">
        <v>0</v>
      </c>
      <c r="S829" t="n">
        <v>0</v>
      </c>
      <c r="T829" t="n">
        <v>0</v>
      </c>
      <c r="U829" s="2" t="inlineStr"/>
    </row>
    <row r="830" ht="15" customHeight="1">
      <c r="A830" t="inlineStr">
        <is>
          <t>A 51851-2023</t>
        </is>
      </c>
      <c r="B830" t="inlineStr">
        <is>
          <t>avverkningsanmälan</t>
        </is>
      </c>
      <c r="C830" t="inlineStr">
        <is>
          <t>Föryngringsavverkning</t>
        </is>
      </c>
      <c r="D830" s="1" t="n">
        <v>45223</v>
      </c>
      <c r="E830" s="1" t="n">
        <v>46219</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21806-2025</t>
        </is>
      </c>
      <c r="B831" t="inlineStr">
        <is>
          <t>avverkningsanmälan</t>
        </is>
      </c>
      <c r="C831" t="inlineStr">
        <is>
          <t>Föryngringsavverkning</t>
        </is>
      </c>
      <c r="D831" s="1" t="n">
        <v>45783</v>
      </c>
      <c r="E831" s="1" t="n">
        <v>46219</v>
      </c>
      <c r="F831" t="inlineStr">
        <is>
          <t>VÄRMLANDS LÄN</t>
        </is>
      </c>
      <c r="G831" t="inlineStr">
        <is>
          <t>SUNNE</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46120-2023</t>
        </is>
      </c>
      <c r="B832" t="inlineStr">
        <is>
          <t>avverkningsanmälan</t>
        </is>
      </c>
      <c r="C832" t="inlineStr">
        <is>
          <t>Föryngringsavverkning</t>
        </is>
      </c>
      <c r="D832" s="1" t="n">
        <v>45196</v>
      </c>
      <c r="E832" s="1" t="n">
        <v>46219</v>
      </c>
      <c r="F832" t="inlineStr">
        <is>
          <t>VÄRMLANDS LÄN</t>
        </is>
      </c>
      <c r="G832" t="inlineStr">
        <is>
          <t>SUNNE</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15716-2024</t>
        </is>
      </c>
      <c r="B833" t="inlineStr">
        <is>
          <t>avverkningsanmälan</t>
        </is>
      </c>
      <c r="C833" t="inlineStr">
        <is>
          <t>Föryngringsavverkning</t>
        </is>
      </c>
      <c r="D833" s="1" t="n">
        <v>45404</v>
      </c>
      <c r="E833" s="1" t="n">
        <v>46219</v>
      </c>
      <c r="F833" t="inlineStr">
        <is>
          <t>VÄRMLANDS LÄN</t>
        </is>
      </c>
      <c r="G833" t="inlineStr">
        <is>
          <t>SUNNE</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21810-2025</t>
        </is>
      </c>
      <c r="B834" t="inlineStr">
        <is>
          <t>avverkningsanmälan</t>
        </is>
      </c>
      <c r="C834" t="inlineStr">
        <is>
          <t>Föryngringsavverkning</t>
        </is>
      </c>
      <c r="D834" s="1" t="n">
        <v>45783</v>
      </c>
      <c r="E834" s="1" t="n">
        <v>46219</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s="2" t="inlineStr"/>
    </row>
    <row r="835" ht="15" customHeight="1">
      <c r="A835" t="inlineStr">
        <is>
          <t>A 50841-2024</t>
        </is>
      </c>
      <c r="B835" t="inlineStr">
        <is>
          <t>avverkningsanmälan</t>
        </is>
      </c>
      <c r="C835" t="inlineStr">
        <is>
          <t>Föryngringsavverkning</t>
        </is>
      </c>
      <c r="D835" s="1" t="n">
        <v>45602</v>
      </c>
      <c r="E835" s="1" t="n">
        <v>46219</v>
      </c>
      <c r="F835" t="inlineStr">
        <is>
          <t>VÄRMLANDS LÄN</t>
        </is>
      </c>
      <c r="G835" t="inlineStr">
        <is>
          <t>SUNNE</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10547-2022</t>
        </is>
      </c>
      <c r="B836" t="inlineStr">
        <is>
          <t>avverkningsanmälan</t>
        </is>
      </c>
      <c r="C836" t="inlineStr">
        <is>
          <t>Föryngringsavverkning</t>
        </is>
      </c>
      <c r="D836" s="1" t="n">
        <v>44623</v>
      </c>
      <c r="E836" s="1" t="n">
        <v>46219</v>
      </c>
      <c r="F836" t="inlineStr">
        <is>
          <t>VÄRMLANDS LÄN</t>
        </is>
      </c>
      <c r="G836" t="inlineStr">
        <is>
          <t>SUNNE</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49683-2023</t>
        </is>
      </c>
      <c r="B837" t="inlineStr">
        <is>
          <t>avverkningsanmälan</t>
        </is>
      </c>
      <c r="C837" t="inlineStr">
        <is>
          <t>Föryngringsavverkning</t>
        </is>
      </c>
      <c r="D837" s="1" t="n">
        <v>45212</v>
      </c>
      <c r="E837" s="1" t="n">
        <v>46219</v>
      </c>
      <c r="F837" t="inlineStr">
        <is>
          <t>VÄRMLANDS LÄN</t>
        </is>
      </c>
      <c r="G837" t="inlineStr">
        <is>
          <t>SUNNE</t>
        </is>
      </c>
      <c r="H837" t="inlineStr">
        <is>
          <t>Kommuner</t>
        </is>
      </c>
      <c r="I837" t="n">
        <v>4.3</v>
      </c>
      <c r="J837" t="n">
        <v>0</v>
      </c>
      <c r="K837" t="n">
        <v>0</v>
      </c>
      <c r="L837" t="n">
        <v>0</v>
      </c>
      <c r="M837" t="n">
        <v>0</v>
      </c>
      <c r="N837" t="n">
        <v>0</v>
      </c>
      <c r="O837" t="n">
        <v>0</v>
      </c>
      <c r="P837" t="n">
        <v>0</v>
      </c>
      <c r="Q837" t="n">
        <v>0</v>
      </c>
      <c r="R837" t="n">
        <v>0</v>
      </c>
      <c r="S837" t="n">
        <v>0</v>
      </c>
      <c r="T837" t="n">
        <v>0</v>
      </c>
      <c r="U837" s="2" t="inlineStr"/>
    </row>
    <row r="838" ht="15" customHeight="1">
      <c r="A838" t="inlineStr">
        <is>
          <t>A 49217-2023</t>
        </is>
      </c>
      <c r="B838" t="inlineStr">
        <is>
          <t>avverkningsanmälan</t>
        </is>
      </c>
      <c r="C838" t="inlineStr">
        <is>
          <t>Föryngringsavverkning</t>
        </is>
      </c>
      <c r="D838" s="1" t="n">
        <v>45210</v>
      </c>
      <c r="E838" s="1" t="n">
        <v>46219</v>
      </c>
      <c r="F838" t="inlineStr">
        <is>
          <t>VÄRMLANDS LÄN</t>
        </is>
      </c>
      <c r="G838" t="inlineStr">
        <is>
          <t>SUNNE</t>
        </is>
      </c>
      <c r="H838" t="inlineStr">
        <is>
          <t>Kommuner</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3936-2026</t>
        </is>
      </c>
      <c r="B839" t="inlineStr">
        <is>
          <t>avverkningsanmälan</t>
        </is>
      </c>
      <c r="C839" t="inlineStr">
        <is>
          <t>Föryngringsavverkning</t>
        </is>
      </c>
      <c r="D839" s="1" t="n">
        <v>46043</v>
      </c>
      <c r="E839" s="1" t="n">
        <v>46219</v>
      </c>
      <c r="F839" t="inlineStr">
        <is>
          <t>VÄRMLANDS LÄN</t>
        </is>
      </c>
      <c r="G839" t="inlineStr">
        <is>
          <t>SUNNE</t>
        </is>
      </c>
      <c r="I839" t="n">
        <v>0.8</v>
      </c>
      <c r="J839" t="n">
        <v>0</v>
      </c>
      <c r="K839" t="n">
        <v>0</v>
      </c>
      <c r="L839" t="n">
        <v>0</v>
      </c>
      <c r="M839" t="n">
        <v>0</v>
      </c>
      <c r="N839" t="n">
        <v>0</v>
      </c>
      <c r="O839" t="n">
        <v>0</v>
      </c>
      <c r="P839" t="n">
        <v>0</v>
      </c>
      <c r="Q839" t="n">
        <v>0</v>
      </c>
      <c r="R839" t="n">
        <v>0</v>
      </c>
      <c r="S839" t="n">
        <v>0</v>
      </c>
      <c r="T839" t="n">
        <v>0</v>
      </c>
      <c r="U839" s="2" t="inlineStr"/>
    </row>
    <row r="840" ht="15" customHeight="1">
      <c r="A840" t="inlineStr">
        <is>
          <t>A 11709-2025</t>
        </is>
      </c>
      <c r="B840" t="inlineStr">
        <is>
          <t>avverkningsanmälan</t>
        </is>
      </c>
      <c r="C840" t="inlineStr">
        <is>
          <t>Föryngringsavverkning</t>
        </is>
      </c>
      <c r="D840" s="1" t="n">
        <v>45727</v>
      </c>
      <c r="E840" s="1" t="n">
        <v>46219</v>
      </c>
      <c r="F840" t="inlineStr">
        <is>
          <t>VÄRMLANDS LÄN</t>
        </is>
      </c>
      <c r="G840" t="inlineStr">
        <is>
          <t>SUNNE</t>
        </is>
      </c>
      <c r="I840" t="n">
        <v>11.6</v>
      </c>
      <c r="J840" t="n">
        <v>0</v>
      </c>
      <c r="K840" t="n">
        <v>0</v>
      </c>
      <c r="L840" t="n">
        <v>0</v>
      </c>
      <c r="M840" t="n">
        <v>0</v>
      </c>
      <c r="N840" t="n">
        <v>0</v>
      </c>
      <c r="O840" t="n">
        <v>0</v>
      </c>
      <c r="P840" t="n">
        <v>0</v>
      </c>
      <c r="Q840" t="n">
        <v>0</v>
      </c>
      <c r="R840" t="n">
        <v>0</v>
      </c>
      <c r="S840" t="n">
        <v>0</v>
      </c>
      <c r="T840" t="n">
        <v>0</v>
      </c>
      <c r="U840" s="2" t="inlineStr"/>
    </row>
    <row r="841" ht="15" customHeight="1">
      <c r="A841" t="inlineStr">
        <is>
          <t>A 58129-2022</t>
        </is>
      </c>
      <c r="B841" t="inlineStr">
        <is>
          <t>avverkningsanmälan</t>
        </is>
      </c>
      <c r="C841" t="inlineStr">
        <is>
          <t>Avverkning för annat ändamål</t>
        </is>
      </c>
      <c r="D841" s="1" t="n">
        <v>44900</v>
      </c>
      <c r="E841" s="1" t="n">
        <v>46219</v>
      </c>
      <c r="F841" t="inlineStr">
        <is>
          <t>VÄRMLANDS LÄN</t>
        </is>
      </c>
      <c r="G841" t="inlineStr">
        <is>
          <t>SUNNE</t>
        </is>
      </c>
      <c r="I841" t="n">
        <v>1.8</v>
      </c>
      <c r="J841" t="n">
        <v>0</v>
      </c>
      <c r="K841" t="n">
        <v>0</v>
      </c>
      <c r="L841" t="n">
        <v>0</v>
      </c>
      <c r="M841" t="n">
        <v>0</v>
      </c>
      <c r="N841" t="n">
        <v>0</v>
      </c>
      <c r="O841" t="n">
        <v>0</v>
      </c>
      <c r="P841" t="n">
        <v>0</v>
      </c>
      <c r="Q841" t="n">
        <v>0</v>
      </c>
      <c r="R841" t="n">
        <v>0</v>
      </c>
      <c r="S841" t="n">
        <v>0</v>
      </c>
      <c r="T841" t="n">
        <v>0</v>
      </c>
      <c r="U841" s="2" t="inlineStr"/>
    </row>
    <row r="842" ht="15" customHeight="1">
      <c r="A842" t="inlineStr">
        <is>
          <t>A 3713-2026</t>
        </is>
      </c>
      <c r="B842" t="inlineStr">
        <is>
          <t>avverkningsanmälan</t>
        </is>
      </c>
      <c r="C842" t="inlineStr">
        <is>
          <t>Föryngringsavverkning</t>
        </is>
      </c>
      <c r="D842" s="1" t="n">
        <v>46043</v>
      </c>
      <c r="E842" s="1" t="n">
        <v>46219</v>
      </c>
      <c r="F842" t="inlineStr">
        <is>
          <t>VÄRMLANDS LÄN</t>
        </is>
      </c>
      <c r="G842" t="inlineStr">
        <is>
          <t>SUNNE</t>
        </is>
      </c>
      <c r="I842" t="n">
        <v>3.7</v>
      </c>
      <c r="J842" t="n">
        <v>0</v>
      </c>
      <c r="K842" t="n">
        <v>0</v>
      </c>
      <c r="L842" t="n">
        <v>0</v>
      </c>
      <c r="M842" t="n">
        <v>0</v>
      </c>
      <c r="N842" t="n">
        <v>0</v>
      </c>
      <c r="O842" t="n">
        <v>0</v>
      </c>
      <c r="P842" t="n">
        <v>0</v>
      </c>
      <c r="Q842" t="n">
        <v>0</v>
      </c>
      <c r="R842" t="n">
        <v>0</v>
      </c>
      <c r="S842" t="n">
        <v>0</v>
      </c>
      <c r="T842" t="n">
        <v>0</v>
      </c>
      <c r="U842" s="2" t="inlineStr"/>
    </row>
    <row r="843" ht="15" customHeight="1">
      <c r="A843" t="inlineStr">
        <is>
          <t>A 3937-2026</t>
        </is>
      </c>
      <c r="B843" t="inlineStr">
        <is>
          <t>avverkningsanmälan</t>
        </is>
      </c>
      <c r="C843" t="inlineStr">
        <is>
          <t>Föryngringsavverkning</t>
        </is>
      </c>
      <c r="D843" s="1" t="n">
        <v>46043</v>
      </c>
      <c r="E843" s="1" t="n">
        <v>46219</v>
      </c>
      <c r="F843" t="inlineStr">
        <is>
          <t>VÄRMLANDS LÄN</t>
        </is>
      </c>
      <c r="G843" t="inlineStr">
        <is>
          <t>SUNNE</t>
        </is>
      </c>
      <c r="I843" t="n">
        <v>4.2</v>
      </c>
      <c r="J843" t="n">
        <v>0</v>
      </c>
      <c r="K843" t="n">
        <v>0</v>
      </c>
      <c r="L843" t="n">
        <v>0</v>
      </c>
      <c r="M843" t="n">
        <v>0</v>
      </c>
      <c r="N843" t="n">
        <v>0</v>
      </c>
      <c r="O843" t="n">
        <v>0</v>
      </c>
      <c r="P843" t="n">
        <v>0</v>
      </c>
      <c r="Q843" t="n">
        <v>0</v>
      </c>
      <c r="R843" t="n">
        <v>0</v>
      </c>
      <c r="S843" t="n">
        <v>0</v>
      </c>
      <c r="T843" t="n">
        <v>0</v>
      </c>
      <c r="U843" s="2" t="inlineStr"/>
    </row>
    <row r="844" ht="15" customHeight="1">
      <c r="A844" t="inlineStr">
        <is>
          <t>A 49214-2023</t>
        </is>
      </c>
      <c r="B844" t="inlineStr">
        <is>
          <t>avverkningsanmälan</t>
        </is>
      </c>
      <c r="C844" t="inlineStr">
        <is>
          <t>Föryngringsavverkning</t>
        </is>
      </c>
      <c r="D844" s="1" t="n">
        <v>45210</v>
      </c>
      <c r="E844" s="1" t="n">
        <v>46219</v>
      </c>
      <c r="F844" t="inlineStr">
        <is>
          <t>VÄRMLANDS LÄN</t>
        </is>
      </c>
      <c r="G844" t="inlineStr">
        <is>
          <t>SUNNE</t>
        </is>
      </c>
      <c r="H844" t="inlineStr">
        <is>
          <t>Kommuner</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269-2025</t>
        </is>
      </c>
      <c r="B845" t="inlineStr">
        <is>
          <t>avverkningsanmälan</t>
        </is>
      </c>
      <c r="C845" t="inlineStr">
        <is>
          <t>Föryngringsavverkning</t>
        </is>
      </c>
      <c r="D845" s="1" t="n">
        <v>45660</v>
      </c>
      <c r="E845" s="1" t="n">
        <v>46219</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21237-2024</t>
        </is>
      </c>
      <c r="B846" t="inlineStr">
        <is>
          <t>avverkningsanmälan</t>
        </is>
      </c>
      <c r="C846" t="inlineStr">
        <is>
          <t>Föryngringsavverkning</t>
        </is>
      </c>
      <c r="D846" s="1" t="n">
        <v>45440</v>
      </c>
      <c r="E846" s="1" t="n">
        <v>46219</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62904-2023</t>
        </is>
      </c>
      <c r="B847" t="inlineStr">
        <is>
          <t>avverkningsanmälan</t>
        </is>
      </c>
      <c r="C847" t="inlineStr">
        <is>
          <t>Föryngringsavverkning</t>
        </is>
      </c>
      <c r="D847" s="1" t="n">
        <v>45272</v>
      </c>
      <c r="E847" s="1" t="n">
        <v>46219</v>
      </c>
      <c r="F847" t="inlineStr">
        <is>
          <t>VÄRMLANDS LÄN</t>
        </is>
      </c>
      <c r="G847" t="inlineStr">
        <is>
          <t>SUNNE</t>
        </is>
      </c>
      <c r="H847" t="inlineStr">
        <is>
          <t>Kommuner</t>
        </is>
      </c>
      <c r="I847" t="n">
        <v>4.8</v>
      </c>
      <c r="J847" t="n">
        <v>0</v>
      </c>
      <c r="K847" t="n">
        <v>0</v>
      </c>
      <c r="L847" t="n">
        <v>0</v>
      </c>
      <c r="M847" t="n">
        <v>0</v>
      </c>
      <c r="N847" t="n">
        <v>0</v>
      </c>
      <c r="O847" t="n">
        <v>0</v>
      </c>
      <c r="P847" t="n">
        <v>0</v>
      </c>
      <c r="Q847" t="n">
        <v>0</v>
      </c>
      <c r="R847" t="n">
        <v>0</v>
      </c>
      <c r="S847" t="n">
        <v>0</v>
      </c>
      <c r="T847" t="n">
        <v>0</v>
      </c>
      <c r="U847" s="2" t="inlineStr"/>
    </row>
    <row r="848" ht="15" customHeight="1">
      <c r="A848" t="inlineStr">
        <is>
          <t>A 57721-2023</t>
        </is>
      </c>
      <c r="B848" t="inlineStr">
        <is>
          <t>avverkningsanmälan</t>
        </is>
      </c>
      <c r="C848" t="inlineStr">
        <is>
          <t>Föryngringsavverkning</t>
        </is>
      </c>
      <c r="D848" s="1" t="n">
        <v>45243</v>
      </c>
      <c r="E848" s="1" t="n">
        <v>46219</v>
      </c>
      <c r="F848" t="inlineStr">
        <is>
          <t>VÄRMLANDS LÄN</t>
        </is>
      </c>
      <c r="G848" t="inlineStr">
        <is>
          <t>SUNNE</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1641-2026</t>
        </is>
      </c>
      <c r="B849" t="inlineStr">
        <is>
          <t>avverkningsanmälan</t>
        </is>
      </c>
      <c r="C849" t="inlineStr">
        <is>
          <t>Föryngringsavverkning</t>
        </is>
      </c>
      <c r="D849" s="1" t="n">
        <v>46034</v>
      </c>
      <c r="E849" s="1" t="n">
        <v>46219</v>
      </c>
      <c r="F849" t="inlineStr">
        <is>
          <t>VÄRMLANDS LÄN</t>
        </is>
      </c>
      <c r="G849" t="inlineStr">
        <is>
          <t>SUNNE</t>
        </is>
      </c>
      <c r="I849" t="n">
        <v>4.5</v>
      </c>
      <c r="J849" t="n">
        <v>0</v>
      </c>
      <c r="K849" t="n">
        <v>0</v>
      </c>
      <c r="L849" t="n">
        <v>0</v>
      </c>
      <c r="M849" t="n">
        <v>0</v>
      </c>
      <c r="N849" t="n">
        <v>0</v>
      </c>
      <c r="O849" t="n">
        <v>0</v>
      </c>
      <c r="P849" t="n">
        <v>0</v>
      </c>
      <c r="Q849" t="n">
        <v>0</v>
      </c>
      <c r="R849" t="n">
        <v>0</v>
      </c>
      <c r="S849" t="n">
        <v>0</v>
      </c>
      <c r="T849" t="n">
        <v>0</v>
      </c>
      <c r="U849" s="2" t="inlineStr"/>
    </row>
    <row r="850" ht="15" customHeight="1">
      <c r="A850" t="inlineStr">
        <is>
          <t>A 15747-2022</t>
        </is>
      </c>
      <c r="B850" t="inlineStr">
        <is>
          <t>avverkningsanmälan</t>
        </is>
      </c>
      <c r="C850" t="inlineStr">
        <is>
          <t>Föryngringsavverkning</t>
        </is>
      </c>
      <c r="D850" s="1" t="n">
        <v>44663</v>
      </c>
      <c r="E850" s="1" t="n">
        <v>46219</v>
      </c>
      <c r="F850" t="inlineStr">
        <is>
          <t>VÄRMLANDS LÄN</t>
        </is>
      </c>
      <c r="G850" t="inlineStr">
        <is>
          <t>SUNNE</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3935-2026</t>
        </is>
      </c>
      <c r="B851" t="inlineStr">
        <is>
          <t>avverkningsanmälan</t>
        </is>
      </c>
      <c r="C851" t="inlineStr">
        <is>
          <t>Föryngringsavverkning</t>
        </is>
      </c>
      <c r="D851" s="1" t="n">
        <v>46043</v>
      </c>
      <c r="E851" s="1" t="n">
        <v>46219</v>
      </c>
      <c r="F851" t="inlineStr">
        <is>
          <t>VÄRMLANDS LÄN</t>
        </is>
      </c>
      <c r="G851" t="inlineStr">
        <is>
          <t>SUNNE</t>
        </is>
      </c>
      <c r="I851" t="n">
        <v>4.2</v>
      </c>
      <c r="J851" t="n">
        <v>0</v>
      </c>
      <c r="K851" t="n">
        <v>0</v>
      </c>
      <c r="L851" t="n">
        <v>0</v>
      </c>
      <c r="M851" t="n">
        <v>0</v>
      </c>
      <c r="N851" t="n">
        <v>0</v>
      </c>
      <c r="O851" t="n">
        <v>0</v>
      </c>
      <c r="P851" t="n">
        <v>0</v>
      </c>
      <c r="Q851" t="n">
        <v>0</v>
      </c>
      <c r="R851" t="n">
        <v>0</v>
      </c>
      <c r="S851" t="n">
        <v>0</v>
      </c>
      <c r="T851" t="n">
        <v>0</v>
      </c>
      <c r="U851" s="2" t="inlineStr"/>
    </row>
    <row r="852" ht="15" customHeight="1">
      <c r="A852" t="inlineStr">
        <is>
          <t>A 1158-2025</t>
        </is>
      </c>
      <c r="B852" t="inlineStr">
        <is>
          <t>avverkningsanmälan</t>
        </is>
      </c>
      <c r="C852" t="inlineStr">
        <is>
          <t>Föryngringsavverkning</t>
        </is>
      </c>
      <c r="D852" s="1" t="n">
        <v>45666</v>
      </c>
      <c r="E852" s="1" t="n">
        <v>46219</v>
      </c>
      <c r="F852" t="inlineStr">
        <is>
          <t>VÄRMLANDS LÄN</t>
        </is>
      </c>
      <c r="G852" t="inlineStr">
        <is>
          <t>SUNNE</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54735-2023</t>
        </is>
      </c>
      <c r="B853" t="inlineStr">
        <is>
          <t>avverkningsanmälan</t>
        </is>
      </c>
      <c r="C853" t="inlineStr">
        <is>
          <t>Föryngringsavverkning</t>
        </is>
      </c>
      <c r="D853" s="1" t="n">
        <v>45236</v>
      </c>
      <c r="E853" s="1" t="n">
        <v>46219</v>
      </c>
      <c r="F853" t="inlineStr">
        <is>
          <t>VÄRMLANDS LÄN</t>
        </is>
      </c>
      <c r="G853" t="inlineStr">
        <is>
          <t>SUNNE</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56238-2023</t>
        </is>
      </c>
      <c r="B854" t="inlineStr">
        <is>
          <t>avverkningsanmälan</t>
        </is>
      </c>
      <c r="C854" t="inlineStr">
        <is>
          <t>Föryngringsavverkning</t>
        </is>
      </c>
      <c r="D854" s="1" t="n">
        <v>45240</v>
      </c>
      <c r="E854" s="1" t="n">
        <v>46219</v>
      </c>
      <c r="F854" t="inlineStr">
        <is>
          <t>VÄRMLANDS LÄN</t>
        </is>
      </c>
      <c r="G854" t="inlineStr">
        <is>
          <t>SUNNE</t>
        </is>
      </c>
      <c r="I854" t="n">
        <v>1.9</v>
      </c>
      <c r="J854" t="n">
        <v>0</v>
      </c>
      <c r="K854" t="n">
        <v>0</v>
      </c>
      <c r="L854" t="n">
        <v>0</v>
      </c>
      <c r="M854" t="n">
        <v>0</v>
      </c>
      <c r="N854" t="n">
        <v>0</v>
      </c>
      <c r="O854" t="n">
        <v>0</v>
      </c>
      <c r="P854" t="n">
        <v>0</v>
      </c>
      <c r="Q854" t="n">
        <v>0</v>
      </c>
      <c r="R854" t="n">
        <v>0</v>
      </c>
      <c r="S854" t="n">
        <v>0</v>
      </c>
      <c r="T854" t="n">
        <v>0</v>
      </c>
      <c r="U854" s="2" t="inlineStr"/>
    </row>
    <row r="855" ht="15" customHeight="1">
      <c r="A855" t="inlineStr">
        <is>
          <t>A 4560-2026</t>
        </is>
      </c>
      <c r="B855" t="inlineStr">
        <is>
          <t>avverkningsanmälan</t>
        </is>
      </c>
      <c r="C855" t="inlineStr">
        <is>
          <t>Föryngringsavverkning</t>
        </is>
      </c>
      <c r="D855" s="1" t="n">
        <v>46047</v>
      </c>
      <c r="E855" s="1" t="n">
        <v>46219</v>
      </c>
      <c r="F855" t="inlineStr">
        <is>
          <t>VÄRMLANDS LÄN</t>
        </is>
      </c>
      <c r="G855" t="inlineStr">
        <is>
          <t>SUNNE</t>
        </is>
      </c>
      <c r="I855" t="n">
        <v>4.2</v>
      </c>
      <c r="J855" t="n">
        <v>0</v>
      </c>
      <c r="K855" t="n">
        <v>0</v>
      </c>
      <c r="L855" t="n">
        <v>0</v>
      </c>
      <c r="M855" t="n">
        <v>0</v>
      </c>
      <c r="N855" t="n">
        <v>0</v>
      </c>
      <c r="O855" t="n">
        <v>0</v>
      </c>
      <c r="P855" t="n">
        <v>0</v>
      </c>
      <c r="Q855" t="n">
        <v>0</v>
      </c>
      <c r="R855" t="n">
        <v>0</v>
      </c>
      <c r="S855" t="n">
        <v>0</v>
      </c>
      <c r="T855" t="n">
        <v>0</v>
      </c>
      <c r="U855" s="2" t="inlineStr"/>
    </row>
    <row r="856" ht="15" customHeight="1">
      <c r="A856" t="inlineStr">
        <is>
          <t>A 9608-2022</t>
        </is>
      </c>
      <c r="B856" t="inlineStr">
        <is>
          <t>avverkningsanmälan</t>
        </is>
      </c>
      <c r="C856" t="inlineStr">
        <is>
          <t>Föryngringsavverkning</t>
        </is>
      </c>
      <c r="D856" s="1" t="n">
        <v>44617</v>
      </c>
      <c r="E856" s="1" t="n">
        <v>46219</v>
      </c>
      <c r="F856" t="inlineStr">
        <is>
          <t>VÄRMLANDS LÄN</t>
        </is>
      </c>
      <c r="G856" t="inlineStr">
        <is>
          <t>SUNNE</t>
        </is>
      </c>
      <c r="I856" t="n">
        <v>0.7</v>
      </c>
      <c r="J856" t="n">
        <v>0</v>
      </c>
      <c r="K856" t="n">
        <v>0</v>
      </c>
      <c r="L856" t="n">
        <v>0</v>
      </c>
      <c r="M856" t="n">
        <v>0</v>
      </c>
      <c r="N856" t="n">
        <v>0</v>
      </c>
      <c r="O856" t="n">
        <v>0</v>
      </c>
      <c r="P856" t="n">
        <v>0</v>
      </c>
      <c r="Q856" t="n">
        <v>0</v>
      </c>
      <c r="R856" t="n">
        <v>0</v>
      </c>
      <c r="S856" t="n">
        <v>0</v>
      </c>
      <c r="T856" t="n">
        <v>0</v>
      </c>
      <c r="U856" s="2" t="inlineStr"/>
    </row>
    <row r="857" ht="15" customHeight="1">
      <c r="A857" t="inlineStr">
        <is>
          <t>A 5705-2026</t>
        </is>
      </c>
      <c r="B857" t="inlineStr">
        <is>
          <t>avverkningsanmälan</t>
        </is>
      </c>
      <c r="C857" t="inlineStr">
        <is>
          <t>Föryngringsavverkning</t>
        </is>
      </c>
      <c r="D857" s="1" t="n">
        <v>46049</v>
      </c>
      <c r="E857" s="1" t="n">
        <v>46219</v>
      </c>
      <c r="F857" t="inlineStr">
        <is>
          <t>VÄRMLANDS LÄN</t>
        </is>
      </c>
      <c r="G857" t="inlineStr">
        <is>
          <t>SUNNE</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19739-2022</t>
        </is>
      </c>
      <c r="B858" t="inlineStr">
        <is>
          <t>avverkningsanmälan</t>
        </is>
      </c>
      <c r="C858" t="inlineStr">
        <is>
          <t>Föryngringsavverkning</t>
        </is>
      </c>
      <c r="D858" s="1" t="n">
        <v>44694</v>
      </c>
      <c r="E858" s="1" t="n">
        <v>46219</v>
      </c>
      <c r="F858" t="inlineStr">
        <is>
          <t>VÄRMLANDS LÄN</t>
        </is>
      </c>
      <c r="G858" t="inlineStr">
        <is>
          <t>SUNNE</t>
        </is>
      </c>
      <c r="I858" t="n">
        <v>3.3</v>
      </c>
      <c r="J858" t="n">
        <v>0</v>
      </c>
      <c r="K858" t="n">
        <v>0</v>
      </c>
      <c r="L858" t="n">
        <v>0</v>
      </c>
      <c r="M858" t="n">
        <v>0</v>
      </c>
      <c r="N858" t="n">
        <v>0</v>
      </c>
      <c r="O858" t="n">
        <v>0</v>
      </c>
      <c r="P858" t="n">
        <v>0</v>
      </c>
      <c r="Q858" t="n">
        <v>0</v>
      </c>
      <c r="R858" t="n">
        <v>0</v>
      </c>
      <c r="S858" t="n">
        <v>0</v>
      </c>
      <c r="T858" t="n">
        <v>0</v>
      </c>
      <c r="U858" s="2" t="inlineStr"/>
    </row>
    <row r="859" ht="15" customHeight="1">
      <c r="A859" t="inlineStr">
        <is>
          <t>A 56727-2024</t>
        </is>
      </c>
      <c r="B859" t="inlineStr">
        <is>
          <t>avverkningsanmälan</t>
        </is>
      </c>
      <c r="C859" t="inlineStr">
        <is>
          <t>Föryngringsavverkning</t>
        </is>
      </c>
      <c r="D859" s="1" t="n">
        <v>45628</v>
      </c>
      <c r="E859" s="1" t="n">
        <v>46219</v>
      </c>
      <c r="F859" t="inlineStr">
        <is>
          <t>VÄRMLANDS LÄN</t>
        </is>
      </c>
      <c r="G859" t="inlineStr">
        <is>
          <t>SUNNE</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56215-2023</t>
        </is>
      </c>
      <c r="B860" t="inlineStr">
        <is>
          <t>avverkningsanmälan</t>
        </is>
      </c>
      <c r="C860" t="inlineStr">
        <is>
          <t>Föryngringsavverkning</t>
        </is>
      </c>
      <c r="D860" s="1" t="n">
        <v>45240</v>
      </c>
      <c r="E860" s="1" t="n">
        <v>46219</v>
      </c>
      <c r="F860" t="inlineStr">
        <is>
          <t>VÄRMLANDS LÄN</t>
        </is>
      </c>
      <c r="G860" t="inlineStr">
        <is>
          <t>SUNNE</t>
        </is>
      </c>
      <c r="I860" t="n">
        <v>0.6</v>
      </c>
      <c r="J860" t="n">
        <v>0</v>
      </c>
      <c r="K860" t="n">
        <v>0</v>
      </c>
      <c r="L860" t="n">
        <v>0</v>
      </c>
      <c r="M860" t="n">
        <v>0</v>
      </c>
      <c r="N860" t="n">
        <v>0</v>
      </c>
      <c r="O860" t="n">
        <v>0</v>
      </c>
      <c r="P860" t="n">
        <v>0</v>
      </c>
      <c r="Q860" t="n">
        <v>0</v>
      </c>
      <c r="R860" t="n">
        <v>0</v>
      </c>
      <c r="S860" t="n">
        <v>0</v>
      </c>
      <c r="T860" t="n">
        <v>0</v>
      </c>
      <c r="U860" s="2" t="inlineStr"/>
    </row>
    <row r="861" ht="15" customHeight="1">
      <c r="A861" t="inlineStr">
        <is>
          <t>A 10509-2024</t>
        </is>
      </c>
      <c r="B861" t="inlineStr">
        <is>
          <t>avverkningsanmälan</t>
        </is>
      </c>
      <c r="C861" t="inlineStr">
        <is>
          <t>Föryngringsavverkning</t>
        </is>
      </c>
      <c r="D861" s="1" t="n">
        <v>45366</v>
      </c>
      <c r="E861" s="1" t="n">
        <v>46219</v>
      </c>
      <c r="F861" t="inlineStr">
        <is>
          <t>VÄRMLANDS LÄN</t>
        </is>
      </c>
      <c r="G861" t="inlineStr">
        <is>
          <t>SUNNE</t>
        </is>
      </c>
      <c r="I861" t="n">
        <v>1.2</v>
      </c>
      <c r="J861" t="n">
        <v>0</v>
      </c>
      <c r="K861" t="n">
        <v>0</v>
      </c>
      <c r="L861" t="n">
        <v>0</v>
      </c>
      <c r="M861" t="n">
        <v>0</v>
      </c>
      <c r="N861" t="n">
        <v>0</v>
      </c>
      <c r="O861" t="n">
        <v>0</v>
      </c>
      <c r="P861" t="n">
        <v>0</v>
      </c>
      <c r="Q861" t="n">
        <v>0</v>
      </c>
      <c r="R861" t="n">
        <v>0</v>
      </c>
      <c r="S861" t="n">
        <v>0</v>
      </c>
      <c r="T861" t="n">
        <v>0</v>
      </c>
      <c r="U861" s="2" t="inlineStr"/>
    </row>
    <row r="862" ht="15" customHeight="1">
      <c r="A862" t="inlineStr">
        <is>
          <t>A 34047-2024</t>
        </is>
      </c>
      <c r="B862" t="inlineStr">
        <is>
          <t>avverkningsanmälan</t>
        </is>
      </c>
      <c r="C862" t="inlineStr">
        <is>
          <t>Föryngringsavverkning</t>
        </is>
      </c>
      <c r="D862" s="1" t="n">
        <v>45523</v>
      </c>
      <c r="E862" s="1" t="n">
        <v>46219</v>
      </c>
      <c r="F862" t="inlineStr">
        <is>
          <t>VÄRMLANDS LÄN</t>
        </is>
      </c>
      <c r="G862" t="inlineStr">
        <is>
          <t>SUNNE</t>
        </is>
      </c>
      <c r="I862" t="n">
        <v>2.6</v>
      </c>
      <c r="J862" t="n">
        <v>0</v>
      </c>
      <c r="K862" t="n">
        <v>0</v>
      </c>
      <c r="L862" t="n">
        <v>0</v>
      </c>
      <c r="M862" t="n">
        <v>0</v>
      </c>
      <c r="N862" t="n">
        <v>0</v>
      </c>
      <c r="O862" t="n">
        <v>0</v>
      </c>
      <c r="P862" t="n">
        <v>0</v>
      </c>
      <c r="Q862" t="n">
        <v>0</v>
      </c>
      <c r="R862" t="n">
        <v>0</v>
      </c>
      <c r="S862" t="n">
        <v>0</v>
      </c>
      <c r="T862" t="n">
        <v>0</v>
      </c>
      <c r="U862" s="2" t="inlineStr"/>
    </row>
    <row r="863" ht="15" customHeight="1">
      <c r="A863" t="inlineStr">
        <is>
          <t>A 29940-2024</t>
        </is>
      </c>
      <c r="B863" t="inlineStr">
        <is>
          <t>avverkningsanmälan</t>
        </is>
      </c>
      <c r="C863" t="inlineStr">
        <is>
          <t>Föryngringsavverkning</t>
        </is>
      </c>
      <c r="D863" s="1" t="n">
        <v>45488</v>
      </c>
      <c r="E863" s="1" t="n">
        <v>46219</v>
      </c>
      <c r="F863" t="inlineStr">
        <is>
          <t>VÄRMLANDS LÄN</t>
        </is>
      </c>
      <c r="G863" t="inlineStr">
        <is>
          <t>SUNNE</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5088-2022</t>
        </is>
      </c>
      <c r="B864" t="inlineStr">
        <is>
          <t>avverkningsanmälan</t>
        </is>
      </c>
      <c r="C864" t="inlineStr">
        <is>
          <t>Föryngringsavverkning</t>
        </is>
      </c>
      <c r="D864" s="1" t="n">
        <v>44593</v>
      </c>
      <c r="E864" s="1" t="n">
        <v>46219</v>
      </c>
      <c r="F864" t="inlineStr">
        <is>
          <t>VÄRMLANDS LÄN</t>
        </is>
      </c>
      <c r="G864" t="inlineStr">
        <is>
          <t>SUNNE</t>
        </is>
      </c>
      <c r="I864" t="n">
        <v>4.2</v>
      </c>
      <c r="J864" t="n">
        <v>0</v>
      </c>
      <c r="K864" t="n">
        <v>0</v>
      </c>
      <c r="L864" t="n">
        <v>0</v>
      </c>
      <c r="M864" t="n">
        <v>0</v>
      </c>
      <c r="N864" t="n">
        <v>0</v>
      </c>
      <c r="O864" t="n">
        <v>0</v>
      </c>
      <c r="P864" t="n">
        <v>0</v>
      </c>
      <c r="Q864" t="n">
        <v>0</v>
      </c>
      <c r="R864" t="n">
        <v>0</v>
      </c>
      <c r="S864" t="n">
        <v>0</v>
      </c>
      <c r="T864" t="n">
        <v>0</v>
      </c>
      <c r="U864" s="2" t="inlineStr"/>
    </row>
    <row r="865" ht="15" customHeight="1">
      <c r="A865" t="inlineStr">
        <is>
          <t>A 46342-2023</t>
        </is>
      </c>
      <c r="B865" t="inlineStr">
        <is>
          <t>avverkningsanmälan</t>
        </is>
      </c>
      <c r="C865" t="inlineStr">
        <is>
          <t>Föryngringsavverkning</t>
        </is>
      </c>
      <c r="D865" s="1" t="n">
        <v>45194</v>
      </c>
      <c r="E865" s="1" t="n">
        <v>46219</v>
      </c>
      <c r="F865" t="inlineStr">
        <is>
          <t>VÄRMLANDS LÄN</t>
        </is>
      </c>
      <c r="G865" t="inlineStr">
        <is>
          <t>SUNNE</t>
        </is>
      </c>
      <c r="I865" t="n">
        <v>1.8</v>
      </c>
      <c r="J865" t="n">
        <v>0</v>
      </c>
      <c r="K865" t="n">
        <v>0</v>
      </c>
      <c r="L865" t="n">
        <v>0</v>
      </c>
      <c r="M865" t="n">
        <v>0</v>
      </c>
      <c r="N865" t="n">
        <v>0</v>
      </c>
      <c r="O865" t="n">
        <v>0</v>
      </c>
      <c r="P865" t="n">
        <v>0</v>
      </c>
      <c r="Q865" t="n">
        <v>0</v>
      </c>
      <c r="R865" t="n">
        <v>0</v>
      </c>
      <c r="S865" t="n">
        <v>0</v>
      </c>
      <c r="T865" t="n">
        <v>0</v>
      </c>
      <c r="U865" s="2" t="inlineStr"/>
    </row>
    <row r="866" ht="15" customHeight="1">
      <c r="A866" t="inlineStr">
        <is>
          <t>A 50455-2023</t>
        </is>
      </c>
      <c r="B866" t="inlineStr">
        <is>
          <t>avverkningsanmälan</t>
        </is>
      </c>
      <c r="C866" t="inlineStr">
        <is>
          <t>Föryngringsavverkning</t>
        </is>
      </c>
      <c r="D866" s="1" t="n">
        <v>45216</v>
      </c>
      <c r="E866" s="1" t="n">
        <v>46219</v>
      </c>
      <c r="F866" t="inlineStr">
        <is>
          <t>VÄRMLANDS LÄN</t>
        </is>
      </c>
      <c r="G866" t="inlineStr">
        <is>
          <t>SUNNE</t>
        </is>
      </c>
      <c r="I866" t="n">
        <v>6</v>
      </c>
      <c r="J866" t="n">
        <v>0</v>
      </c>
      <c r="K866" t="n">
        <v>0</v>
      </c>
      <c r="L866" t="n">
        <v>0</v>
      </c>
      <c r="M866" t="n">
        <v>0</v>
      </c>
      <c r="N866" t="n">
        <v>0</v>
      </c>
      <c r="O866" t="n">
        <v>0</v>
      </c>
      <c r="P866" t="n">
        <v>0</v>
      </c>
      <c r="Q866" t="n">
        <v>0</v>
      </c>
      <c r="R866" t="n">
        <v>0</v>
      </c>
      <c r="S866" t="n">
        <v>0</v>
      </c>
      <c r="T866" t="n">
        <v>0</v>
      </c>
      <c r="U866" s="2" t="inlineStr"/>
    </row>
    <row r="867" ht="15" customHeight="1">
      <c r="A867" t="inlineStr">
        <is>
          <t>A 33582-2024</t>
        </is>
      </c>
      <c r="B867" t="inlineStr">
        <is>
          <t>avverkningsanmälan</t>
        </is>
      </c>
      <c r="C867" t="inlineStr">
        <is>
          <t>Föryngringsavverkning</t>
        </is>
      </c>
      <c r="D867" s="1" t="n">
        <v>45520</v>
      </c>
      <c r="E867" s="1" t="n">
        <v>46219</v>
      </c>
      <c r="F867" t="inlineStr">
        <is>
          <t>VÄRMLANDS LÄN</t>
        </is>
      </c>
      <c r="G867" t="inlineStr">
        <is>
          <t>SUNNE</t>
        </is>
      </c>
      <c r="H867" t="inlineStr">
        <is>
          <t>Bergvik skog väst AB</t>
        </is>
      </c>
      <c r="I867" t="n">
        <v>2.7</v>
      </c>
      <c r="J867" t="n">
        <v>0</v>
      </c>
      <c r="K867" t="n">
        <v>0</v>
      </c>
      <c r="L867" t="n">
        <v>0</v>
      </c>
      <c r="M867" t="n">
        <v>0</v>
      </c>
      <c r="N867" t="n">
        <v>0</v>
      </c>
      <c r="O867" t="n">
        <v>0</v>
      </c>
      <c r="P867" t="n">
        <v>0</v>
      </c>
      <c r="Q867" t="n">
        <v>0</v>
      </c>
      <c r="R867" t="n">
        <v>0</v>
      </c>
      <c r="S867" t="n">
        <v>0</v>
      </c>
      <c r="T867" t="n">
        <v>0</v>
      </c>
      <c r="U867" s="2" t="inlineStr"/>
    </row>
    <row r="868" ht="15" customHeight="1">
      <c r="A868" t="inlineStr">
        <is>
          <t>A 51842-2023</t>
        </is>
      </c>
      <c r="B868" t="inlineStr">
        <is>
          <t>avverkningsanmälan</t>
        </is>
      </c>
      <c r="C868" t="inlineStr">
        <is>
          <t>Föryngringsavverkning</t>
        </is>
      </c>
      <c r="D868" s="1" t="n">
        <v>45223</v>
      </c>
      <c r="E868" s="1" t="n">
        <v>46219</v>
      </c>
      <c r="F868" t="inlineStr">
        <is>
          <t>VÄRMLANDS LÄN</t>
        </is>
      </c>
      <c r="G868" t="inlineStr">
        <is>
          <t>SUNNE</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7096-2025</t>
        </is>
      </c>
      <c r="B869" t="inlineStr">
        <is>
          <t>avverkningsanmälan</t>
        </is>
      </c>
      <c r="C869" t="inlineStr">
        <is>
          <t>Föryngringsavverkning</t>
        </is>
      </c>
      <c r="D869" s="1" t="n">
        <v>45701</v>
      </c>
      <c r="E869" s="1" t="n">
        <v>46219</v>
      </c>
      <c r="F869" t="inlineStr">
        <is>
          <t>VÄRMLANDS LÄN</t>
        </is>
      </c>
      <c r="G869" t="inlineStr">
        <is>
          <t>SUNNE</t>
        </is>
      </c>
      <c r="I869" t="n">
        <v>1.6</v>
      </c>
      <c r="J869" t="n">
        <v>0</v>
      </c>
      <c r="K869" t="n">
        <v>0</v>
      </c>
      <c r="L869" t="n">
        <v>0</v>
      </c>
      <c r="M869" t="n">
        <v>0</v>
      </c>
      <c r="N869" t="n">
        <v>0</v>
      </c>
      <c r="O869" t="n">
        <v>0</v>
      </c>
      <c r="P869" t="n">
        <v>0</v>
      </c>
      <c r="Q869" t="n">
        <v>0</v>
      </c>
      <c r="R869" t="n">
        <v>0</v>
      </c>
      <c r="S869" t="n">
        <v>0</v>
      </c>
      <c r="T869" t="n">
        <v>0</v>
      </c>
      <c r="U869" s="2" t="inlineStr"/>
    </row>
    <row r="870" ht="15" customHeight="1">
      <c r="A870" t="inlineStr">
        <is>
          <t>A 21875-2022</t>
        </is>
      </c>
      <c r="B870" t="inlineStr">
        <is>
          <t>avverkningsanmälan</t>
        </is>
      </c>
      <c r="C870" t="inlineStr">
        <is>
          <t>Föryngringsavverkning</t>
        </is>
      </c>
      <c r="D870" s="1" t="n">
        <v>44711</v>
      </c>
      <c r="E870" s="1" t="n">
        <v>46219</v>
      </c>
      <c r="F870" t="inlineStr">
        <is>
          <t>VÄRMLANDS LÄN</t>
        </is>
      </c>
      <c r="G870" t="inlineStr">
        <is>
          <t>SUNNE</t>
        </is>
      </c>
      <c r="I870" t="n">
        <v>0.7</v>
      </c>
      <c r="J870" t="n">
        <v>0</v>
      </c>
      <c r="K870" t="n">
        <v>0</v>
      </c>
      <c r="L870" t="n">
        <v>0</v>
      </c>
      <c r="M870" t="n">
        <v>0</v>
      </c>
      <c r="N870" t="n">
        <v>0</v>
      </c>
      <c r="O870" t="n">
        <v>0</v>
      </c>
      <c r="P870" t="n">
        <v>0</v>
      </c>
      <c r="Q870" t="n">
        <v>0</v>
      </c>
      <c r="R870" t="n">
        <v>0</v>
      </c>
      <c r="S870" t="n">
        <v>0</v>
      </c>
      <c r="T870" t="n">
        <v>0</v>
      </c>
      <c r="U870" s="2" t="inlineStr"/>
    </row>
    <row r="871" ht="15" customHeight="1">
      <c r="A871" t="inlineStr">
        <is>
          <t>A 46790-2024</t>
        </is>
      </c>
      <c r="B871" t="inlineStr">
        <is>
          <t>avverkningsanmälan</t>
        </is>
      </c>
      <c r="C871" t="inlineStr">
        <is>
          <t>Föryngringsavverkning</t>
        </is>
      </c>
      <c r="D871" s="1" t="n">
        <v>45583</v>
      </c>
      <c r="E871" s="1" t="n">
        <v>46219</v>
      </c>
      <c r="F871" t="inlineStr">
        <is>
          <t>VÄRMLANDS LÄN</t>
        </is>
      </c>
      <c r="G871" t="inlineStr">
        <is>
          <t>SUNNE</t>
        </is>
      </c>
      <c r="H871" t="inlineStr">
        <is>
          <t>Kommuner</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28107-2024</t>
        </is>
      </c>
      <c r="B872" t="inlineStr">
        <is>
          <t>avverkningsanmälan</t>
        </is>
      </c>
      <c r="C872" t="inlineStr">
        <is>
          <t>Föryngringsavverkning</t>
        </is>
      </c>
      <c r="D872" s="1" t="n">
        <v>45476</v>
      </c>
      <c r="E872" s="1" t="n">
        <v>46219</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7400-2026</t>
        </is>
      </c>
      <c r="B873" t="inlineStr">
        <is>
          <t>avverkningsanmälan</t>
        </is>
      </c>
      <c r="C873" t="inlineStr">
        <is>
          <t>Föryngringsavverkning</t>
        </is>
      </c>
      <c r="D873" s="1" t="n">
        <v>46059</v>
      </c>
      <c r="E873" s="1" t="n">
        <v>46219</v>
      </c>
      <c r="F873" t="inlineStr">
        <is>
          <t>VÄRMLANDS LÄN</t>
        </is>
      </c>
      <c r="G873" t="inlineStr">
        <is>
          <t>SUNNE</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55147-2022</t>
        </is>
      </c>
      <c r="B874" t="inlineStr">
        <is>
          <t>avverkningsanmälan</t>
        </is>
      </c>
      <c r="C874" t="inlineStr">
        <is>
          <t>Föryngringsavverkning</t>
        </is>
      </c>
      <c r="D874" s="1" t="n">
        <v>44886</v>
      </c>
      <c r="E874" s="1" t="n">
        <v>46219</v>
      </c>
      <c r="F874" t="inlineStr">
        <is>
          <t>VÄRMLANDS LÄN</t>
        </is>
      </c>
      <c r="G874" t="inlineStr">
        <is>
          <t>SUNNE</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7377-2026</t>
        </is>
      </c>
      <c r="B875" t="inlineStr">
        <is>
          <t>avverkningsanmälan</t>
        </is>
      </c>
      <c r="C875" t="inlineStr">
        <is>
          <t>Föryngringsavverkning</t>
        </is>
      </c>
      <c r="D875" s="1" t="n">
        <v>46059</v>
      </c>
      <c r="E875" s="1" t="n">
        <v>46219</v>
      </c>
      <c r="F875" t="inlineStr">
        <is>
          <t>VÄRMLANDS LÄN</t>
        </is>
      </c>
      <c r="G875" t="inlineStr">
        <is>
          <t>SUNNE</t>
        </is>
      </c>
      <c r="I875" t="n">
        <v>2.7</v>
      </c>
      <c r="J875" t="n">
        <v>0</v>
      </c>
      <c r="K875" t="n">
        <v>0</v>
      </c>
      <c r="L875" t="n">
        <v>0</v>
      </c>
      <c r="M875" t="n">
        <v>0</v>
      </c>
      <c r="N875" t="n">
        <v>0</v>
      </c>
      <c r="O875" t="n">
        <v>0</v>
      </c>
      <c r="P875" t="n">
        <v>0</v>
      </c>
      <c r="Q875" t="n">
        <v>0</v>
      </c>
      <c r="R875" t="n">
        <v>0</v>
      </c>
      <c r="S875" t="n">
        <v>0</v>
      </c>
      <c r="T875" t="n">
        <v>0</v>
      </c>
      <c r="U875" s="2" t="inlineStr"/>
    </row>
    <row r="876" ht="15" customHeight="1">
      <c r="A876" t="inlineStr">
        <is>
          <t>A 7730-2026</t>
        </is>
      </c>
      <c r="B876" t="inlineStr">
        <is>
          <t>avverkningsanmälan</t>
        </is>
      </c>
      <c r="C876" t="inlineStr">
        <is>
          <t>Föryngringsavverkning</t>
        </is>
      </c>
      <c r="D876" s="1" t="n">
        <v>46062</v>
      </c>
      <c r="E876" s="1" t="n">
        <v>46219</v>
      </c>
      <c r="F876" t="inlineStr">
        <is>
          <t>VÄRMLANDS LÄN</t>
        </is>
      </c>
      <c r="G876" t="inlineStr">
        <is>
          <t>SUNNE</t>
        </is>
      </c>
      <c r="I876" t="n">
        <v>3.6</v>
      </c>
      <c r="J876" t="n">
        <v>0</v>
      </c>
      <c r="K876" t="n">
        <v>0</v>
      </c>
      <c r="L876" t="n">
        <v>0</v>
      </c>
      <c r="M876" t="n">
        <v>0</v>
      </c>
      <c r="N876" t="n">
        <v>0</v>
      </c>
      <c r="O876" t="n">
        <v>0</v>
      </c>
      <c r="P876" t="n">
        <v>0</v>
      </c>
      <c r="Q876" t="n">
        <v>0</v>
      </c>
      <c r="R876" t="n">
        <v>0</v>
      </c>
      <c r="S876" t="n">
        <v>0</v>
      </c>
      <c r="T876" t="n">
        <v>0</v>
      </c>
      <c r="U876" s="2" t="inlineStr"/>
    </row>
    <row r="877" ht="15" customHeight="1">
      <c r="A877" t="inlineStr">
        <is>
          <t>A 16553-2022</t>
        </is>
      </c>
      <c r="B877" t="inlineStr">
        <is>
          <t>avverkningsanmälan</t>
        </is>
      </c>
      <c r="C877" t="inlineStr">
        <is>
          <t>Föryngringsavverkning</t>
        </is>
      </c>
      <c r="D877" s="1" t="n">
        <v>44672</v>
      </c>
      <c r="E877" s="1" t="n">
        <v>46219</v>
      </c>
      <c r="F877" t="inlineStr">
        <is>
          <t>VÄRMLANDS LÄN</t>
        </is>
      </c>
      <c r="G877" t="inlineStr">
        <is>
          <t>SUNNE</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41967-2023</t>
        </is>
      </c>
      <c r="B878" t="inlineStr">
        <is>
          <t>avverkningsanmälan</t>
        </is>
      </c>
      <c r="C878" t="inlineStr">
        <is>
          <t>Föryngringsavverkning</t>
        </is>
      </c>
      <c r="D878" s="1" t="n">
        <v>45177</v>
      </c>
      <c r="E878" s="1" t="n">
        <v>46219</v>
      </c>
      <c r="F878" t="inlineStr">
        <is>
          <t>VÄRMLANDS LÄN</t>
        </is>
      </c>
      <c r="G878" t="inlineStr">
        <is>
          <t>SUNNE</t>
        </is>
      </c>
      <c r="I878" t="n">
        <v>5.4</v>
      </c>
      <c r="J878" t="n">
        <v>0</v>
      </c>
      <c r="K878" t="n">
        <v>0</v>
      </c>
      <c r="L878" t="n">
        <v>0</v>
      </c>
      <c r="M878" t="n">
        <v>0</v>
      </c>
      <c r="N878" t="n">
        <v>0</v>
      </c>
      <c r="O878" t="n">
        <v>0</v>
      </c>
      <c r="P878" t="n">
        <v>0</v>
      </c>
      <c r="Q878" t="n">
        <v>0</v>
      </c>
      <c r="R878" t="n">
        <v>0</v>
      </c>
      <c r="S878" t="n">
        <v>0</v>
      </c>
      <c r="T878" t="n">
        <v>0</v>
      </c>
      <c r="U878" s="2" t="inlineStr"/>
    </row>
    <row r="879" ht="15" customHeight="1">
      <c r="A879" t="inlineStr">
        <is>
          <t>A 7657-2026</t>
        </is>
      </c>
      <c r="B879" t="inlineStr">
        <is>
          <t>avverkningsanmälan</t>
        </is>
      </c>
      <c r="C879" t="inlineStr">
        <is>
          <t>Föryngringsavverkning</t>
        </is>
      </c>
      <c r="D879" s="1" t="n">
        <v>46062</v>
      </c>
      <c r="E879" s="1" t="n">
        <v>46219</v>
      </c>
      <c r="F879" t="inlineStr">
        <is>
          <t>VÄRMLANDS LÄN</t>
        </is>
      </c>
      <c r="G879" t="inlineStr">
        <is>
          <t>SUNNE</t>
        </is>
      </c>
      <c r="I879" t="n">
        <v>3.7</v>
      </c>
      <c r="J879" t="n">
        <v>0</v>
      </c>
      <c r="K879" t="n">
        <v>0</v>
      </c>
      <c r="L879" t="n">
        <v>0</v>
      </c>
      <c r="M879" t="n">
        <v>0</v>
      </c>
      <c r="N879" t="n">
        <v>0</v>
      </c>
      <c r="O879" t="n">
        <v>0</v>
      </c>
      <c r="P879" t="n">
        <v>0</v>
      </c>
      <c r="Q879" t="n">
        <v>0</v>
      </c>
      <c r="R879" t="n">
        <v>0</v>
      </c>
      <c r="S879" t="n">
        <v>0</v>
      </c>
      <c r="T879" t="n">
        <v>0</v>
      </c>
      <c r="U879" s="2" t="inlineStr"/>
    </row>
    <row r="880" ht="15" customHeight="1">
      <c r="A880" t="inlineStr">
        <is>
          <t>A 22544-2025</t>
        </is>
      </c>
      <c r="B880" t="inlineStr">
        <is>
          <t>avverkningsanmälan</t>
        </is>
      </c>
      <c r="C880" t="inlineStr">
        <is>
          <t>Föryngringsavverkning</t>
        </is>
      </c>
      <c r="D880" s="1" t="n">
        <v>45788</v>
      </c>
      <c r="E880" s="1" t="n">
        <v>46219</v>
      </c>
      <c r="F880" t="inlineStr">
        <is>
          <t>VÄRMLANDS LÄN</t>
        </is>
      </c>
      <c r="G880" t="inlineStr">
        <is>
          <t>SUNNE</t>
        </is>
      </c>
      <c r="I880" t="n">
        <v>6</v>
      </c>
      <c r="J880" t="n">
        <v>0</v>
      </c>
      <c r="K880" t="n">
        <v>0</v>
      </c>
      <c r="L880" t="n">
        <v>0</v>
      </c>
      <c r="M880" t="n">
        <v>0</v>
      </c>
      <c r="N880" t="n">
        <v>0</v>
      </c>
      <c r="O880" t="n">
        <v>0</v>
      </c>
      <c r="P880" t="n">
        <v>0</v>
      </c>
      <c r="Q880" t="n">
        <v>0</v>
      </c>
      <c r="R880" t="n">
        <v>0</v>
      </c>
      <c r="S880" t="n">
        <v>0</v>
      </c>
      <c r="T880" t="n">
        <v>0</v>
      </c>
      <c r="U880" s="2" t="inlineStr"/>
    </row>
    <row r="881" ht="15" customHeight="1">
      <c r="A881" t="inlineStr">
        <is>
          <t>A 22192-2022</t>
        </is>
      </c>
      <c r="B881" t="inlineStr">
        <is>
          <t>avverkningsanmälan</t>
        </is>
      </c>
      <c r="C881" t="inlineStr">
        <is>
          <t>Föryngringsavverkning</t>
        </is>
      </c>
      <c r="D881" s="1" t="n">
        <v>44712</v>
      </c>
      <c r="E881" s="1" t="n">
        <v>46219</v>
      </c>
      <c r="F881" t="inlineStr">
        <is>
          <t>VÄRMLANDS LÄN</t>
        </is>
      </c>
      <c r="G881" t="inlineStr">
        <is>
          <t>SUNNE</t>
        </is>
      </c>
      <c r="I881" t="n">
        <v>6.1</v>
      </c>
      <c r="J881" t="n">
        <v>0</v>
      </c>
      <c r="K881" t="n">
        <v>0</v>
      </c>
      <c r="L881" t="n">
        <v>0</v>
      </c>
      <c r="M881" t="n">
        <v>0</v>
      </c>
      <c r="N881" t="n">
        <v>0</v>
      </c>
      <c r="O881" t="n">
        <v>0</v>
      </c>
      <c r="P881" t="n">
        <v>0</v>
      </c>
      <c r="Q881" t="n">
        <v>0</v>
      </c>
      <c r="R881" t="n">
        <v>0</v>
      </c>
      <c r="S881" t="n">
        <v>0</v>
      </c>
      <c r="T881" t="n">
        <v>0</v>
      </c>
      <c r="U881" s="2" t="inlineStr"/>
    </row>
    <row r="882" ht="15" customHeight="1">
      <c r="A882" t="inlineStr">
        <is>
          <t>A 20236-2022</t>
        </is>
      </c>
      <c r="B882" t="inlineStr">
        <is>
          <t>avverkningsanmälan</t>
        </is>
      </c>
      <c r="C882" t="inlineStr">
        <is>
          <t>Föryngringsavverkning</t>
        </is>
      </c>
      <c r="D882" s="1" t="n">
        <v>44698</v>
      </c>
      <c r="E882" s="1" t="n">
        <v>46219</v>
      </c>
      <c r="F882" t="inlineStr">
        <is>
          <t>VÄRMLANDS LÄN</t>
        </is>
      </c>
      <c r="G882" t="inlineStr">
        <is>
          <t>SUNNE</t>
        </is>
      </c>
      <c r="H882" t="inlineStr">
        <is>
          <t>Övriga Aktiebolag</t>
        </is>
      </c>
      <c r="I882" t="n">
        <v>4.1</v>
      </c>
      <c r="J882" t="n">
        <v>0</v>
      </c>
      <c r="K882" t="n">
        <v>0</v>
      </c>
      <c r="L882" t="n">
        <v>0</v>
      </c>
      <c r="M882" t="n">
        <v>0</v>
      </c>
      <c r="N882" t="n">
        <v>0</v>
      </c>
      <c r="O882" t="n">
        <v>0</v>
      </c>
      <c r="P882" t="n">
        <v>0</v>
      </c>
      <c r="Q882" t="n">
        <v>0</v>
      </c>
      <c r="R882" t="n">
        <v>0</v>
      </c>
      <c r="S882" t="n">
        <v>0</v>
      </c>
      <c r="T882" t="n">
        <v>0</v>
      </c>
      <c r="U882" s="2" t="inlineStr"/>
    </row>
    <row r="883" ht="15" customHeight="1">
      <c r="A883" t="inlineStr">
        <is>
          <t>A 42480-2023</t>
        </is>
      </c>
      <c r="B883" t="inlineStr">
        <is>
          <t>avverkningsanmälan</t>
        </is>
      </c>
      <c r="C883" t="inlineStr">
        <is>
          <t>Föryngringsavverkning</t>
        </is>
      </c>
      <c r="D883" s="1" t="n">
        <v>45180</v>
      </c>
      <c r="E883" s="1" t="n">
        <v>46219</v>
      </c>
      <c r="F883" t="inlineStr">
        <is>
          <t>VÄRMLANDS LÄN</t>
        </is>
      </c>
      <c r="G883" t="inlineStr">
        <is>
          <t>SUNNE</t>
        </is>
      </c>
      <c r="I883" t="n">
        <v>3</v>
      </c>
      <c r="J883" t="n">
        <v>0</v>
      </c>
      <c r="K883" t="n">
        <v>0</v>
      </c>
      <c r="L883" t="n">
        <v>0</v>
      </c>
      <c r="M883" t="n">
        <v>0</v>
      </c>
      <c r="N883" t="n">
        <v>0</v>
      </c>
      <c r="O883" t="n">
        <v>0</v>
      </c>
      <c r="P883" t="n">
        <v>0</v>
      </c>
      <c r="Q883" t="n">
        <v>0</v>
      </c>
      <c r="R883" t="n">
        <v>0</v>
      </c>
      <c r="S883" t="n">
        <v>0</v>
      </c>
      <c r="T883" t="n">
        <v>0</v>
      </c>
      <c r="U883" s="2" t="inlineStr"/>
    </row>
    <row r="884" ht="15" customHeight="1">
      <c r="A884" t="inlineStr">
        <is>
          <t>A 7985-2026</t>
        </is>
      </c>
      <c r="B884" t="inlineStr">
        <is>
          <t>avverkningsanmälan</t>
        </is>
      </c>
      <c r="C884" t="inlineStr">
        <is>
          <t>Föryngringsavverkning</t>
        </is>
      </c>
      <c r="D884" s="1" t="n">
        <v>46063</v>
      </c>
      <c r="E884" s="1" t="n">
        <v>46219</v>
      </c>
      <c r="F884" t="inlineStr">
        <is>
          <t>VÄRMLANDS LÄN</t>
        </is>
      </c>
      <c r="G884" t="inlineStr">
        <is>
          <t>SUNNE</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40174-2021</t>
        </is>
      </c>
      <c r="B885" t="inlineStr">
        <is>
          <t>avverkningsanmälan</t>
        </is>
      </c>
      <c r="C885" t="inlineStr">
        <is>
          <t>Föryngringsavverkning</t>
        </is>
      </c>
      <c r="D885" s="1" t="n">
        <v>44418</v>
      </c>
      <c r="E885" s="1" t="n">
        <v>46219</v>
      </c>
      <c r="F885" t="inlineStr">
        <is>
          <t>VÄRMLANDS LÄN</t>
        </is>
      </c>
      <c r="G885" t="inlineStr">
        <is>
          <t>SUNNE</t>
        </is>
      </c>
      <c r="H885" t="inlineStr">
        <is>
          <t>Övriga Aktiebolag</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8777-2026</t>
        </is>
      </c>
      <c r="B886" t="inlineStr">
        <is>
          <t>avverkningsanmälan</t>
        </is>
      </c>
      <c r="C886" t="inlineStr">
        <is>
          <t>Föryngringsavverkning</t>
        </is>
      </c>
      <c r="D886" s="1" t="n">
        <v>46066</v>
      </c>
      <c r="E886" s="1" t="n">
        <v>46219</v>
      </c>
      <c r="F886" t="inlineStr">
        <is>
          <t>VÄRMLANDS LÄN</t>
        </is>
      </c>
      <c r="G886" t="inlineStr">
        <is>
          <t>SUNNE</t>
        </is>
      </c>
      <c r="I886" t="n">
        <v>5.1</v>
      </c>
      <c r="J886" t="n">
        <v>0</v>
      </c>
      <c r="K886" t="n">
        <v>0</v>
      </c>
      <c r="L886" t="n">
        <v>0</v>
      </c>
      <c r="M886" t="n">
        <v>0</v>
      </c>
      <c r="N886" t="n">
        <v>0</v>
      </c>
      <c r="O886" t="n">
        <v>0</v>
      </c>
      <c r="P886" t="n">
        <v>0</v>
      </c>
      <c r="Q886" t="n">
        <v>0</v>
      </c>
      <c r="R886" t="n">
        <v>0</v>
      </c>
      <c r="S886" t="n">
        <v>0</v>
      </c>
      <c r="T886" t="n">
        <v>0</v>
      </c>
      <c r="U886" s="2" t="inlineStr"/>
    </row>
    <row r="887" ht="15" customHeight="1">
      <c r="A887" t="inlineStr">
        <is>
          <t>A 32134-2023</t>
        </is>
      </c>
      <c r="B887" t="inlineStr">
        <is>
          <t>avverkningsanmälan</t>
        </is>
      </c>
      <c r="C887" t="inlineStr">
        <is>
          <t>Föryngringsavverkning</t>
        </is>
      </c>
      <c r="D887" s="1" t="n">
        <v>45119</v>
      </c>
      <c r="E887" s="1" t="n">
        <v>46219</v>
      </c>
      <c r="F887" t="inlineStr">
        <is>
          <t>VÄRMLANDS LÄN</t>
        </is>
      </c>
      <c r="G887" t="inlineStr">
        <is>
          <t>SUNNE</t>
        </is>
      </c>
      <c r="I887" t="n">
        <v>9.300000000000001</v>
      </c>
      <c r="J887" t="n">
        <v>0</v>
      </c>
      <c r="K887" t="n">
        <v>0</v>
      </c>
      <c r="L887" t="n">
        <v>0</v>
      </c>
      <c r="M887" t="n">
        <v>0</v>
      </c>
      <c r="N887" t="n">
        <v>0</v>
      </c>
      <c r="O887" t="n">
        <v>0</v>
      </c>
      <c r="P887" t="n">
        <v>0</v>
      </c>
      <c r="Q887" t="n">
        <v>0</v>
      </c>
      <c r="R887" t="n">
        <v>0</v>
      </c>
      <c r="S887" t="n">
        <v>0</v>
      </c>
      <c r="T887" t="n">
        <v>0</v>
      </c>
      <c r="U887" s="2" t="inlineStr"/>
    </row>
    <row r="888" ht="15" customHeight="1">
      <c r="A888" t="inlineStr">
        <is>
          <t>A 14078-2025</t>
        </is>
      </c>
      <c r="B888" t="inlineStr">
        <is>
          <t>avverkningsanmälan</t>
        </is>
      </c>
      <c r="C888" t="inlineStr">
        <is>
          <t>Föryngringsavverkning</t>
        </is>
      </c>
      <c r="D888" s="1" t="n">
        <v>45740</v>
      </c>
      <c r="E888" s="1" t="n">
        <v>46219</v>
      </c>
      <c r="F888" t="inlineStr">
        <is>
          <t>VÄRMLANDS LÄN</t>
        </is>
      </c>
      <c r="G888" t="inlineStr">
        <is>
          <t>SUNNE</t>
        </is>
      </c>
      <c r="I888" t="n">
        <v>4.2</v>
      </c>
      <c r="J888" t="n">
        <v>0</v>
      </c>
      <c r="K888" t="n">
        <v>0</v>
      </c>
      <c r="L888" t="n">
        <v>0</v>
      </c>
      <c r="M888" t="n">
        <v>0</v>
      </c>
      <c r="N888" t="n">
        <v>0</v>
      </c>
      <c r="O888" t="n">
        <v>0</v>
      </c>
      <c r="P888" t="n">
        <v>0</v>
      </c>
      <c r="Q888" t="n">
        <v>0</v>
      </c>
      <c r="R888" t="n">
        <v>0</v>
      </c>
      <c r="S888" t="n">
        <v>0</v>
      </c>
      <c r="T888" t="n">
        <v>0</v>
      </c>
      <c r="U888" s="2" t="inlineStr"/>
    </row>
    <row r="889" ht="15" customHeight="1">
      <c r="A889" t="inlineStr">
        <is>
          <t>A 43868-2023</t>
        </is>
      </c>
      <c r="B889" t="inlineStr">
        <is>
          <t>avverkningsanmälan</t>
        </is>
      </c>
      <c r="C889" t="inlineStr">
        <is>
          <t>Föryngringsavverkning</t>
        </is>
      </c>
      <c r="D889" s="1" t="n">
        <v>45187</v>
      </c>
      <c r="E889" s="1" t="n">
        <v>46219</v>
      </c>
      <c r="F889" t="inlineStr">
        <is>
          <t>VÄRMLANDS LÄN</t>
        </is>
      </c>
      <c r="G889" t="inlineStr">
        <is>
          <t>SUNNE</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38435-2023</t>
        </is>
      </c>
      <c r="B890" t="inlineStr">
        <is>
          <t>avverkningsanmälan</t>
        </is>
      </c>
      <c r="C890" t="inlineStr">
        <is>
          <t>Föryngringsavverkning</t>
        </is>
      </c>
      <c r="D890" s="1" t="n">
        <v>45162</v>
      </c>
      <c r="E890" s="1" t="n">
        <v>46219</v>
      </c>
      <c r="F890" t="inlineStr">
        <is>
          <t>VÄRMLANDS LÄN</t>
        </is>
      </c>
      <c r="G890" t="inlineStr">
        <is>
          <t>SUNNE</t>
        </is>
      </c>
      <c r="I890" t="n">
        <v>3.1</v>
      </c>
      <c r="J890" t="n">
        <v>0</v>
      </c>
      <c r="K890" t="n">
        <v>0</v>
      </c>
      <c r="L890" t="n">
        <v>0</v>
      </c>
      <c r="M890" t="n">
        <v>0</v>
      </c>
      <c r="N890" t="n">
        <v>0</v>
      </c>
      <c r="O890" t="n">
        <v>0</v>
      </c>
      <c r="P890" t="n">
        <v>0</v>
      </c>
      <c r="Q890" t="n">
        <v>0</v>
      </c>
      <c r="R890" t="n">
        <v>0</v>
      </c>
      <c r="S890" t="n">
        <v>0</v>
      </c>
      <c r="T890" t="n">
        <v>0</v>
      </c>
      <c r="U890" s="2" t="inlineStr"/>
    </row>
    <row r="891" ht="15" customHeight="1">
      <c r="A891" t="inlineStr">
        <is>
          <t>A 14099-2025</t>
        </is>
      </c>
      <c r="B891" t="inlineStr">
        <is>
          <t>avverkningsanmälan</t>
        </is>
      </c>
      <c r="C891" t="inlineStr">
        <is>
          <t>Föryngringsavverkning</t>
        </is>
      </c>
      <c r="D891" s="1" t="n">
        <v>45740</v>
      </c>
      <c r="E891" s="1" t="n">
        <v>46219</v>
      </c>
      <c r="F891" t="inlineStr">
        <is>
          <t>VÄRMLANDS LÄN</t>
        </is>
      </c>
      <c r="G891" t="inlineStr">
        <is>
          <t>SUNNE</t>
        </is>
      </c>
      <c r="H891" t="inlineStr">
        <is>
          <t>Bergvik skog väst AB</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53914-2023</t>
        </is>
      </c>
      <c r="B892" t="inlineStr">
        <is>
          <t>avverkningsanmälan</t>
        </is>
      </c>
      <c r="C892" t="inlineStr">
        <is>
          <t>Föryngringsavverkning</t>
        </is>
      </c>
      <c r="D892" s="1" t="n">
        <v>45231</v>
      </c>
      <c r="E892" s="1" t="n">
        <v>46219</v>
      </c>
      <c r="F892" t="inlineStr">
        <is>
          <t>VÄRMLANDS LÄN</t>
        </is>
      </c>
      <c r="G892" t="inlineStr">
        <is>
          <t>SUNNE</t>
        </is>
      </c>
      <c r="I892" t="n">
        <v>1.3</v>
      </c>
      <c r="J892" t="n">
        <v>0</v>
      </c>
      <c r="K892" t="n">
        <v>0</v>
      </c>
      <c r="L892" t="n">
        <v>0</v>
      </c>
      <c r="M892" t="n">
        <v>0</v>
      </c>
      <c r="N892" t="n">
        <v>0</v>
      </c>
      <c r="O892" t="n">
        <v>0</v>
      </c>
      <c r="P892" t="n">
        <v>0</v>
      </c>
      <c r="Q892" t="n">
        <v>0</v>
      </c>
      <c r="R892" t="n">
        <v>0</v>
      </c>
      <c r="S892" t="n">
        <v>0</v>
      </c>
      <c r="T892" t="n">
        <v>0</v>
      </c>
      <c r="U892" s="2" t="inlineStr"/>
    </row>
    <row r="893" ht="15" customHeight="1">
      <c r="A893" t="inlineStr">
        <is>
          <t>A 47219-2023</t>
        </is>
      </c>
      <c r="B893" t="inlineStr">
        <is>
          <t>avverkningsanmälan</t>
        </is>
      </c>
      <c r="C893" t="inlineStr">
        <is>
          <t>Föryngringsavverkning</t>
        </is>
      </c>
      <c r="D893" s="1" t="n">
        <v>45196</v>
      </c>
      <c r="E893" s="1" t="n">
        <v>46219</v>
      </c>
      <c r="F893" t="inlineStr">
        <is>
          <t>VÄRMLANDS LÄN</t>
        </is>
      </c>
      <c r="G893" t="inlineStr">
        <is>
          <t>SUNNE</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28396-2022</t>
        </is>
      </c>
      <c r="B894" t="inlineStr">
        <is>
          <t>avverkningsanmälan</t>
        </is>
      </c>
      <c r="C894" t="inlineStr">
        <is>
          <t>Föryngringsavverkning</t>
        </is>
      </c>
      <c r="D894" s="1" t="n">
        <v>44747</v>
      </c>
      <c r="E894" s="1" t="n">
        <v>46219</v>
      </c>
      <c r="F894" t="inlineStr">
        <is>
          <t>VÄRMLANDS LÄN</t>
        </is>
      </c>
      <c r="G894" t="inlineStr">
        <is>
          <t>SUNNE</t>
        </is>
      </c>
      <c r="I894" t="n">
        <v>4.6</v>
      </c>
      <c r="J894" t="n">
        <v>0</v>
      </c>
      <c r="K894" t="n">
        <v>0</v>
      </c>
      <c r="L894" t="n">
        <v>0</v>
      </c>
      <c r="M894" t="n">
        <v>0</v>
      </c>
      <c r="N894" t="n">
        <v>0</v>
      </c>
      <c r="O894" t="n">
        <v>0</v>
      </c>
      <c r="P894" t="n">
        <v>0</v>
      </c>
      <c r="Q894" t="n">
        <v>0</v>
      </c>
      <c r="R894" t="n">
        <v>0</v>
      </c>
      <c r="S894" t="n">
        <v>0</v>
      </c>
      <c r="T894" t="n">
        <v>0</v>
      </c>
      <c r="U894" s="2" t="inlineStr"/>
    </row>
    <row r="895" ht="15" customHeight="1">
      <c r="A895" t="inlineStr">
        <is>
          <t>A 59291-2024</t>
        </is>
      </c>
      <c r="B895" t="inlineStr">
        <is>
          <t>avverkningsanmälan</t>
        </is>
      </c>
      <c r="C895" t="inlineStr">
        <is>
          <t>Föryngringsavverkning</t>
        </is>
      </c>
      <c r="D895" s="1" t="n">
        <v>45636</v>
      </c>
      <c r="E895" s="1" t="n">
        <v>46219</v>
      </c>
      <c r="F895" t="inlineStr">
        <is>
          <t>VÄRMLANDS LÄN</t>
        </is>
      </c>
      <c r="G895" t="inlineStr">
        <is>
          <t>SUNNE</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1958-2024</t>
        </is>
      </c>
      <c r="B896" t="inlineStr">
        <is>
          <t>avverkningsanmälan</t>
        </is>
      </c>
      <c r="C896" t="inlineStr">
        <is>
          <t>Föryngringsavverkning</t>
        </is>
      </c>
      <c r="D896" s="1" t="n">
        <v>45308</v>
      </c>
      <c r="E896" s="1" t="n">
        <v>46219</v>
      </c>
      <c r="F896" t="inlineStr">
        <is>
          <t>VÄRMLANDS LÄN</t>
        </is>
      </c>
      <c r="G896" t="inlineStr">
        <is>
          <t>SUNNE</t>
        </is>
      </c>
      <c r="I896" t="n">
        <v>1.4</v>
      </c>
      <c r="J896" t="n">
        <v>0</v>
      </c>
      <c r="K896" t="n">
        <v>0</v>
      </c>
      <c r="L896" t="n">
        <v>0</v>
      </c>
      <c r="M896" t="n">
        <v>0</v>
      </c>
      <c r="N896" t="n">
        <v>0</v>
      </c>
      <c r="O896" t="n">
        <v>0</v>
      </c>
      <c r="P896" t="n">
        <v>0</v>
      </c>
      <c r="Q896" t="n">
        <v>0</v>
      </c>
      <c r="R896" t="n">
        <v>0</v>
      </c>
      <c r="S896" t="n">
        <v>0</v>
      </c>
      <c r="T896" t="n">
        <v>0</v>
      </c>
      <c r="U896" s="2" t="inlineStr"/>
    </row>
    <row r="897" ht="15" customHeight="1">
      <c r="A897" t="inlineStr">
        <is>
          <t>A 9419-2026</t>
        </is>
      </c>
      <c r="B897" t="inlineStr">
        <is>
          <t>avverkningsanmälan</t>
        </is>
      </c>
      <c r="C897" t="inlineStr">
        <is>
          <t>Föryngringsavverkning</t>
        </is>
      </c>
      <c r="D897" s="1" t="n">
        <v>46071</v>
      </c>
      <c r="E897" s="1" t="n">
        <v>46219</v>
      </c>
      <c r="F897" t="inlineStr">
        <is>
          <t>VÄRMLANDS LÄN</t>
        </is>
      </c>
      <c r="G897" t="inlineStr">
        <is>
          <t>SUNNE</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9407-2026</t>
        </is>
      </c>
      <c r="B898" t="inlineStr">
        <is>
          <t>avverkningsanmälan</t>
        </is>
      </c>
      <c r="C898" t="inlineStr">
        <is>
          <t>Föryngringsavverkning</t>
        </is>
      </c>
      <c r="D898" s="1" t="n">
        <v>46071</v>
      </c>
      <c r="E898" s="1" t="n">
        <v>46219</v>
      </c>
      <c r="F898" t="inlineStr">
        <is>
          <t>VÄRMLANDS LÄN</t>
        </is>
      </c>
      <c r="G898" t="inlineStr">
        <is>
          <t>SUNNE</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10283-2026</t>
        </is>
      </c>
      <c r="B899" t="inlineStr">
        <is>
          <t>avverkningsanmälan</t>
        </is>
      </c>
      <c r="C899" t="inlineStr">
        <is>
          <t>Föryngringsavverkning</t>
        </is>
      </c>
      <c r="D899" s="1" t="n">
        <v>46076</v>
      </c>
      <c r="E899" s="1" t="n">
        <v>46219</v>
      </c>
      <c r="F899" t="inlineStr">
        <is>
          <t>VÄRMLANDS LÄN</t>
        </is>
      </c>
      <c r="G899" t="inlineStr">
        <is>
          <t>SUNNE</t>
        </is>
      </c>
      <c r="I899" t="n">
        <v>1.3</v>
      </c>
      <c r="J899" t="n">
        <v>0</v>
      </c>
      <c r="K899" t="n">
        <v>0</v>
      </c>
      <c r="L899" t="n">
        <v>0</v>
      </c>
      <c r="M899" t="n">
        <v>0</v>
      </c>
      <c r="N899" t="n">
        <v>0</v>
      </c>
      <c r="O899" t="n">
        <v>0</v>
      </c>
      <c r="P899" t="n">
        <v>0</v>
      </c>
      <c r="Q899" t="n">
        <v>0</v>
      </c>
      <c r="R899" t="n">
        <v>0</v>
      </c>
      <c r="S899" t="n">
        <v>0</v>
      </c>
      <c r="T899" t="n">
        <v>0</v>
      </c>
      <c r="U899" s="2" t="inlineStr"/>
    </row>
    <row r="900" ht="15" customHeight="1">
      <c r="A900" t="inlineStr">
        <is>
          <t>A 19487-2024</t>
        </is>
      </c>
      <c r="B900" t="inlineStr">
        <is>
          <t>avverkningsanmälan</t>
        </is>
      </c>
      <c r="C900" t="inlineStr">
        <is>
          <t>Föryngringsavverkning</t>
        </is>
      </c>
      <c r="D900" s="1" t="n">
        <v>45429</v>
      </c>
      <c r="E900" s="1" t="n">
        <v>46219</v>
      </c>
      <c r="F900" t="inlineStr">
        <is>
          <t>VÄRMLANDS LÄN</t>
        </is>
      </c>
      <c r="G900" t="inlineStr">
        <is>
          <t>SUNNE</t>
        </is>
      </c>
      <c r="I900" t="n">
        <v>2.7</v>
      </c>
      <c r="J900" t="n">
        <v>0</v>
      </c>
      <c r="K900" t="n">
        <v>0</v>
      </c>
      <c r="L900" t="n">
        <v>0</v>
      </c>
      <c r="M900" t="n">
        <v>0</v>
      </c>
      <c r="N900" t="n">
        <v>0</v>
      </c>
      <c r="O900" t="n">
        <v>0</v>
      </c>
      <c r="P900" t="n">
        <v>0</v>
      </c>
      <c r="Q900" t="n">
        <v>0</v>
      </c>
      <c r="R900" t="n">
        <v>0</v>
      </c>
      <c r="S900" t="n">
        <v>0</v>
      </c>
      <c r="T900" t="n">
        <v>0</v>
      </c>
      <c r="U900" s="2" t="inlineStr"/>
    </row>
    <row r="901" ht="15" customHeight="1">
      <c r="A901" t="inlineStr">
        <is>
          <t>A 37603-2021</t>
        </is>
      </c>
      <c r="B901" t="inlineStr">
        <is>
          <t>avverkningsanmälan</t>
        </is>
      </c>
      <c r="C901" t="inlineStr">
        <is>
          <t>Föryngringsavverkning</t>
        </is>
      </c>
      <c r="D901" s="1" t="n">
        <v>44399</v>
      </c>
      <c r="E901" s="1" t="n">
        <v>46219</v>
      </c>
      <c r="F901" t="inlineStr">
        <is>
          <t>VÄRMLANDS LÄN</t>
        </is>
      </c>
      <c r="G901" t="inlineStr">
        <is>
          <t>SUNNE</t>
        </is>
      </c>
      <c r="I901" t="n">
        <v>11.7</v>
      </c>
      <c r="J901" t="n">
        <v>0</v>
      </c>
      <c r="K901" t="n">
        <v>0</v>
      </c>
      <c r="L901" t="n">
        <v>0</v>
      </c>
      <c r="M901" t="n">
        <v>0</v>
      </c>
      <c r="N901" t="n">
        <v>0</v>
      </c>
      <c r="O901" t="n">
        <v>0</v>
      </c>
      <c r="P901" t="n">
        <v>0</v>
      </c>
      <c r="Q901" t="n">
        <v>0</v>
      </c>
      <c r="R901" t="n">
        <v>0</v>
      </c>
      <c r="S901" t="n">
        <v>0</v>
      </c>
      <c r="T901" t="n">
        <v>0</v>
      </c>
      <c r="U901" s="2" t="inlineStr"/>
    </row>
    <row r="902" ht="15" customHeight="1">
      <c r="A902" t="inlineStr">
        <is>
          <t>A 52311-2024</t>
        </is>
      </c>
      <c r="B902" t="inlineStr">
        <is>
          <t>avverkningsanmälan</t>
        </is>
      </c>
      <c r="C902" t="inlineStr">
        <is>
          <t>Föryngringsavverkning</t>
        </is>
      </c>
      <c r="D902" s="1" t="n">
        <v>45608</v>
      </c>
      <c r="E902" s="1" t="n">
        <v>46219</v>
      </c>
      <c r="F902" t="inlineStr">
        <is>
          <t>VÄRMLANDS LÄN</t>
        </is>
      </c>
      <c r="G902" t="inlineStr">
        <is>
          <t>SUNNE</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34049-2023</t>
        </is>
      </c>
      <c r="B903" t="inlineStr">
        <is>
          <t>avverkningsanmälan</t>
        </is>
      </c>
      <c r="C903" t="inlineStr">
        <is>
          <t>Föryngringsavverkning</t>
        </is>
      </c>
      <c r="D903" s="1" t="n">
        <v>45125</v>
      </c>
      <c r="E903" s="1" t="n">
        <v>46219</v>
      </c>
      <c r="F903" t="inlineStr">
        <is>
          <t>VÄRMLANDS LÄN</t>
        </is>
      </c>
      <c r="G903" t="inlineStr">
        <is>
          <t>SUNNE</t>
        </is>
      </c>
      <c r="I903" t="n">
        <v>9</v>
      </c>
      <c r="J903" t="n">
        <v>0</v>
      </c>
      <c r="K903" t="n">
        <v>0</v>
      </c>
      <c r="L903" t="n">
        <v>0</v>
      </c>
      <c r="M903" t="n">
        <v>0</v>
      </c>
      <c r="N903" t="n">
        <v>0</v>
      </c>
      <c r="O903" t="n">
        <v>0</v>
      </c>
      <c r="P903" t="n">
        <v>0</v>
      </c>
      <c r="Q903" t="n">
        <v>0</v>
      </c>
      <c r="R903" t="n">
        <v>0</v>
      </c>
      <c r="S903" t="n">
        <v>0</v>
      </c>
      <c r="T903" t="n">
        <v>0</v>
      </c>
      <c r="U903" s="2" t="inlineStr"/>
    </row>
    <row r="904" ht="15" customHeight="1">
      <c r="A904" t="inlineStr">
        <is>
          <t>A 34053-2023</t>
        </is>
      </c>
      <c r="B904" t="inlineStr">
        <is>
          <t>avverkningsanmälan</t>
        </is>
      </c>
      <c r="C904" t="inlineStr">
        <is>
          <t>Föryngringsavverkning</t>
        </is>
      </c>
      <c r="D904" s="1" t="n">
        <v>45125</v>
      </c>
      <c r="E904" s="1" t="n">
        <v>46219</v>
      </c>
      <c r="F904" t="inlineStr">
        <is>
          <t>VÄRMLANDS LÄN</t>
        </is>
      </c>
      <c r="G904" t="inlineStr">
        <is>
          <t>SUNNE</t>
        </is>
      </c>
      <c r="I904" t="n">
        <v>3.4</v>
      </c>
      <c r="J904" t="n">
        <v>0</v>
      </c>
      <c r="K904" t="n">
        <v>0</v>
      </c>
      <c r="L904" t="n">
        <v>0</v>
      </c>
      <c r="M904" t="n">
        <v>0</v>
      </c>
      <c r="N904" t="n">
        <v>0</v>
      </c>
      <c r="O904" t="n">
        <v>0</v>
      </c>
      <c r="P904" t="n">
        <v>0</v>
      </c>
      <c r="Q904" t="n">
        <v>0</v>
      </c>
      <c r="R904" t="n">
        <v>0</v>
      </c>
      <c r="S904" t="n">
        <v>0</v>
      </c>
      <c r="T904" t="n">
        <v>0</v>
      </c>
      <c r="U904" s="2" t="inlineStr"/>
    </row>
    <row r="905" ht="15" customHeight="1">
      <c r="A905" t="inlineStr">
        <is>
          <t>A 33765-2022</t>
        </is>
      </c>
      <c r="B905" t="inlineStr">
        <is>
          <t>avverkningsanmälan</t>
        </is>
      </c>
      <c r="C905" t="inlineStr">
        <is>
          <t>Föryngringsavverkning</t>
        </is>
      </c>
      <c r="D905" s="1" t="n">
        <v>44790</v>
      </c>
      <c r="E905" s="1" t="n">
        <v>46219</v>
      </c>
      <c r="F905" t="inlineStr">
        <is>
          <t>VÄRMLANDS LÄN</t>
        </is>
      </c>
      <c r="G905" t="inlineStr">
        <is>
          <t>SUNNE</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10099-2026</t>
        </is>
      </c>
      <c r="B906" t="inlineStr">
        <is>
          <t>avverkningsanmälan</t>
        </is>
      </c>
      <c r="C906" t="inlineStr">
        <is>
          <t>Föryngringsavverkning</t>
        </is>
      </c>
      <c r="D906" s="1" t="n">
        <v>46073</v>
      </c>
      <c r="E906" s="1" t="n">
        <v>46219</v>
      </c>
      <c r="F906" t="inlineStr">
        <is>
          <t>VÄRMLANDS LÄN</t>
        </is>
      </c>
      <c r="G906" t="inlineStr">
        <is>
          <t>SUNNE</t>
        </is>
      </c>
      <c r="I906" t="n">
        <v>11.8</v>
      </c>
      <c r="J906" t="n">
        <v>0</v>
      </c>
      <c r="K906" t="n">
        <v>0</v>
      </c>
      <c r="L906" t="n">
        <v>0</v>
      </c>
      <c r="M906" t="n">
        <v>0</v>
      </c>
      <c r="N906" t="n">
        <v>0</v>
      </c>
      <c r="O906" t="n">
        <v>0</v>
      </c>
      <c r="P906" t="n">
        <v>0</v>
      </c>
      <c r="Q906" t="n">
        <v>0</v>
      </c>
      <c r="R906" t="n">
        <v>0</v>
      </c>
      <c r="S906" t="n">
        <v>0</v>
      </c>
      <c r="T906" t="n">
        <v>0</v>
      </c>
      <c r="U906" s="2" t="inlineStr"/>
    </row>
    <row r="907" ht="15" customHeight="1">
      <c r="A907" t="inlineStr">
        <is>
          <t>A 15453-2024</t>
        </is>
      </c>
      <c r="B907" t="inlineStr">
        <is>
          <t>avverkningsanmälan</t>
        </is>
      </c>
      <c r="C907" t="inlineStr">
        <is>
          <t>Föryngringsavverkning</t>
        </is>
      </c>
      <c r="D907" s="1" t="n">
        <v>45401</v>
      </c>
      <c r="E907" s="1" t="n">
        <v>46219</v>
      </c>
      <c r="F907" t="inlineStr">
        <is>
          <t>VÄRMLANDS LÄN</t>
        </is>
      </c>
      <c r="G907" t="inlineStr">
        <is>
          <t>SUNNE</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33318-2022</t>
        </is>
      </c>
      <c r="B908" t="inlineStr">
        <is>
          <t>avverkningsanmälan</t>
        </is>
      </c>
      <c r="C908" t="inlineStr">
        <is>
          <t>Föryngringsavverkning</t>
        </is>
      </c>
      <c r="D908" s="1" t="n">
        <v>44788</v>
      </c>
      <c r="E908" s="1" t="n">
        <v>46219</v>
      </c>
      <c r="F908" t="inlineStr">
        <is>
          <t>VÄRMLANDS LÄN</t>
        </is>
      </c>
      <c r="G908" t="inlineStr">
        <is>
          <t>SUNNE</t>
        </is>
      </c>
      <c r="I908" t="n">
        <v>2.3</v>
      </c>
      <c r="J908" t="n">
        <v>0</v>
      </c>
      <c r="K908" t="n">
        <v>0</v>
      </c>
      <c r="L908" t="n">
        <v>0</v>
      </c>
      <c r="M908" t="n">
        <v>0</v>
      </c>
      <c r="N908" t="n">
        <v>0</v>
      </c>
      <c r="O908" t="n">
        <v>0</v>
      </c>
      <c r="P908" t="n">
        <v>0</v>
      </c>
      <c r="Q908" t="n">
        <v>0</v>
      </c>
      <c r="R908" t="n">
        <v>0</v>
      </c>
      <c r="S908" t="n">
        <v>0</v>
      </c>
      <c r="T908" t="n">
        <v>0</v>
      </c>
      <c r="U908" s="2" t="inlineStr"/>
    </row>
    <row r="909" ht="15" customHeight="1">
      <c r="A909" t="inlineStr">
        <is>
          <t>A 23715-2025</t>
        </is>
      </c>
      <c r="B909" t="inlineStr">
        <is>
          <t>avverkningsanmälan</t>
        </is>
      </c>
      <c r="C909" t="inlineStr">
        <is>
          <t>Föryngringsavverkning</t>
        </is>
      </c>
      <c r="D909" s="1" t="n">
        <v>45793</v>
      </c>
      <c r="E909" s="1" t="n">
        <v>46219</v>
      </c>
      <c r="F909" t="inlineStr">
        <is>
          <t>VÄRMLANDS LÄN</t>
        </is>
      </c>
      <c r="G909" t="inlineStr">
        <is>
          <t>SUNNE</t>
        </is>
      </c>
      <c r="I909" t="n">
        <v>2.9</v>
      </c>
      <c r="J909" t="n">
        <v>0</v>
      </c>
      <c r="K909" t="n">
        <v>0</v>
      </c>
      <c r="L909" t="n">
        <v>0</v>
      </c>
      <c r="M909" t="n">
        <v>0</v>
      </c>
      <c r="N909" t="n">
        <v>0</v>
      </c>
      <c r="O909" t="n">
        <v>0</v>
      </c>
      <c r="P909" t="n">
        <v>0</v>
      </c>
      <c r="Q909" t="n">
        <v>0</v>
      </c>
      <c r="R909" t="n">
        <v>0</v>
      </c>
      <c r="S909" t="n">
        <v>0</v>
      </c>
      <c r="T909" t="n">
        <v>0</v>
      </c>
      <c r="U909" s="2" t="inlineStr"/>
    </row>
    <row r="910" ht="15" customHeight="1">
      <c r="A910" t="inlineStr">
        <is>
          <t>A 15912-2025</t>
        </is>
      </c>
      <c r="B910" t="inlineStr">
        <is>
          <t>avverkningsanmälan</t>
        </is>
      </c>
      <c r="C910" t="inlineStr">
        <is>
          <t>Föryngringsavverkning</t>
        </is>
      </c>
      <c r="D910" s="1" t="n">
        <v>45749</v>
      </c>
      <c r="E910" s="1" t="n">
        <v>46219</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10558-2026</t>
        </is>
      </c>
      <c r="B911" t="inlineStr">
        <is>
          <t>avverkningsanmälan</t>
        </is>
      </c>
      <c r="C911" t="inlineStr">
        <is>
          <t>Föryngringsavverkning</t>
        </is>
      </c>
      <c r="D911" s="1" t="n">
        <v>46077</v>
      </c>
      <c r="E911" s="1" t="n">
        <v>46219</v>
      </c>
      <c r="F911" t="inlineStr">
        <is>
          <t>VÄRMLANDS LÄN</t>
        </is>
      </c>
      <c r="G911" t="inlineStr">
        <is>
          <t>SUNNE</t>
        </is>
      </c>
      <c r="I911" t="n">
        <v>6.4</v>
      </c>
      <c r="J911" t="n">
        <v>0</v>
      </c>
      <c r="K911" t="n">
        <v>0</v>
      </c>
      <c r="L911" t="n">
        <v>0</v>
      </c>
      <c r="M911" t="n">
        <v>0</v>
      </c>
      <c r="N911" t="n">
        <v>0</v>
      </c>
      <c r="O911" t="n">
        <v>0</v>
      </c>
      <c r="P911" t="n">
        <v>0</v>
      </c>
      <c r="Q911" t="n">
        <v>0</v>
      </c>
      <c r="R911" t="n">
        <v>0</v>
      </c>
      <c r="S911" t="n">
        <v>0</v>
      </c>
      <c r="T911" t="n">
        <v>0</v>
      </c>
      <c r="U911" s="2" t="inlineStr"/>
    </row>
    <row r="912" ht="15" customHeight="1">
      <c r="A912" t="inlineStr">
        <is>
          <t>A 17817-2025</t>
        </is>
      </c>
      <c r="B912" t="inlineStr">
        <is>
          <t>avverkningsanmälan</t>
        </is>
      </c>
      <c r="C912" t="inlineStr">
        <is>
          <t>Föryngringsavverkning</t>
        </is>
      </c>
      <c r="D912" s="1" t="n">
        <v>45758</v>
      </c>
      <c r="E912" s="1" t="n">
        <v>46219</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35337-2022</t>
        </is>
      </c>
      <c r="B913" t="inlineStr">
        <is>
          <t>avverkningsanmälan</t>
        </is>
      </c>
      <c r="C913" t="inlineStr">
        <is>
          <t>Föryngringsavverkning</t>
        </is>
      </c>
      <c r="D913" s="1" t="n">
        <v>44798</v>
      </c>
      <c r="E913" s="1" t="n">
        <v>46219</v>
      </c>
      <c r="F913" t="inlineStr">
        <is>
          <t>VÄRMLANDS LÄN</t>
        </is>
      </c>
      <c r="G913" t="inlineStr">
        <is>
          <t>SUNNE</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32405-2022</t>
        </is>
      </c>
      <c r="B914" t="inlineStr">
        <is>
          <t>avverkningsanmälan</t>
        </is>
      </c>
      <c r="C914" t="inlineStr">
        <is>
          <t>Föryngringsavverkning</t>
        </is>
      </c>
      <c r="D914" s="1" t="n">
        <v>44782</v>
      </c>
      <c r="E914" s="1" t="n">
        <v>46219</v>
      </c>
      <c r="F914" t="inlineStr">
        <is>
          <t>VÄRMLANDS LÄN</t>
        </is>
      </c>
      <c r="G914" t="inlineStr">
        <is>
          <t>SUNNE</t>
        </is>
      </c>
      <c r="I914" t="n">
        <v>4.1</v>
      </c>
      <c r="J914" t="n">
        <v>0</v>
      </c>
      <c r="K914" t="n">
        <v>0</v>
      </c>
      <c r="L914" t="n">
        <v>0</v>
      </c>
      <c r="M914" t="n">
        <v>0</v>
      </c>
      <c r="N914" t="n">
        <v>0</v>
      </c>
      <c r="O914" t="n">
        <v>0</v>
      </c>
      <c r="P914" t="n">
        <v>0</v>
      </c>
      <c r="Q914" t="n">
        <v>0</v>
      </c>
      <c r="R914" t="n">
        <v>0</v>
      </c>
      <c r="S914" t="n">
        <v>0</v>
      </c>
      <c r="T914" t="n">
        <v>0</v>
      </c>
      <c r="U914" s="2" t="inlineStr"/>
    </row>
    <row r="915" ht="15" customHeight="1">
      <c r="A915" t="inlineStr">
        <is>
          <t>A 7496-2024</t>
        </is>
      </c>
      <c r="B915" t="inlineStr">
        <is>
          <t>avverkningsanmälan</t>
        </is>
      </c>
      <c r="C915" t="inlineStr">
        <is>
          <t>Föryngringsavverkning</t>
        </is>
      </c>
      <c r="D915" s="1" t="n">
        <v>45346</v>
      </c>
      <c r="E915" s="1" t="n">
        <v>46219</v>
      </c>
      <c r="F915" t="inlineStr">
        <is>
          <t>VÄRMLANDS LÄN</t>
        </is>
      </c>
      <c r="G915" t="inlineStr">
        <is>
          <t>SUNNE</t>
        </is>
      </c>
      <c r="I915" t="n">
        <v>0.4</v>
      </c>
      <c r="J915" t="n">
        <v>0</v>
      </c>
      <c r="K915" t="n">
        <v>0</v>
      </c>
      <c r="L915" t="n">
        <v>0</v>
      </c>
      <c r="M915" t="n">
        <v>0</v>
      </c>
      <c r="N915" t="n">
        <v>0</v>
      </c>
      <c r="O915" t="n">
        <v>0</v>
      </c>
      <c r="P915" t="n">
        <v>0</v>
      </c>
      <c r="Q915" t="n">
        <v>0</v>
      </c>
      <c r="R915" t="n">
        <v>0</v>
      </c>
      <c r="S915" t="n">
        <v>0</v>
      </c>
      <c r="T915" t="n">
        <v>0</v>
      </c>
      <c r="U915" s="2" t="inlineStr"/>
    </row>
    <row r="916" ht="15" customHeight="1">
      <c r="A916" t="inlineStr">
        <is>
          <t>A 3392-2025</t>
        </is>
      </c>
      <c r="B916" t="inlineStr">
        <is>
          <t>avverkningsanmälan</t>
        </is>
      </c>
      <c r="C916" t="inlineStr">
        <is>
          <t>Föryngringsavverkning</t>
        </is>
      </c>
      <c r="D916" s="1" t="n">
        <v>45680</v>
      </c>
      <c r="E916" s="1" t="n">
        <v>46219</v>
      </c>
      <c r="F916" t="inlineStr">
        <is>
          <t>VÄRMLANDS LÄN</t>
        </is>
      </c>
      <c r="G916" t="inlineStr">
        <is>
          <t>SUNNE</t>
        </is>
      </c>
      <c r="I916" t="n">
        <v>3</v>
      </c>
      <c r="J916" t="n">
        <v>0</v>
      </c>
      <c r="K916" t="n">
        <v>0</v>
      </c>
      <c r="L916" t="n">
        <v>0</v>
      </c>
      <c r="M916" t="n">
        <v>0</v>
      </c>
      <c r="N916" t="n">
        <v>0</v>
      </c>
      <c r="O916" t="n">
        <v>0</v>
      </c>
      <c r="P916" t="n">
        <v>0</v>
      </c>
      <c r="Q916" t="n">
        <v>0</v>
      </c>
      <c r="R916" t="n">
        <v>0</v>
      </c>
      <c r="S916" t="n">
        <v>0</v>
      </c>
      <c r="T916" t="n">
        <v>0</v>
      </c>
      <c r="U916" s="2" t="inlineStr"/>
    </row>
    <row r="917" ht="15" customHeight="1">
      <c r="A917" t="inlineStr">
        <is>
          <t>A 57898-2023</t>
        </is>
      </c>
      <c r="B917" t="inlineStr">
        <is>
          <t>avverkningsanmälan</t>
        </is>
      </c>
      <c r="C917" t="inlineStr">
        <is>
          <t>Föryngringsavverkning</t>
        </is>
      </c>
      <c r="D917" s="1" t="n">
        <v>45247</v>
      </c>
      <c r="E917" s="1" t="n">
        <v>46219</v>
      </c>
      <c r="F917" t="inlineStr">
        <is>
          <t>VÄRMLANDS LÄN</t>
        </is>
      </c>
      <c r="G917" t="inlineStr">
        <is>
          <t>SUNNE</t>
        </is>
      </c>
      <c r="I917" t="n">
        <v>3.1</v>
      </c>
      <c r="J917" t="n">
        <v>0</v>
      </c>
      <c r="K917" t="n">
        <v>0</v>
      </c>
      <c r="L917" t="n">
        <v>0</v>
      </c>
      <c r="M917" t="n">
        <v>0</v>
      </c>
      <c r="N917" t="n">
        <v>0</v>
      </c>
      <c r="O917" t="n">
        <v>0</v>
      </c>
      <c r="P917" t="n">
        <v>0</v>
      </c>
      <c r="Q917" t="n">
        <v>0</v>
      </c>
      <c r="R917" t="n">
        <v>0</v>
      </c>
      <c r="S917" t="n">
        <v>0</v>
      </c>
      <c r="T917" t="n">
        <v>0</v>
      </c>
      <c r="U917" s="2" t="inlineStr"/>
    </row>
    <row r="918" ht="15" customHeight="1">
      <c r="A918" t="inlineStr">
        <is>
          <t>A 57392-2023</t>
        </is>
      </c>
      <c r="B918" t="inlineStr">
        <is>
          <t>avverkningsanmälan</t>
        </is>
      </c>
      <c r="C918" t="inlineStr">
        <is>
          <t>Föryngringsavverkning</t>
        </is>
      </c>
      <c r="D918" s="1" t="n">
        <v>45245</v>
      </c>
      <c r="E918" s="1" t="n">
        <v>46219</v>
      </c>
      <c r="F918" t="inlineStr">
        <is>
          <t>VÄRMLANDS LÄN</t>
        </is>
      </c>
      <c r="G918" t="inlineStr">
        <is>
          <t>SUNNE</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11447-2026</t>
        </is>
      </c>
      <c r="B919" t="inlineStr">
        <is>
          <t>avverkningsanmälan</t>
        </is>
      </c>
      <c r="C919" t="inlineStr">
        <is>
          <t>Föryngringsavverkning</t>
        </is>
      </c>
      <c r="D919" s="1" t="n">
        <v>46083</v>
      </c>
      <c r="E919" s="1" t="n">
        <v>46219</v>
      </c>
      <c r="F919" t="inlineStr">
        <is>
          <t>VÄRMLANDS LÄN</t>
        </is>
      </c>
      <c r="G919" t="inlineStr">
        <is>
          <t>SUNNE</t>
        </is>
      </c>
      <c r="I919" t="n">
        <v>2.9</v>
      </c>
      <c r="J919" t="n">
        <v>0</v>
      </c>
      <c r="K919" t="n">
        <v>0</v>
      </c>
      <c r="L919" t="n">
        <v>0</v>
      </c>
      <c r="M919" t="n">
        <v>0</v>
      </c>
      <c r="N919" t="n">
        <v>0</v>
      </c>
      <c r="O919" t="n">
        <v>0</v>
      </c>
      <c r="P919" t="n">
        <v>0</v>
      </c>
      <c r="Q919" t="n">
        <v>0</v>
      </c>
      <c r="R919" t="n">
        <v>0</v>
      </c>
      <c r="S919" t="n">
        <v>0</v>
      </c>
      <c r="T919" t="n">
        <v>0</v>
      </c>
      <c r="U919" s="2" t="inlineStr"/>
    </row>
    <row r="920" ht="15" customHeight="1">
      <c r="A920" t="inlineStr">
        <is>
          <t>A 23702-2025</t>
        </is>
      </c>
      <c r="B920" t="inlineStr">
        <is>
          <t>avverkningsanmälan</t>
        </is>
      </c>
      <c r="C920" t="inlineStr">
        <is>
          <t>Föryngringsavverkning</t>
        </is>
      </c>
      <c r="D920" s="1" t="n">
        <v>45793</v>
      </c>
      <c r="E920" s="1" t="n">
        <v>46219</v>
      </c>
      <c r="F920" t="inlineStr">
        <is>
          <t>VÄRMLANDS LÄN</t>
        </is>
      </c>
      <c r="G920" t="inlineStr">
        <is>
          <t>SUNNE</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23707-2025</t>
        </is>
      </c>
      <c r="B921" t="inlineStr">
        <is>
          <t>avverkningsanmälan</t>
        </is>
      </c>
      <c r="C921" t="inlineStr">
        <is>
          <t>Föryngringsavverkning</t>
        </is>
      </c>
      <c r="D921" s="1" t="n">
        <v>45793</v>
      </c>
      <c r="E921" s="1" t="n">
        <v>46219</v>
      </c>
      <c r="F921" t="inlineStr">
        <is>
          <t>VÄRMLANDS LÄN</t>
        </is>
      </c>
      <c r="G921" t="inlineStr">
        <is>
          <t>SUNNE</t>
        </is>
      </c>
      <c r="I921" t="n">
        <v>5.3</v>
      </c>
      <c r="J921" t="n">
        <v>0</v>
      </c>
      <c r="K921" t="n">
        <v>0</v>
      </c>
      <c r="L921" t="n">
        <v>0</v>
      </c>
      <c r="M921" t="n">
        <v>0</v>
      </c>
      <c r="N921" t="n">
        <v>0</v>
      </c>
      <c r="O921" t="n">
        <v>0</v>
      </c>
      <c r="P921" t="n">
        <v>0</v>
      </c>
      <c r="Q921" t="n">
        <v>0</v>
      </c>
      <c r="R921" t="n">
        <v>0</v>
      </c>
      <c r="S921" t="n">
        <v>0</v>
      </c>
      <c r="T921" t="n">
        <v>0</v>
      </c>
      <c r="U921" s="2" t="inlineStr"/>
    </row>
    <row r="922" ht="15" customHeight="1">
      <c r="A922" t="inlineStr">
        <is>
          <t>A 12304-2024</t>
        </is>
      </c>
      <c r="B922" t="inlineStr">
        <is>
          <t>avverkningsanmälan</t>
        </is>
      </c>
      <c r="C922" t="inlineStr">
        <is>
          <t>Föryngringsavverkning</t>
        </is>
      </c>
      <c r="D922" s="1" t="n">
        <v>45378</v>
      </c>
      <c r="E922" s="1" t="n">
        <v>46219</v>
      </c>
      <c r="F922" t="inlineStr">
        <is>
          <t>VÄRMLANDS LÄN</t>
        </is>
      </c>
      <c r="G922" t="inlineStr">
        <is>
          <t>SUNNE</t>
        </is>
      </c>
      <c r="I922" t="n">
        <v>3.3</v>
      </c>
      <c r="J922" t="n">
        <v>0</v>
      </c>
      <c r="K922" t="n">
        <v>0</v>
      </c>
      <c r="L922" t="n">
        <v>0</v>
      </c>
      <c r="M922" t="n">
        <v>0</v>
      </c>
      <c r="N922" t="n">
        <v>0</v>
      </c>
      <c r="O922" t="n">
        <v>0</v>
      </c>
      <c r="P922" t="n">
        <v>0</v>
      </c>
      <c r="Q922" t="n">
        <v>0</v>
      </c>
      <c r="R922" t="n">
        <v>0</v>
      </c>
      <c r="S922" t="n">
        <v>0</v>
      </c>
      <c r="T922" t="n">
        <v>0</v>
      </c>
      <c r="U922" s="2" t="inlineStr"/>
    </row>
    <row r="923" ht="15" customHeight="1">
      <c r="A923" t="inlineStr">
        <is>
          <t>A 61609-2023</t>
        </is>
      </c>
      <c r="B923" t="inlineStr">
        <is>
          <t>avverkningsanmälan</t>
        </is>
      </c>
      <c r="C923" t="inlineStr">
        <is>
          <t>Föryngringsavverkning</t>
        </is>
      </c>
      <c r="D923" s="1" t="n">
        <v>45265</v>
      </c>
      <c r="E923" s="1" t="n">
        <v>46219</v>
      </c>
      <c r="F923" t="inlineStr">
        <is>
          <t>VÄRMLANDS LÄN</t>
        </is>
      </c>
      <c r="G923" t="inlineStr">
        <is>
          <t>SUNNE</t>
        </is>
      </c>
      <c r="I923" t="n">
        <v>2.1</v>
      </c>
      <c r="J923" t="n">
        <v>0</v>
      </c>
      <c r="K923" t="n">
        <v>0</v>
      </c>
      <c r="L923" t="n">
        <v>0</v>
      </c>
      <c r="M923" t="n">
        <v>0</v>
      </c>
      <c r="N923" t="n">
        <v>0</v>
      </c>
      <c r="O923" t="n">
        <v>0</v>
      </c>
      <c r="P923" t="n">
        <v>0</v>
      </c>
      <c r="Q923" t="n">
        <v>0</v>
      </c>
      <c r="R923" t="n">
        <v>0</v>
      </c>
      <c r="S923" t="n">
        <v>0</v>
      </c>
      <c r="T923" t="n">
        <v>0</v>
      </c>
      <c r="U923" s="2" t="inlineStr"/>
    </row>
    <row r="924" ht="15" customHeight="1">
      <c r="A924" t="inlineStr">
        <is>
          <t>A 11843-2026</t>
        </is>
      </c>
      <c r="B924" t="inlineStr">
        <is>
          <t>avverkningsanmälan</t>
        </is>
      </c>
      <c r="C924" t="inlineStr">
        <is>
          <t>Föryngringsavverkning</t>
        </is>
      </c>
      <c r="D924" s="1" t="n">
        <v>46085</v>
      </c>
      <c r="E924" s="1" t="n">
        <v>46219</v>
      </c>
      <c r="F924" t="inlineStr">
        <is>
          <t>VÄRMLANDS LÄN</t>
        </is>
      </c>
      <c r="G924" t="inlineStr">
        <is>
          <t>SUNNE</t>
        </is>
      </c>
      <c r="I924" t="n">
        <v>3.8</v>
      </c>
      <c r="J924" t="n">
        <v>0</v>
      </c>
      <c r="K924" t="n">
        <v>0</v>
      </c>
      <c r="L924" t="n">
        <v>0</v>
      </c>
      <c r="M924" t="n">
        <v>0</v>
      </c>
      <c r="N924" t="n">
        <v>0</v>
      </c>
      <c r="O924" t="n">
        <v>0</v>
      </c>
      <c r="P924" t="n">
        <v>0</v>
      </c>
      <c r="Q924" t="n">
        <v>0</v>
      </c>
      <c r="R924" t="n">
        <v>0</v>
      </c>
      <c r="S924" t="n">
        <v>0</v>
      </c>
      <c r="T924" t="n">
        <v>0</v>
      </c>
      <c r="U924" s="2" t="inlineStr"/>
    </row>
    <row r="925" ht="15" customHeight="1">
      <c r="A925" t="inlineStr">
        <is>
          <t>A 8911-2024</t>
        </is>
      </c>
      <c r="B925" t="inlineStr">
        <is>
          <t>avverkningsanmälan</t>
        </is>
      </c>
      <c r="C925" t="inlineStr">
        <is>
          <t>Föryngringsavverkning</t>
        </is>
      </c>
      <c r="D925" s="1" t="n">
        <v>45357</v>
      </c>
      <c r="E925" s="1" t="n">
        <v>46219</v>
      </c>
      <c r="F925" t="inlineStr">
        <is>
          <t>VÄRMLANDS LÄN</t>
        </is>
      </c>
      <c r="G925" t="inlineStr">
        <is>
          <t>SUNNE</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12185-2026</t>
        </is>
      </c>
      <c r="B926" t="inlineStr">
        <is>
          <t>avverkningsanmälan</t>
        </is>
      </c>
      <c r="C926" t="inlineStr">
        <is>
          <t>Föryngringsavverkning</t>
        </is>
      </c>
      <c r="D926" s="1" t="n">
        <v>46086</v>
      </c>
      <c r="E926" s="1" t="n">
        <v>46219</v>
      </c>
      <c r="F926" t="inlineStr">
        <is>
          <t>VÄRMLANDS LÄN</t>
        </is>
      </c>
      <c r="G926" t="inlineStr">
        <is>
          <t>SUNNE</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12280-2026</t>
        </is>
      </c>
      <c r="B927" t="inlineStr">
        <is>
          <t>avverkningsanmälan</t>
        </is>
      </c>
      <c r="C927" t="inlineStr">
        <is>
          <t>Föryngringsavverkning</t>
        </is>
      </c>
      <c r="D927" s="1" t="n">
        <v>46087</v>
      </c>
      <c r="E927" s="1" t="n">
        <v>46219</v>
      </c>
      <c r="F927" t="inlineStr">
        <is>
          <t>VÄRMLANDS LÄN</t>
        </is>
      </c>
      <c r="G927" t="inlineStr">
        <is>
          <t>SUNNE</t>
        </is>
      </c>
      <c r="I927" t="n">
        <v>1.6</v>
      </c>
      <c r="J927" t="n">
        <v>0</v>
      </c>
      <c r="K927" t="n">
        <v>0</v>
      </c>
      <c r="L927" t="n">
        <v>0</v>
      </c>
      <c r="M927" t="n">
        <v>0</v>
      </c>
      <c r="N927" t="n">
        <v>0</v>
      </c>
      <c r="O927" t="n">
        <v>0</v>
      </c>
      <c r="P927" t="n">
        <v>0</v>
      </c>
      <c r="Q927" t="n">
        <v>0</v>
      </c>
      <c r="R927" t="n">
        <v>0</v>
      </c>
      <c r="S927" t="n">
        <v>0</v>
      </c>
      <c r="T927" t="n">
        <v>0</v>
      </c>
      <c r="U927" s="2" t="inlineStr"/>
    </row>
    <row r="928" ht="15" customHeight="1">
      <c r="A928" t="inlineStr">
        <is>
          <t>A 12321-2026</t>
        </is>
      </c>
      <c r="B928" t="inlineStr">
        <is>
          <t>avverkningsanmälan</t>
        </is>
      </c>
      <c r="C928" t="inlineStr">
        <is>
          <t>Föryngringsavverkning</t>
        </is>
      </c>
      <c r="D928" s="1" t="n">
        <v>46087</v>
      </c>
      <c r="E928" s="1" t="n">
        <v>46219</v>
      </c>
      <c r="F928" t="inlineStr">
        <is>
          <t>VÄRMLANDS LÄN</t>
        </is>
      </c>
      <c r="G928" t="inlineStr">
        <is>
          <t>SUNNE</t>
        </is>
      </c>
      <c r="I928" t="n">
        <v>3.7</v>
      </c>
      <c r="J928" t="n">
        <v>0</v>
      </c>
      <c r="K928" t="n">
        <v>0</v>
      </c>
      <c r="L928" t="n">
        <v>0</v>
      </c>
      <c r="M928" t="n">
        <v>0</v>
      </c>
      <c r="N928" t="n">
        <v>0</v>
      </c>
      <c r="O928" t="n">
        <v>0</v>
      </c>
      <c r="P928" t="n">
        <v>0</v>
      </c>
      <c r="Q928" t="n">
        <v>0</v>
      </c>
      <c r="R928" t="n">
        <v>0</v>
      </c>
      <c r="S928" t="n">
        <v>0</v>
      </c>
      <c r="T928" t="n">
        <v>0</v>
      </c>
      <c r="U928" s="2" t="inlineStr"/>
    </row>
    <row r="929" ht="15" customHeight="1">
      <c r="A929" t="inlineStr">
        <is>
          <t>A 63095-2023</t>
        </is>
      </c>
      <c r="B929" t="inlineStr">
        <is>
          <t>avverkningsanmälan</t>
        </is>
      </c>
      <c r="C929" t="inlineStr">
        <is>
          <t>Föryngringsavverkning</t>
        </is>
      </c>
      <c r="D929" s="1" t="n">
        <v>45273</v>
      </c>
      <c r="E929" s="1" t="n">
        <v>46219</v>
      </c>
      <c r="F929" t="inlineStr">
        <is>
          <t>VÄRMLANDS LÄN</t>
        </is>
      </c>
      <c r="G929" t="inlineStr">
        <is>
          <t>SUNNE</t>
        </is>
      </c>
      <c r="I929" t="n">
        <v>0.4</v>
      </c>
      <c r="J929" t="n">
        <v>0</v>
      </c>
      <c r="K929" t="n">
        <v>0</v>
      </c>
      <c r="L929" t="n">
        <v>0</v>
      </c>
      <c r="M929" t="n">
        <v>0</v>
      </c>
      <c r="N929" t="n">
        <v>0</v>
      </c>
      <c r="O929" t="n">
        <v>0</v>
      </c>
      <c r="P929" t="n">
        <v>0</v>
      </c>
      <c r="Q929" t="n">
        <v>0</v>
      </c>
      <c r="R929" t="n">
        <v>0</v>
      </c>
      <c r="S929" t="n">
        <v>0</v>
      </c>
      <c r="T929" t="n">
        <v>0</v>
      </c>
      <c r="U929" s="2" t="inlineStr"/>
    </row>
    <row r="930" ht="15" customHeight="1">
      <c r="A930" t="inlineStr">
        <is>
          <t>A 12282-2026</t>
        </is>
      </c>
      <c r="B930" t="inlineStr">
        <is>
          <t>avverkningsanmälan</t>
        </is>
      </c>
      <c r="C930" t="inlineStr">
        <is>
          <t>Föryngringsavverkning</t>
        </is>
      </c>
      <c r="D930" s="1" t="n">
        <v>46087</v>
      </c>
      <c r="E930" s="1" t="n">
        <v>46219</v>
      </c>
      <c r="F930" t="inlineStr">
        <is>
          <t>VÄRMLANDS LÄN</t>
        </is>
      </c>
      <c r="G930" t="inlineStr">
        <is>
          <t>SUNNE</t>
        </is>
      </c>
      <c r="I930" t="n">
        <v>1.7</v>
      </c>
      <c r="J930" t="n">
        <v>0</v>
      </c>
      <c r="K930" t="n">
        <v>0</v>
      </c>
      <c r="L930" t="n">
        <v>0</v>
      </c>
      <c r="M930" t="n">
        <v>0</v>
      </c>
      <c r="N930" t="n">
        <v>0</v>
      </c>
      <c r="O930" t="n">
        <v>0</v>
      </c>
      <c r="P930" t="n">
        <v>0</v>
      </c>
      <c r="Q930" t="n">
        <v>0</v>
      </c>
      <c r="R930" t="n">
        <v>0</v>
      </c>
      <c r="S930" t="n">
        <v>0</v>
      </c>
      <c r="T930" t="n">
        <v>0</v>
      </c>
      <c r="U930" s="2" t="inlineStr"/>
    </row>
    <row r="931" ht="15" customHeight="1">
      <c r="A931" t="inlineStr">
        <is>
          <t>A 12285-2026</t>
        </is>
      </c>
      <c r="B931" t="inlineStr">
        <is>
          <t>avverkningsanmälan</t>
        </is>
      </c>
      <c r="C931" t="inlineStr">
        <is>
          <t>Föryngringsavverkning</t>
        </is>
      </c>
      <c r="D931" s="1" t="n">
        <v>46087</v>
      </c>
      <c r="E931" s="1" t="n">
        <v>46219</v>
      </c>
      <c r="F931" t="inlineStr">
        <is>
          <t>VÄRMLANDS LÄN</t>
        </is>
      </c>
      <c r="G931" t="inlineStr">
        <is>
          <t>SUNNE</t>
        </is>
      </c>
      <c r="I931" t="n">
        <v>1.7</v>
      </c>
      <c r="J931" t="n">
        <v>0</v>
      </c>
      <c r="K931" t="n">
        <v>0</v>
      </c>
      <c r="L931" t="n">
        <v>0</v>
      </c>
      <c r="M931" t="n">
        <v>0</v>
      </c>
      <c r="N931" t="n">
        <v>0</v>
      </c>
      <c r="O931" t="n">
        <v>0</v>
      </c>
      <c r="P931" t="n">
        <v>0</v>
      </c>
      <c r="Q931" t="n">
        <v>0</v>
      </c>
      <c r="R931" t="n">
        <v>0</v>
      </c>
      <c r="S931" t="n">
        <v>0</v>
      </c>
      <c r="T931" t="n">
        <v>0</v>
      </c>
      <c r="U931" s="2" t="inlineStr"/>
    </row>
    <row r="932" ht="15" customHeight="1">
      <c r="A932" t="inlineStr">
        <is>
          <t>A 12284-2026</t>
        </is>
      </c>
      <c r="B932" t="inlineStr">
        <is>
          <t>avverkningsanmälan</t>
        </is>
      </c>
      <c r="C932" t="inlineStr">
        <is>
          <t>Föryngringsavverkning</t>
        </is>
      </c>
      <c r="D932" s="1" t="n">
        <v>46087</v>
      </c>
      <c r="E932" s="1" t="n">
        <v>46219</v>
      </c>
      <c r="F932" t="inlineStr">
        <is>
          <t>VÄRMLANDS LÄN</t>
        </is>
      </c>
      <c r="G932" t="inlineStr">
        <is>
          <t>SUNNE</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12291-2026</t>
        </is>
      </c>
      <c r="B933" t="inlineStr">
        <is>
          <t>avverkningsanmälan</t>
        </is>
      </c>
      <c r="C933" t="inlineStr">
        <is>
          <t>Föryngringsavverkning</t>
        </is>
      </c>
      <c r="D933" s="1" t="n">
        <v>46087</v>
      </c>
      <c r="E933" s="1" t="n">
        <v>46219</v>
      </c>
      <c r="F933" t="inlineStr">
        <is>
          <t>VÄRMLANDS LÄN</t>
        </is>
      </c>
      <c r="G933" t="inlineStr">
        <is>
          <t>SUNNE</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31896-2022</t>
        </is>
      </c>
      <c r="B934" t="inlineStr">
        <is>
          <t>avverkningsanmälan</t>
        </is>
      </c>
      <c r="C934" t="inlineStr">
        <is>
          <t>Föryngringsavverkning</t>
        </is>
      </c>
      <c r="D934" s="1" t="n">
        <v>44777</v>
      </c>
      <c r="E934" s="1" t="n">
        <v>46219</v>
      </c>
      <c r="F934" t="inlineStr">
        <is>
          <t>VÄRMLANDS LÄN</t>
        </is>
      </c>
      <c r="G934" t="inlineStr">
        <is>
          <t>SUNNE</t>
        </is>
      </c>
      <c r="I934" t="n">
        <v>3.8</v>
      </c>
      <c r="J934" t="n">
        <v>0</v>
      </c>
      <c r="K934" t="n">
        <v>0</v>
      </c>
      <c r="L934" t="n">
        <v>0</v>
      </c>
      <c r="M934" t="n">
        <v>0</v>
      </c>
      <c r="N934" t="n">
        <v>0</v>
      </c>
      <c r="O934" t="n">
        <v>0</v>
      </c>
      <c r="P934" t="n">
        <v>0</v>
      </c>
      <c r="Q934" t="n">
        <v>0</v>
      </c>
      <c r="R934" t="n">
        <v>0</v>
      </c>
      <c r="S934" t="n">
        <v>0</v>
      </c>
      <c r="T934" t="n">
        <v>0</v>
      </c>
      <c r="U934" s="2" t="inlineStr"/>
    </row>
    <row r="935" ht="15" customHeight="1">
      <c r="A935" t="inlineStr">
        <is>
          <t>A 40061-2024</t>
        </is>
      </c>
      <c r="B935" t="inlineStr">
        <is>
          <t>avverkningsanmälan</t>
        </is>
      </c>
      <c r="C935" t="inlineStr">
        <is>
          <t>Föryngringsavverkning</t>
        </is>
      </c>
      <c r="D935" s="1" t="n">
        <v>45553</v>
      </c>
      <c r="E935" s="1" t="n">
        <v>46219</v>
      </c>
      <c r="F935" t="inlineStr">
        <is>
          <t>VÄRMLANDS LÄN</t>
        </is>
      </c>
      <c r="G935" t="inlineStr">
        <is>
          <t>SUNNE</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24279-2025</t>
        </is>
      </c>
      <c r="B936" t="inlineStr">
        <is>
          <t>avverkningsanmälan</t>
        </is>
      </c>
      <c r="C936" t="inlineStr">
        <is>
          <t>Föryngringsavverkning</t>
        </is>
      </c>
      <c r="D936" s="1" t="n">
        <v>45796</v>
      </c>
      <c r="E936" s="1" t="n">
        <v>46219</v>
      </c>
      <c r="F936" t="inlineStr">
        <is>
          <t>VÄRMLANDS LÄN</t>
        </is>
      </c>
      <c r="G936" t="inlineStr">
        <is>
          <t>SUNNE</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21251-2024</t>
        </is>
      </c>
      <c r="B937" t="inlineStr">
        <is>
          <t>avverkningsanmälan</t>
        </is>
      </c>
      <c r="C937" t="inlineStr">
        <is>
          <t>Föryngringsavverkning</t>
        </is>
      </c>
      <c r="D937" s="1" t="n">
        <v>45440</v>
      </c>
      <c r="E937" s="1" t="n">
        <v>46219</v>
      </c>
      <c r="F937" t="inlineStr">
        <is>
          <t>VÄRMLANDS LÄN</t>
        </is>
      </c>
      <c r="G937" t="inlineStr">
        <is>
          <t>SUNNE</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35322-2023</t>
        </is>
      </c>
      <c r="B938" t="inlineStr">
        <is>
          <t>avverkningsanmälan</t>
        </is>
      </c>
      <c r="C938" t="inlineStr">
        <is>
          <t>Föryngringsavverkning</t>
        </is>
      </c>
      <c r="D938" s="1" t="n">
        <v>45146</v>
      </c>
      <c r="E938" s="1" t="n">
        <v>46219</v>
      </c>
      <c r="F938" t="inlineStr">
        <is>
          <t>VÄRMLANDS LÄN</t>
        </is>
      </c>
      <c r="G938" t="inlineStr">
        <is>
          <t>SUNNE</t>
        </is>
      </c>
      <c r="I938" t="n">
        <v>0.7</v>
      </c>
      <c r="J938" t="n">
        <v>0</v>
      </c>
      <c r="K938" t="n">
        <v>0</v>
      </c>
      <c r="L938" t="n">
        <v>0</v>
      </c>
      <c r="M938" t="n">
        <v>0</v>
      </c>
      <c r="N938" t="n">
        <v>0</v>
      </c>
      <c r="O938" t="n">
        <v>0</v>
      </c>
      <c r="P938" t="n">
        <v>0</v>
      </c>
      <c r="Q938" t="n">
        <v>0</v>
      </c>
      <c r="R938" t="n">
        <v>0</v>
      </c>
      <c r="S938" t="n">
        <v>0</v>
      </c>
      <c r="T938" t="n">
        <v>0</v>
      </c>
      <c r="U938" s="2" t="inlineStr"/>
    </row>
    <row r="939" ht="15" customHeight="1">
      <c r="A939" t="inlineStr">
        <is>
          <t>A 12459-2026</t>
        </is>
      </c>
      <c r="B939" t="inlineStr">
        <is>
          <t>avverkningsanmälan</t>
        </is>
      </c>
      <c r="C939" t="inlineStr">
        <is>
          <t>Föryngringsavverkning</t>
        </is>
      </c>
      <c r="D939" s="1" t="n">
        <v>46090</v>
      </c>
      <c r="E939" s="1" t="n">
        <v>46219</v>
      </c>
      <c r="F939" t="inlineStr">
        <is>
          <t>VÄRMLANDS LÄN</t>
        </is>
      </c>
      <c r="G939" t="inlineStr">
        <is>
          <t>SUNNE</t>
        </is>
      </c>
      <c r="I939" t="n">
        <v>2.1</v>
      </c>
      <c r="J939" t="n">
        <v>0</v>
      </c>
      <c r="K939" t="n">
        <v>0</v>
      </c>
      <c r="L939" t="n">
        <v>0</v>
      </c>
      <c r="M939" t="n">
        <v>0</v>
      </c>
      <c r="N939" t="n">
        <v>0</v>
      </c>
      <c r="O939" t="n">
        <v>0</v>
      </c>
      <c r="P939" t="n">
        <v>0</v>
      </c>
      <c r="Q939" t="n">
        <v>0</v>
      </c>
      <c r="R939" t="n">
        <v>0</v>
      </c>
      <c r="S939" t="n">
        <v>0</v>
      </c>
      <c r="T939" t="n">
        <v>0</v>
      </c>
      <c r="U939" s="2" t="inlineStr"/>
    </row>
    <row r="940" ht="15" customHeight="1">
      <c r="A940" t="inlineStr">
        <is>
          <t>A 38753-2022</t>
        </is>
      </c>
      <c r="B940" t="inlineStr">
        <is>
          <t>avverkningsanmälan</t>
        </is>
      </c>
      <c r="C940" t="inlineStr">
        <is>
          <t>Föryngringsavverkning</t>
        </is>
      </c>
      <c r="D940" s="1" t="n">
        <v>44816</v>
      </c>
      <c r="E940" s="1" t="n">
        <v>46219</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7494-2022</t>
        </is>
      </c>
      <c r="B941" t="inlineStr">
        <is>
          <t>avverkningsanmälan</t>
        </is>
      </c>
      <c r="C941" t="inlineStr">
        <is>
          <t>Föryngringsavverkning</t>
        </is>
      </c>
      <c r="D941" s="1" t="n">
        <v>44607</v>
      </c>
      <c r="E941" s="1" t="n">
        <v>46219</v>
      </c>
      <c r="F941" t="inlineStr">
        <is>
          <t>VÄRMLANDS LÄN</t>
        </is>
      </c>
      <c r="G941" t="inlineStr">
        <is>
          <t>SUNNE</t>
        </is>
      </c>
      <c r="I941" t="n">
        <v>2.4</v>
      </c>
      <c r="J941" t="n">
        <v>0</v>
      </c>
      <c r="K941" t="n">
        <v>0</v>
      </c>
      <c r="L941" t="n">
        <v>0</v>
      </c>
      <c r="M941" t="n">
        <v>0</v>
      </c>
      <c r="N941" t="n">
        <v>0</v>
      </c>
      <c r="O941" t="n">
        <v>0</v>
      </c>
      <c r="P941" t="n">
        <v>0</v>
      </c>
      <c r="Q941" t="n">
        <v>0</v>
      </c>
      <c r="R941" t="n">
        <v>0</v>
      </c>
      <c r="S941" t="n">
        <v>0</v>
      </c>
      <c r="T941" t="n">
        <v>0</v>
      </c>
      <c r="U941" s="2" t="inlineStr"/>
    </row>
    <row r="942" ht="15" customHeight="1">
      <c r="A942" t="inlineStr">
        <is>
          <t>A 12810-2026</t>
        </is>
      </c>
      <c r="B942" t="inlineStr">
        <is>
          <t>avverkningsanmälan</t>
        </is>
      </c>
      <c r="C942" t="inlineStr">
        <is>
          <t>Föryngringsavverkning</t>
        </is>
      </c>
      <c r="D942" s="1" t="n">
        <v>46091</v>
      </c>
      <c r="E942" s="1" t="n">
        <v>46219</v>
      </c>
      <c r="F942" t="inlineStr">
        <is>
          <t>VÄRMLANDS LÄN</t>
        </is>
      </c>
      <c r="G942" t="inlineStr">
        <is>
          <t>SUNNE</t>
        </is>
      </c>
      <c r="I942" t="n">
        <v>2.4</v>
      </c>
      <c r="J942" t="n">
        <v>0</v>
      </c>
      <c r="K942" t="n">
        <v>0</v>
      </c>
      <c r="L942" t="n">
        <v>0</v>
      </c>
      <c r="M942" t="n">
        <v>0</v>
      </c>
      <c r="N942" t="n">
        <v>0</v>
      </c>
      <c r="O942" t="n">
        <v>0</v>
      </c>
      <c r="P942" t="n">
        <v>0</v>
      </c>
      <c r="Q942" t="n">
        <v>0</v>
      </c>
      <c r="R942" t="n">
        <v>0</v>
      </c>
      <c r="S942" t="n">
        <v>0</v>
      </c>
      <c r="T942" t="n">
        <v>0</v>
      </c>
      <c r="U942" s="2" t="inlineStr"/>
    </row>
    <row r="943" ht="15" customHeight="1">
      <c r="A943" t="inlineStr">
        <is>
          <t>A 54977-2022</t>
        </is>
      </c>
      <c r="B943" t="inlineStr">
        <is>
          <t>avverkningsanmälan</t>
        </is>
      </c>
      <c r="C943" t="inlineStr">
        <is>
          <t>Föryngringsavverkning</t>
        </is>
      </c>
      <c r="D943" s="1" t="n">
        <v>44886</v>
      </c>
      <c r="E943" s="1" t="n">
        <v>46219</v>
      </c>
      <c r="F943" t="inlineStr">
        <is>
          <t>VÄRMLANDS LÄN</t>
        </is>
      </c>
      <c r="G943" t="inlineStr">
        <is>
          <t>SUNNE</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13107-2026</t>
        </is>
      </c>
      <c r="B944" t="inlineStr">
        <is>
          <t>avverkningsanmälan</t>
        </is>
      </c>
      <c r="C944" t="inlineStr">
        <is>
          <t>Föryngringsavverkning</t>
        </is>
      </c>
      <c r="D944" s="1" t="n">
        <v>46093</v>
      </c>
      <c r="E944" s="1" t="n">
        <v>46219</v>
      </c>
      <c r="F944" t="inlineStr">
        <is>
          <t>VÄRMLANDS LÄN</t>
        </is>
      </c>
      <c r="G944" t="inlineStr">
        <is>
          <t>SUNNE</t>
        </is>
      </c>
      <c r="I944" t="n">
        <v>2.2</v>
      </c>
      <c r="J944" t="n">
        <v>0</v>
      </c>
      <c r="K944" t="n">
        <v>0</v>
      </c>
      <c r="L944" t="n">
        <v>0</v>
      </c>
      <c r="M944" t="n">
        <v>0</v>
      </c>
      <c r="N944" t="n">
        <v>0</v>
      </c>
      <c r="O944" t="n">
        <v>0</v>
      </c>
      <c r="P944" t="n">
        <v>0</v>
      </c>
      <c r="Q944" t="n">
        <v>0</v>
      </c>
      <c r="R944" t="n">
        <v>0</v>
      </c>
      <c r="S944" t="n">
        <v>0</v>
      </c>
      <c r="T944" t="n">
        <v>0</v>
      </c>
      <c r="U944" s="2" t="inlineStr"/>
    </row>
    <row r="945" ht="15" customHeight="1">
      <c r="A945" t="inlineStr">
        <is>
          <t>A 47456-2023</t>
        </is>
      </c>
      <c r="B945" t="inlineStr">
        <is>
          <t>avverkningsanmälan</t>
        </is>
      </c>
      <c r="C945" t="inlineStr">
        <is>
          <t>Föryngringsavverkning</t>
        </is>
      </c>
      <c r="D945" s="1" t="n">
        <v>45202</v>
      </c>
      <c r="E945" s="1" t="n">
        <v>46219</v>
      </c>
      <c r="F945" t="inlineStr">
        <is>
          <t>VÄRMLANDS LÄN</t>
        </is>
      </c>
      <c r="G945" t="inlineStr">
        <is>
          <t>SUNNE</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23793-2023</t>
        </is>
      </c>
      <c r="B946" t="inlineStr">
        <is>
          <t>avverkningsanmälan</t>
        </is>
      </c>
      <c r="C946" t="inlineStr">
        <is>
          <t>Föryngringsavverkning</t>
        </is>
      </c>
      <c r="D946" s="1" t="n">
        <v>45078</v>
      </c>
      <c r="E946" s="1" t="n">
        <v>46219</v>
      </c>
      <c r="F946" t="inlineStr">
        <is>
          <t>VÄRMLANDS LÄN</t>
        </is>
      </c>
      <c r="G946" t="inlineStr">
        <is>
          <t>SUNNE</t>
        </is>
      </c>
      <c r="I946" t="n">
        <v>3.3</v>
      </c>
      <c r="J946" t="n">
        <v>0</v>
      </c>
      <c r="K946" t="n">
        <v>0</v>
      </c>
      <c r="L946" t="n">
        <v>0</v>
      </c>
      <c r="M946" t="n">
        <v>0</v>
      </c>
      <c r="N946" t="n">
        <v>0</v>
      </c>
      <c r="O946" t="n">
        <v>0</v>
      </c>
      <c r="P946" t="n">
        <v>0</v>
      </c>
      <c r="Q946" t="n">
        <v>0</v>
      </c>
      <c r="R946" t="n">
        <v>0</v>
      </c>
      <c r="S946" t="n">
        <v>0</v>
      </c>
      <c r="T946" t="n">
        <v>0</v>
      </c>
      <c r="U946" s="2" t="inlineStr"/>
    </row>
    <row r="947" ht="15" customHeight="1">
      <c r="A947" t="inlineStr">
        <is>
          <t>A 13015-2026</t>
        </is>
      </c>
      <c r="B947" t="inlineStr">
        <is>
          <t>avverkningsanmälan</t>
        </is>
      </c>
      <c r="C947" t="inlineStr">
        <is>
          <t>Föryngringsavverkning</t>
        </is>
      </c>
      <c r="D947" s="1" t="n">
        <v>46092</v>
      </c>
      <c r="E947" s="1" t="n">
        <v>46219</v>
      </c>
      <c r="F947" t="inlineStr">
        <is>
          <t>VÄRMLANDS LÄN</t>
        </is>
      </c>
      <c r="G947" t="inlineStr">
        <is>
          <t>SUNNE</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45992-2023</t>
        </is>
      </c>
      <c r="B948" t="inlineStr">
        <is>
          <t>avverkningsanmälan</t>
        </is>
      </c>
      <c r="C948" t="inlineStr">
        <is>
          <t>Föryngringsavverkning</t>
        </is>
      </c>
      <c r="D948" s="1" t="n">
        <v>45196</v>
      </c>
      <c r="E948" s="1" t="n">
        <v>46219</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59694-2022</t>
        </is>
      </c>
      <c r="B949" t="inlineStr">
        <is>
          <t>avverkningsanmälan</t>
        </is>
      </c>
      <c r="C949" t="inlineStr">
        <is>
          <t>Föryngringsavverkning</t>
        </is>
      </c>
      <c r="D949" s="1" t="n">
        <v>44908</v>
      </c>
      <c r="E949" s="1" t="n">
        <v>46219</v>
      </c>
      <c r="F949" t="inlineStr">
        <is>
          <t>VÄRMLANDS LÄN</t>
        </is>
      </c>
      <c r="G949" t="inlineStr">
        <is>
          <t>SUNNE</t>
        </is>
      </c>
      <c r="I949" t="n">
        <v>1.6</v>
      </c>
      <c r="J949" t="n">
        <v>0</v>
      </c>
      <c r="K949" t="n">
        <v>0</v>
      </c>
      <c r="L949" t="n">
        <v>0</v>
      </c>
      <c r="M949" t="n">
        <v>0</v>
      </c>
      <c r="N949" t="n">
        <v>0</v>
      </c>
      <c r="O949" t="n">
        <v>0</v>
      </c>
      <c r="P949" t="n">
        <v>0</v>
      </c>
      <c r="Q949" t="n">
        <v>0</v>
      </c>
      <c r="R949" t="n">
        <v>0</v>
      </c>
      <c r="S949" t="n">
        <v>0</v>
      </c>
      <c r="T949" t="n">
        <v>0</v>
      </c>
      <c r="U949" s="2" t="inlineStr"/>
    </row>
    <row r="950" ht="15" customHeight="1">
      <c r="A950" t="inlineStr">
        <is>
          <t>A 58531-2023</t>
        </is>
      </c>
      <c r="B950" t="inlineStr">
        <is>
          <t>avverkningsanmälan</t>
        </is>
      </c>
      <c r="C950" t="inlineStr">
        <is>
          <t>Föryngringsavverkning</t>
        </is>
      </c>
      <c r="D950" s="1" t="n">
        <v>45250</v>
      </c>
      <c r="E950" s="1" t="n">
        <v>46219</v>
      </c>
      <c r="F950" t="inlineStr">
        <is>
          <t>VÄRMLANDS LÄN</t>
        </is>
      </c>
      <c r="G950" t="inlineStr">
        <is>
          <t>SUNNE</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46138-2023</t>
        </is>
      </c>
      <c r="B951" t="inlineStr">
        <is>
          <t>avverkningsanmälan</t>
        </is>
      </c>
      <c r="C951" t="inlineStr">
        <is>
          <t>Föryngringsavverkning</t>
        </is>
      </c>
      <c r="D951" s="1" t="n">
        <v>45196</v>
      </c>
      <c r="E951" s="1" t="n">
        <v>46219</v>
      </c>
      <c r="F951" t="inlineStr">
        <is>
          <t>VÄRMLANDS LÄN</t>
        </is>
      </c>
      <c r="G951" t="inlineStr">
        <is>
          <t>SUNNE</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13335-2026</t>
        </is>
      </c>
      <c r="B952" t="inlineStr">
        <is>
          <t>avverkningsanmälan</t>
        </is>
      </c>
      <c r="C952" t="inlineStr">
        <is>
          <t>Avverkning för att bevara och utveckla /försöksver</t>
        </is>
      </c>
      <c r="D952" s="1" t="n">
        <v>46094</v>
      </c>
      <c r="E952" s="1" t="n">
        <v>46219</v>
      </c>
      <c r="F952" t="inlineStr">
        <is>
          <t>VÄRMLANDS LÄN</t>
        </is>
      </c>
      <c r="G952" t="inlineStr">
        <is>
          <t>SUNNE</t>
        </is>
      </c>
      <c r="H952" t="inlineStr">
        <is>
          <t>Övriga Aktiebolag</t>
        </is>
      </c>
      <c r="I952" t="n">
        <v>1</v>
      </c>
      <c r="J952" t="n">
        <v>0</v>
      </c>
      <c r="K952" t="n">
        <v>0</v>
      </c>
      <c r="L952" t="n">
        <v>0</v>
      </c>
      <c r="M952" t="n">
        <v>0</v>
      </c>
      <c r="N952" t="n">
        <v>0</v>
      </c>
      <c r="O952" t="n">
        <v>0</v>
      </c>
      <c r="P952" t="n">
        <v>0</v>
      </c>
      <c r="Q952" t="n">
        <v>0</v>
      </c>
      <c r="R952" t="n">
        <v>0</v>
      </c>
      <c r="S952" t="n">
        <v>0</v>
      </c>
      <c r="T952" t="n">
        <v>0</v>
      </c>
      <c r="U952" s="2" t="inlineStr"/>
    </row>
    <row r="953" ht="15" customHeight="1">
      <c r="A953" t="inlineStr">
        <is>
          <t>A 56029-2023</t>
        </is>
      </c>
      <c r="B953" t="inlineStr">
        <is>
          <t>avverkningsanmälan</t>
        </is>
      </c>
      <c r="C953" t="inlineStr">
        <is>
          <t>Föryngringsavverkning</t>
        </is>
      </c>
      <c r="D953" s="1" t="n">
        <v>45233</v>
      </c>
      <c r="E953" s="1" t="n">
        <v>46219</v>
      </c>
      <c r="F953" t="inlineStr">
        <is>
          <t>VÄRMLANDS LÄN</t>
        </is>
      </c>
      <c r="G953" t="inlineStr">
        <is>
          <t>SUNNE</t>
        </is>
      </c>
      <c r="I953" t="n">
        <v>2</v>
      </c>
      <c r="J953" t="n">
        <v>0</v>
      </c>
      <c r="K953" t="n">
        <v>0</v>
      </c>
      <c r="L953" t="n">
        <v>0</v>
      </c>
      <c r="M953" t="n">
        <v>0</v>
      </c>
      <c r="N953" t="n">
        <v>0</v>
      </c>
      <c r="O953" t="n">
        <v>0</v>
      </c>
      <c r="P953" t="n">
        <v>0</v>
      </c>
      <c r="Q953" t="n">
        <v>0</v>
      </c>
      <c r="R953" t="n">
        <v>0</v>
      </c>
      <c r="S953" t="n">
        <v>0</v>
      </c>
      <c r="T953" t="n">
        <v>0</v>
      </c>
      <c r="U953" s="2" t="inlineStr"/>
    </row>
    <row r="954" ht="15" customHeight="1">
      <c r="A954" t="inlineStr">
        <is>
          <t>A 24878-2025</t>
        </is>
      </c>
      <c r="B954" t="inlineStr">
        <is>
          <t>avverkningsanmälan</t>
        </is>
      </c>
      <c r="C954" t="inlineStr">
        <is>
          <t>Föryngringsavverkning</t>
        </is>
      </c>
      <c r="D954" s="1" t="n">
        <v>45799</v>
      </c>
      <c r="E954" s="1" t="n">
        <v>46219</v>
      </c>
      <c r="F954" t="inlineStr">
        <is>
          <t>VÄRMLANDS LÄN</t>
        </is>
      </c>
      <c r="G954" t="inlineStr">
        <is>
          <t>SUNNE</t>
        </is>
      </c>
      <c r="I954" t="n">
        <v>1.6</v>
      </c>
      <c r="J954" t="n">
        <v>0</v>
      </c>
      <c r="K954" t="n">
        <v>0</v>
      </c>
      <c r="L954" t="n">
        <v>0</v>
      </c>
      <c r="M954" t="n">
        <v>0</v>
      </c>
      <c r="N954" t="n">
        <v>0</v>
      </c>
      <c r="O954" t="n">
        <v>0</v>
      </c>
      <c r="P954" t="n">
        <v>0</v>
      </c>
      <c r="Q954" t="n">
        <v>0</v>
      </c>
      <c r="R954" t="n">
        <v>0</v>
      </c>
      <c r="S954" t="n">
        <v>0</v>
      </c>
      <c r="T954" t="n">
        <v>0</v>
      </c>
      <c r="U954" s="2" t="inlineStr"/>
    </row>
    <row r="955" ht="15" customHeight="1">
      <c r="A955" t="inlineStr">
        <is>
          <t>A 42388-2022</t>
        </is>
      </c>
      <c r="B955" t="inlineStr">
        <is>
          <t>avverkningsanmälan</t>
        </is>
      </c>
      <c r="C955" t="inlineStr">
        <is>
          <t>Föryngringsavverkning</t>
        </is>
      </c>
      <c r="D955" s="1" t="n">
        <v>44831</v>
      </c>
      <c r="E955" s="1" t="n">
        <v>46219</v>
      </c>
      <c r="F955" t="inlineStr">
        <is>
          <t>VÄRMLANDS LÄN</t>
        </is>
      </c>
      <c r="G955" t="inlineStr">
        <is>
          <t>SUNNE</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12271-2025</t>
        </is>
      </c>
      <c r="B956" t="inlineStr">
        <is>
          <t>avverkningsanmälan</t>
        </is>
      </c>
      <c r="C956" t="inlineStr">
        <is>
          <t>Föryngringsavverkning</t>
        </is>
      </c>
      <c r="D956" s="1" t="n">
        <v>45729</v>
      </c>
      <c r="E956" s="1" t="n">
        <v>46219</v>
      </c>
      <c r="F956" t="inlineStr">
        <is>
          <t>VÄRMLANDS LÄN</t>
        </is>
      </c>
      <c r="G956" t="inlineStr">
        <is>
          <t>SUNNE</t>
        </is>
      </c>
      <c r="I956" t="n">
        <v>2</v>
      </c>
      <c r="J956" t="n">
        <v>0</v>
      </c>
      <c r="K956" t="n">
        <v>0</v>
      </c>
      <c r="L956" t="n">
        <v>0</v>
      </c>
      <c r="M956" t="n">
        <v>0</v>
      </c>
      <c r="N956" t="n">
        <v>0</v>
      </c>
      <c r="O956" t="n">
        <v>0</v>
      </c>
      <c r="P956" t="n">
        <v>0</v>
      </c>
      <c r="Q956" t="n">
        <v>0</v>
      </c>
      <c r="R956" t="n">
        <v>0</v>
      </c>
      <c r="S956" t="n">
        <v>0</v>
      </c>
      <c r="T956" t="n">
        <v>0</v>
      </c>
      <c r="U956" s="2" t="inlineStr"/>
    </row>
    <row r="957" ht="15" customHeight="1">
      <c r="A957" t="inlineStr">
        <is>
          <t>A 5787-2025</t>
        </is>
      </c>
      <c r="B957" t="inlineStr">
        <is>
          <t>avverkningsanmälan</t>
        </is>
      </c>
      <c r="C957" t="inlineStr">
        <is>
          <t>Föryngringsavverkning</t>
        </is>
      </c>
      <c r="D957" s="1" t="n">
        <v>45694</v>
      </c>
      <c r="E957" s="1" t="n">
        <v>46219</v>
      </c>
      <c r="F957" t="inlineStr">
        <is>
          <t>VÄRMLANDS LÄN</t>
        </is>
      </c>
      <c r="G957" t="inlineStr">
        <is>
          <t>SUNNE</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63090-2023</t>
        </is>
      </c>
      <c r="B958" t="inlineStr">
        <is>
          <t>avverkningsanmälan</t>
        </is>
      </c>
      <c r="C958" t="inlineStr">
        <is>
          <t>Föryngringsavverkning</t>
        </is>
      </c>
      <c r="D958" s="1" t="n">
        <v>45273</v>
      </c>
      <c r="E958" s="1" t="n">
        <v>46219</v>
      </c>
      <c r="F958" t="inlineStr">
        <is>
          <t>VÄRMLANDS LÄN</t>
        </is>
      </c>
      <c r="G958" t="inlineStr">
        <is>
          <t>SUNNE</t>
        </is>
      </c>
      <c r="I958" t="n">
        <v>4.5</v>
      </c>
      <c r="J958" t="n">
        <v>0</v>
      </c>
      <c r="K958" t="n">
        <v>0</v>
      </c>
      <c r="L958" t="n">
        <v>0</v>
      </c>
      <c r="M958" t="n">
        <v>0</v>
      </c>
      <c r="N958" t="n">
        <v>0</v>
      </c>
      <c r="O958" t="n">
        <v>0</v>
      </c>
      <c r="P958" t="n">
        <v>0</v>
      </c>
      <c r="Q958" t="n">
        <v>0</v>
      </c>
      <c r="R958" t="n">
        <v>0</v>
      </c>
      <c r="S958" t="n">
        <v>0</v>
      </c>
      <c r="T958" t="n">
        <v>0</v>
      </c>
      <c r="U958" s="2" t="inlineStr"/>
    </row>
    <row r="959" ht="15" customHeight="1">
      <c r="A959" t="inlineStr">
        <is>
          <t>A 26309-2023</t>
        </is>
      </c>
      <c r="B959" t="inlineStr">
        <is>
          <t>avverkningsanmälan</t>
        </is>
      </c>
      <c r="C959" t="inlineStr">
        <is>
          <t>Föryngringsavverkning</t>
        </is>
      </c>
      <c r="D959" s="1" t="n">
        <v>45091</v>
      </c>
      <c r="E959" s="1" t="n">
        <v>46219</v>
      </c>
      <c r="F959" t="inlineStr">
        <is>
          <t>VÄRMLANDS LÄN</t>
        </is>
      </c>
      <c r="G959" t="inlineStr">
        <is>
          <t>SUNNE</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60541-2023</t>
        </is>
      </c>
      <c r="B960" t="inlineStr">
        <is>
          <t>avverkningsanmälan</t>
        </is>
      </c>
      <c r="C960" t="inlineStr">
        <is>
          <t>Föryngringsavverkning</t>
        </is>
      </c>
      <c r="D960" s="1" t="n">
        <v>45259</v>
      </c>
      <c r="E960" s="1" t="n">
        <v>46219</v>
      </c>
      <c r="F960" t="inlineStr">
        <is>
          <t>VÄRMLANDS LÄN</t>
        </is>
      </c>
      <c r="G960" t="inlineStr">
        <is>
          <t>SUNNE</t>
        </is>
      </c>
      <c r="I960" t="n">
        <v>11.1</v>
      </c>
      <c r="J960" t="n">
        <v>0</v>
      </c>
      <c r="K960" t="n">
        <v>0</v>
      </c>
      <c r="L960" t="n">
        <v>0</v>
      </c>
      <c r="M960" t="n">
        <v>0</v>
      </c>
      <c r="N960" t="n">
        <v>0</v>
      </c>
      <c r="O960" t="n">
        <v>0</v>
      </c>
      <c r="P960" t="n">
        <v>0</v>
      </c>
      <c r="Q960" t="n">
        <v>0</v>
      </c>
      <c r="R960" t="n">
        <v>0</v>
      </c>
      <c r="S960" t="n">
        <v>0</v>
      </c>
      <c r="T960" t="n">
        <v>0</v>
      </c>
      <c r="U960" s="2" t="inlineStr"/>
    </row>
    <row r="961" ht="15" customHeight="1">
      <c r="A961" t="inlineStr">
        <is>
          <t>A 14470-2026</t>
        </is>
      </c>
      <c r="B961" t="inlineStr">
        <is>
          <t>avverkningsanmälan</t>
        </is>
      </c>
      <c r="C961" t="inlineStr">
        <is>
          <t>Föryngringsavverkning</t>
        </is>
      </c>
      <c r="D961" s="1" t="n">
        <v>46100</v>
      </c>
      <c r="E961" s="1" t="n">
        <v>46219</v>
      </c>
      <c r="F961" t="inlineStr">
        <is>
          <t>VÄRMLANDS LÄN</t>
        </is>
      </c>
      <c r="G961" t="inlineStr">
        <is>
          <t>SUNNE</t>
        </is>
      </c>
      <c r="I961" t="n">
        <v>1.5</v>
      </c>
      <c r="J961" t="n">
        <v>0</v>
      </c>
      <c r="K961" t="n">
        <v>0</v>
      </c>
      <c r="L961" t="n">
        <v>0</v>
      </c>
      <c r="M961" t="n">
        <v>0</v>
      </c>
      <c r="N961" t="n">
        <v>0</v>
      </c>
      <c r="O961" t="n">
        <v>0</v>
      </c>
      <c r="P961" t="n">
        <v>0</v>
      </c>
      <c r="Q961" t="n">
        <v>0</v>
      </c>
      <c r="R961" t="n">
        <v>0</v>
      </c>
      <c r="S961" t="n">
        <v>0</v>
      </c>
      <c r="T961" t="n">
        <v>0</v>
      </c>
      <c r="U961" s="2" t="inlineStr"/>
    </row>
    <row r="962" ht="15" customHeight="1">
      <c r="A962" t="inlineStr">
        <is>
          <t>A 14416-2026</t>
        </is>
      </c>
      <c r="B962" t="inlineStr">
        <is>
          <t>avverkningsanmälan</t>
        </is>
      </c>
      <c r="C962" t="inlineStr">
        <is>
          <t>Föryngringsavverkning</t>
        </is>
      </c>
      <c r="D962" s="1" t="n">
        <v>46100</v>
      </c>
      <c r="E962" s="1" t="n">
        <v>46219</v>
      </c>
      <c r="F962" t="inlineStr">
        <is>
          <t>VÄRMLANDS LÄN</t>
        </is>
      </c>
      <c r="G962" t="inlineStr">
        <is>
          <t>SUNNE</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61430-2023</t>
        </is>
      </c>
      <c r="B963" t="inlineStr">
        <is>
          <t>avverkningsanmälan</t>
        </is>
      </c>
      <c r="C963" t="inlineStr">
        <is>
          <t>Föryngringsavverkning</t>
        </is>
      </c>
      <c r="D963" s="1" t="n">
        <v>45261</v>
      </c>
      <c r="E963" s="1" t="n">
        <v>46219</v>
      </c>
      <c r="F963" t="inlineStr">
        <is>
          <t>VÄRMLANDS LÄN</t>
        </is>
      </c>
      <c r="G963" t="inlineStr">
        <is>
          <t>SUNNE</t>
        </is>
      </c>
      <c r="I963" t="n">
        <v>2.2</v>
      </c>
      <c r="J963" t="n">
        <v>0</v>
      </c>
      <c r="K963" t="n">
        <v>0</v>
      </c>
      <c r="L963" t="n">
        <v>0</v>
      </c>
      <c r="M963" t="n">
        <v>0</v>
      </c>
      <c r="N963" t="n">
        <v>0</v>
      </c>
      <c r="O963" t="n">
        <v>0</v>
      </c>
      <c r="P963" t="n">
        <v>0</v>
      </c>
      <c r="Q963" t="n">
        <v>0</v>
      </c>
      <c r="R963" t="n">
        <v>0</v>
      </c>
      <c r="S963" t="n">
        <v>0</v>
      </c>
      <c r="T963" t="n">
        <v>0</v>
      </c>
      <c r="U963" s="2" t="inlineStr"/>
    </row>
    <row r="964" ht="15" customHeight="1">
      <c r="A964" t="inlineStr">
        <is>
          <t>A 31075-2024</t>
        </is>
      </c>
      <c r="B964" t="inlineStr">
        <is>
          <t>avverkningsanmälan</t>
        </is>
      </c>
      <c r="C964" t="inlineStr">
        <is>
          <t>Föryngringsavverkning</t>
        </is>
      </c>
      <c r="D964" s="1" t="n">
        <v>45502</v>
      </c>
      <c r="E964" s="1" t="n">
        <v>46219</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834-2024</t>
        </is>
      </c>
      <c r="B965" t="inlineStr">
        <is>
          <t>avverkningsanmälan</t>
        </is>
      </c>
      <c r="C965" t="inlineStr">
        <is>
          <t>Föryngringsavverkning</t>
        </is>
      </c>
      <c r="D965" s="1" t="n">
        <v>45300</v>
      </c>
      <c r="E965" s="1" t="n">
        <v>46219</v>
      </c>
      <c r="F965" t="inlineStr">
        <is>
          <t>VÄRMLANDS LÄN</t>
        </is>
      </c>
      <c r="G965" t="inlineStr">
        <is>
          <t>SUNNE</t>
        </is>
      </c>
      <c r="H965" t="inlineStr">
        <is>
          <t>Övriga statliga verk och myndigheter</t>
        </is>
      </c>
      <c r="I965" t="n">
        <v>1.6</v>
      </c>
      <c r="J965" t="n">
        <v>0</v>
      </c>
      <c r="K965" t="n">
        <v>0</v>
      </c>
      <c r="L965" t="n">
        <v>0</v>
      </c>
      <c r="M965" t="n">
        <v>0</v>
      </c>
      <c r="N965" t="n">
        <v>0</v>
      </c>
      <c r="O965" t="n">
        <v>0</v>
      </c>
      <c r="P965" t="n">
        <v>0</v>
      </c>
      <c r="Q965" t="n">
        <v>0</v>
      </c>
      <c r="R965" t="n">
        <v>0</v>
      </c>
      <c r="S965" t="n">
        <v>0</v>
      </c>
      <c r="T965" t="n">
        <v>0</v>
      </c>
      <c r="U965" s="2" t="inlineStr"/>
    </row>
    <row r="966" ht="15" customHeight="1">
      <c r="A966" t="inlineStr">
        <is>
          <t>A 15114-2026</t>
        </is>
      </c>
      <c r="B966" t="inlineStr">
        <is>
          <t>avverkningsanmälan</t>
        </is>
      </c>
      <c r="C966" t="inlineStr">
        <is>
          <t>Föryngringsavverkning</t>
        </is>
      </c>
      <c r="D966" s="1" t="n">
        <v>46105</v>
      </c>
      <c r="E966" s="1" t="n">
        <v>46219</v>
      </c>
      <c r="F966" t="inlineStr">
        <is>
          <t>VÄRMLANDS LÄN</t>
        </is>
      </c>
      <c r="G966" t="inlineStr">
        <is>
          <t>SUNNE</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31034-2023</t>
        </is>
      </c>
      <c r="B967" t="inlineStr">
        <is>
          <t>avverkningsanmälan</t>
        </is>
      </c>
      <c r="C967" t="inlineStr">
        <is>
          <t>Föryngringsavverkning</t>
        </is>
      </c>
      <c r="D967" s="1" t="n">
        <v>45113</v>
      </c>
      <c r="E967" s="1" t="n">
        <v>46219</v>
      </c>
      <c r="F967" t="inlineStr">
        <is>
          <t>VÄRMLANDS LÄN</t>
        </is>
      </c>
      <c r="G967" t="inlineStr">
        <is>
          <t>SUNNE</t>
        </is>
      </c>
      <c r="I967" t="n">
        <v>3.2</v>
      </c>
      <c r="J967" t="n">
        <v>0</v>
      </c>
      <c r="K967" t="n">
        <v>0</v>
      </c>
      <c r="L967" t="n">
        <v>0</v>
      </c>
      <c r="M967" t="n">
        <v>0</v>
      </c>
      <c r="N967" t="n">
        <v>0</v>
      </c>
      <c r="O967" t="n">
        <v>0</v>
      </c>
      <c r="P967" t="n">
        <v>0</v>
      </c>
      <c r="Q967" t="n">
        <v>0</v>
      </c>
      <c r="R967" t="n">
        <v>0</v>
      </c>
      <c r="S967" t="n">
        <v>0</v>
      </c>
      <c r="T967" t="n">
        <v>0</v>
      </c>
      <c r="U967" s="2" t="inlineStr"/>
    </row>
    <row r="968" ht="15" customHeight="1">
      <c r="A968" t="inlineStr">
        <is>
          <t>A 34707-2022</t>
        </is>
      </c>
      <c r="B968" t="inlineStr">
        <is>
          <t>avverkningsanmälan</t>
        </is>
      </c>
      <c r="C968" t="inlineStr">
        <is>
          <t>Föryngringsavverkning</t>
        </is>
      </c>
      <c r="D968" s="1" t="n">
        <v>44795</v>
      </c>
      <c r="E968" s="1" t="n">
        <v>46219</v>
      </c>
      <c r="F968" t="inlineStr">
        <is>
          <t>VÄRMLANDS LÄN</t>
        </is>
      </c>
      <c r="G968" t="inlineStr">
        <is>
          <t>SUNNE</t>
        </is>
      </c>
      <c r="H968" t="inlineStr">
        <is>
          <t>Bergvik skog väst AB</t>
        </is>
      </c>
      <c r="I968" t="n">
        <v>10.4</v>
      </c>
      <c r="J968" t="n">
        <v>0</v>
      </c>
      <c r="K968" t="n">
        <v>0</v>
      </c>
      <c r="L968" t="n">
        <v>0</v>
      </c>
      <c r="M968" t="n">
        <v>0</v>
      </c>
      <c r="N968" t="n">
        <v>0</v>
      </c>
      <c r="O968" t="n">
        <v>0</v>
      </c>
      <c r="P968" t="n">
        <v>0</v>
      </c>
      <c r="Q968" t="n">
        <v>0</v>
      </c>
      <c r="R968" t="n">
        <v>0</v>
      </c>
      <c r="S968" t="n">
        <v>0</v>
      </c>
      <c r="T968" t="n">
        <v>0</v>
      </c>
      <c r="U968" s="2" t="inlineStr"/>
    </row>
    <row r="969" ht="15" customHeight="1">
      <c r="A969" t="inlineStr">
        <is>
          <t>A 55163-2024</t>
        </is>
      </c>
      <c r="B969" t="inlineStr">
        <is>
          <t>avverkningsanmälan</t>
        </is>
      </c>
      <c r="C969" t="inlineStr">
        <is>
          <t>Föryngringsavverkning</t>
        </is>
      </c>
      <c r="D969" s="1" t="n">
        <v>45621</v>
      </c>
      <c r="E969" s="1" t="n">
        <v>46219</v>
      </c>
      <c r="F969" t="inlineStr">
        <is>
          <t>VÄRMLANDS LÄN</t>
        </is>
      </c>
      <c r="G969" t="inlineStr">
        <is>
          <t>SUNNE</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14042-2025</t>
        </is>
      </c>
      <c r="B970" t="inlineStr">
        <is>
          <t>avverkningsanmälan</t>
        </is>
      </c>
      <c r="C970" t="inlineStr">
        <is>
          <t>Föryngringsavverkning</t>
        </is>
      </c>
      <c r="D970" s="1" t="n">
        <v>45740</v>
      </c>
      <c r="E970" s="1" t="n">
        <v>46219</v>
      </c>
      <c r="F970" t="inlineStr">
        <is>
          <t>VÄRMLANDS LÄN</t>
        </is>
      </c>
      <c r="G970" t="inlineStr">
        <is>
          <t>SUNNE</t>
        </is>
      </c>
      <c r="H970" t="inlineStr">
        <is>
          <t>Bergvik skog väst AB</t>
        </is>
      </c>
      <c r="I970" t="n">
        <v>3.4</v>
      </c>
      <c r="J970" t="n">
        <v>0</v>
      </c>
      <c r="K970" t="n">
        <v>0</v>
      </c>
      <c r="L970" t="n">
        <v>0</v>
      </c>
      <c r="M970" t="n">
        <v>0</v>
      </c>
      <c r="N970" t="n">
        <v>0</v>
      </c>
      <c r="O970" t="n">
        <v>0</v>
      </c>
      <c r="P970" t="n">
        <v>0</v>
      </c>
      <c r="Q970" t="n">
        <v>0</v>
      </c>
      <c r="R970" t="n">
        <v>0</v>
      </c>
      <c r="S970" t="n">
        <v>0</v>
      </c>
      <c r="T970" t="n">
        <v>0</v>
      </c>
      <c r="U970" s="2" t="inlineStr"/>
    </row>
    <row r="971" ht="15" customHeight="1">
      <c r="A971" t="inlineStr">
        <is>
          <t>A 14060-2025</t>
        </is>
      </c>
      <c r="B971" t="inlineStr">
        <is>
          <t>avverkningsanmälan</t>
        </is>
      </c>
      <c r="C971" t="inlineStr">
        <is>
          <t>Föryngringsavverkning</t>
        </is>
      </c>
      <c r="D971" s="1" t="n">
        <v>45740</v>
      </c>
      <c r="E971" s="1" t="n">
        <v>46219</v>
      </c>
      <c r="F971" t="inlineStr">
        <is>
          <t>VÄRMLANDS LÄN</t>
        </is>
      </c>
      <c r="G971" t="inlineStr">
        <is>
          <t>SUNNE</t>
        </is>
      </c>
      <c r="I971" t="n">
        <v>3.3</v>
      </c>
      <c r="J971" t="n">
        <v>0</v>
      </c>
      <c r="K971" t="n">
        <v>0</v>
      </c>
      <c r="L971" t="n">
        <v>0</v>
      </c>
      <c r="M971" t="n">
        <v>0</v>
      </c>
      <c r="N971" t="n">
        <v>0</v>
      </c>
      <c r="O971" t="n">
        <v>0</v>
      </c>
      <c r="P971" t="n">
        <v>0</v>
      </c>
      <c r="Q971" t="n">
        <v>0</v>
      </c>
      <c r="R971" t="n">
        <v>0</v>
      </c>
      <c r="S971" t="n">
        <v>0</v>
      </c>
      <c r="T971" t="n">
        <v>0</v>
      </c>
      <c r="U971" s="2" t="inlineStr"/>
    </row>
    <row r="972" ht="15" customHeight="1">
      <c r="A972" t="inlineStr">
        <is>
          <t>A 34857-2022</t>
        </is>
      </c>
      <c r="B972" t="inlineStr">
        <is>
          <t>avverkningsanmälan</t>
        </is>
      </c>
      <c r="C972" t="inlineStr">
        <is>
          <t>Föryngringsavverkning</t>
        </is>
      </c>
      <c r="D972" s="1" t="n">
        <v>44796</v>
      </c>
      <c r="E972" s="1" t="n">
        <v>46219</v>
      </c>
      <c r="F972" t="inlineStr">
        <is>
          <t>VÄRMLANDS LÄN</t>
        </is>
      </c>
      <c r="G972" t="inlineStr">
        <is>
          <t>SUNNE</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16147-2026</t>
        </is>
      </c>
      <c r="B973" t="inlineStr">
        <is>
          <t>avverkningsanmälan</t>
        </is>
      </c>
      <c r="C973" t="inlineStr">
        <is>
          <t>Föryngringsavverkning</t>
        </is>
      </c>
      <c r="D973" s="1" t="n">
        <v>46108</v>
      </c>
      <c r="E973" s="1" t="n">
        <v>46219</v>
      </c>
      <c r="F973" t="inlineStr">
        <is>
          <t>VÄRMLANDS LÄN</t>
        </is>
      </c>
      <c r="G973" t="inlineStr">
        <is>
          <t>SUNNE</t>
        </is>
      </c>
      <c r="I973" t="n">
        <v>1.3</v>
      </c>
      <c r="J973" t="n">
        <v>0</v>
      </c>
      <c r="K973" t="n">
        <v>0</v>
      </c>
      <c r="L973" t="n">
        <v>0</v>
      </c>
      <c r="M973" t="n">
        <v>0</v>
      </c>
      <c r="N973" t="n">
        <v>0</v>
      </c>
      <c r="O973" t="n">
        <v>0</v>
      </c>
      <c r="P973" t="n">
        <v>0</v>
      </c>
      <c r="Q973" t="n">
        <v>0</v>
      </c>
      <c r="R973" t="n">
        <v>0</v>
      </c>
      <c r="S973" t="n">
        <v>0</v>
      </c>
      <c r="T973" t="n">
        <v>0</v>
      </c>
      <c r="U973" s="2" t="inlineStr"/>
    </row>
    <row r="974" ht="15" customHeight="1">
      <c r="A974" t="inlineStr">
        <is>
          <t>A 26250-2025</t>
        </is>
      </c>
      <c r="B974" t="inlineStr">
        <is>
          <t>avverkningsanmälan</t>
        </is>
      </c>
      <c r="C974" t="inlineStr">
        <is>
          <t>Föryngringsavverkning</t>
        </is>
      </c>
      <c r="D974" s="1" t="n">
        <v>45805</v>
      </c>
      <c r="E974" s="1" t="n">
        <v>46219</v>
      </c>
      <c r="F974" t="inlineStr">
        <is>
          <t>VÄRMLANDS LÄN</t>
        </is>
      </c>
      <c r="G974" t="inlineStr">
        <is>
          <t>SUNNE</t>
        </is>
      </c>
      <c r="I974" t="n">
        <v>1.5</v>
      </c>
      <c r="J974" t="n">
        <v>0</v>
      </c>
      <c r="K974" t="n">
        <v>0</v>
      </c>
      <c r="L974" t="n">
        <v>0</v>
      </c>
      <c r="M974" t="n">
        <v>0</v>
      </c>
      <c r="N974" t="n">
        <v>0</v>
      </c>
      <c r="O974" t="n">
        <v>0</v>
      </c>
      <c r="P974" t="n">
        <v>0</v>
      </c>
      <c r="Q974" t="n">
        <v>0</v>
      </c>
      <c r="R974" t="n">
        <v>0</v>
      </c>
      <c r="S974" t="n">
        <v>0</v>
      </c>
      <c r="T974" t="n">
        <v>0</v>
      </c>
      <c r="U974" s="2" t="inlineStr"/>
    </row>
    <row r="975" ht="15" customHeight="1">
      <c r="A975" t="inlineStr">
        <is>
          <t>A 50825-2024</t>
        </is>
      </c>
      <c r="B975" t="inlineStr">
        <is>
          <t>avverkningsanmälan</t>
        </is>
      </c>
      <c r="C975" t="inlineStr">
        <is>
          <t>Föryngringsavverkning</t>
        </is>
      </c>
      <c r="D975" s="1" t="n">
        <v>45602</v>
      </c>
      <c r="E975" s="1" t="n">
        <v>46219</v>
      </c>
      <c r="F975" t="inlineStr">
        <is>
          <t>VÄRMLANDS LÄN</t>
        </is>
      </c>
      <c r="G975" t="inlineStr">
        <is>
          <t>SUNNE</t>
        </is>
      </c>
      <c r="I975" t="n">
        <v>7.3</v>
      </c>
      <c r="J975" t="n">
        <v>0</v>
      </c>
      <c r="K975" t="n">
        <v>0</v>
      </c>
      <c r="L975" t="n">
        <v>0</v>
      </c>
      <c r="M975" t="n">
        <v>0</v>
      </c>
      <c r="N975" t="n">
        <v>0</v>
      </c>
      <c r="O975" t="n">
        <v>0</v>
      </c>
      <c r="P975" t="n">
        <v>0</v>
      </c>
      <c r="Q975" t="n">
        <v>0</v>
      </c>
      <c r="R975" t="n">
        <v>0</v>
      </c>
      <c r="S975" t="n">
        <v>0</v>
      </c>
      <c r="T975" t="n">
        <v>0</v>
      </c>
      <c r="U975" s="2" t="inlineStr"/>
    </row>
    <row r="976" ht="15" customHeight="1">
      <c r="A976" t="inlineStr">
        <is>
          <t>A 47460-2023</t>
        </is>
      </c>
      <c r="B976" t="inlineStr">
        <is>
          <t>avverkningsanmälan</t>
        </is>
      </c>
      <c r="C976" t="inlineStr">
        <is>
          <t>Föryngringsavverkning</t>
        </is>
      </c>
      <c r="D976" s="1" t="n">
        <v>45202</v>
      </c>
      <c r="E976" s="1" t="n">
        <v>46219</v>
      </c>
      <c r="F976" t="inlineStr">
        <is>
          <t>VÄRMLANDS LÄN</t>
        </is>
      </c>
      <c r="G976" t="inlineStr">
        <is>
          <t>SUNNE</t>
        </is>
      </c>
      <c r="I976" t="n">
        <v>14.2</v>
      </c>
      <c r="J976" t="n">
        <v>0</v>
      </c>
      <c r="K976" t="n">
        <v>0</v>
      </c>
      <c r="L976" t="n">
        <v>0</v>
      </c>
      <c r="M976" t="n">
        <v>0</v>
      </c>
      <c r="N976" t="n">
        <v>0</v>
      </c>
      <c r="O976" t="n">
        <v>0</v>
      </c>
      <c r="P976" t="n">
        <v>0</v>
      </c>
      <c r="Q976" t="n">
        <v>0</v>
      </c>
      <c r="R976" t="n">
        <v>0</v>
      </c>
      <c r="S976" t="n">
        <v>0</v>
      </c>
      <c r="T976" t="n">
        <v>0</v>
      </c>
      <c r="U976" s="2" t="inlineStr"/>
    </row>
    <row r="977" ht="15" customHeight="1">
      <c r="A977" t="inlineStr">
        <is>
          <t>A 3336-2024</t>
        </is>
      </c>
      <c r="B977" t="inlineStr">
        <is>
          <t>avverkningsanmälan</t>
        </is>
      </c>
      <c r="C977" t="inlineStr">
        <is>
          <t>Föryngringsavverkning</t>
        </is>
      </c>
      <c r="D977" s="1" t="n">
        <v>45317</v>
      </c>
      <c r="E977" s="1" t="n">
        <v>46219</v>
      </c>
      <c r="F977" t="inlineStr">
        <is>
          <t>VÄRMLANDS LÄN</t>
        </is>
      </c>
      <c r="G977" t="inlineStr">
        <is>
          <t>SUNNE</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26121-2025</t>
        </is>
      </c>
      <c r="B978" t="inlineStr">
        <is>
          <t>avverkningsanmälan</t>
        </is>
      </c>
      <c r="C978" t="inlineStr">
        <is>
          <t>Föryngringsavverkning</t>
        </is>
      </c>
      <c r="D978" s="1" t="n">
        <v>45805</v>
      </c>
      <c r="E978" s="1" t="n">
        <v>46219</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26370-2025</t>
        </is>
      </c>
      <c r="B979" t="inlineStr">
        <is>
          <t>avverkningsanmälan</t>
        </is>
      </c>
      <c r="C979" t="inlineStr">
        <is>
          <t>Föryngringsavverkning</t>
        </is>
      </c>
      <c r="D979" s="1" t="n">
        <v>45806</v>
      </c>
      <c r="E979" s="1" t="n">
        <v>46219</v>
      </c>
      <c r="F979" t="inlineStr">
        <is>
          <t>VÄRMLANDS LÄN</t>
        </is>
      </c>
      <c r="G979" t="inlineStr">
        <is>
          <t>SUNNE</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261-2023</t>
        </is>
      </c>
      <c r="B980" t="inlineStr">
        <is>
          <t>avverkningsanmälan</t>
        </is>
      </c>
      <c r="C980" t="inlineStr">
        <is>
          <t>Föryngringsavverkning</t>
        </is>
      </c>
      <c r="D980" s="1" t="n">
        <v>44928</v>
      </c>
      <c r="E980" s="1" t="n">
        <v>46219</v>
      </c>
      <c r="F980" t="inlineStr">
        <is>
          <t>VÄRMLANDS LÄN</t>
        </is>
      </c>
      <c r="G980" t="inlineStr">
        <is>
          <t>SUNNE</t>
        </is>
      </c>
      <c r="I980" t="n">
        <v>1</v>
      </c>
      <c r="J980" t="n">
        <v>0</v>
      </c>
      <c r="K980" t="n">
        <v>0</v>
      </c>
      <c r="L980" t="n">
        <v>0</v>
      </c>
      <c r="M980" t="n">
        <v>0</v>
      </c>
      <c r="N980" t="n">
        <v>0</v>
      </c>
      <c r="O980" t="n">
        <v>0</v>
      </c>
      <c r="P980" t="n">
        <v>0</v>
      </c>
      <c r="Q980" t="n">
        <v>0</v>
      </c>
      <c r="R980" t="n">
        <v>0</v>
      </c>
      <c r="S980" t="n">
        <v>0</v>
      </c>
      <c r="T980" t="n">
        <v>0</v>
      </c>
      <c r="U980" s="2" t="inlineStr"/>
    </row>
    <row r="981" ht="15" customHeight="1">
      <c r="A981" t="inlineStr">
        <is>
          <t>A 16149-2026</t>
        </is>
      </c>
      <c r="B981" t="inlineStr">
        <is>
          <t>avverkningsanmälan</t>
        </is>
      </c>
      <c r="C981" t="inlineStr">
        <is>
          <t>Föryngringsavverkning</t>
        </is>
      </c>
      <c r="D981" s="1" t="n">
        <v>46108</v>
      </c>
      <c r="E981" s="1" t="n">
        <v>46219</v>
      </c>
      <c r="F981" t="inlineStr">
        <is>
          <t>VÄRMLANDS LÄN</t>
        </is>
      </c>
      <c r="G981" t="inlineStr">
        <is>
          <t>SUNNE</t>
        </is>
      </c>
      <c r="I981" t="n">
        <v>2.6</v>
      </c>
      <c r="J981" t="n">
        <v>0</v>
      </c>
      <c r="K981" t="n">
        <v>0</v>
      </c>
      <c r="L981" t="n">
        <v>0</v>
      </c>
      <c r="M981" t="n">
        <v>0</v>
      </c>
      <c r="N981" t="n">
        <v>0</v>
      </c>
      <c r="O981" t="n">
        <v>0</v>
      </c>
      <c r="P981" t="n">
        <v>0</v>
      </c>
      <c r="Q981" t="n">
        <v>0</v>
      </c>
      <c r="R981" t="n">
        <v>0</v>
      </c>
      <c r="S981" t="n">
        <v>0</v>
      </c>
      <c r="T981" t="n">
        <v>0</v>
      </c>
      <c r="U981" s="2" t="inlineStr"/>
    </row>
    <row r="982" ht="15" customHeight="1">
      <c r="A982" t="inlineStr">
        <is>
          <t>A 33623-2022</t>
        </is>
      </c>
      <c r="B982" t="inlineStr">
        <is>
          <t>avverkningsanmälan</t>
        </is>
      </c>
      <c r="C982" t="inlineStr">
        <is>
          <t>Föryngringsavverkning</t>
        </is>
      </c>
      <c r="D982" s="1" t="n">
        <v>44789</v>
      </c>
      <c r="E982" s="1" t="n">
        <v>46219</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2332-2025</t>
        </is>
      </c>
      <c r="B983" t="inlineStr">
        <is>
          <t>avverkningsanmälan</t>
        </is>
      </c>
      <c r="C983" t="inlineStr">
        <is>
          <t>Föryngringsavverkning</t>
        </is>
      </c>
      <c r="D983" s="1" t="n">
        <v>45673</v>
      </c>
      <c r="E983" s="1" t="n">
        <v>46219</v>
      </c>
      <c r="F983" t="inlineStr">
        <is>
          <t>VÄRMLANDS LÄN</t>
        </is>
      </c>
      <c r="G983" t="inlineStr">
        <is>
          <t>SUNNE</t>
        </is>
      </c>
      <c r="I983" t="n">
        <v>4.2</v>
      </c>
      <c r="J983" t="n">
        <v>0</v>
      </c>
      <c r="K983" t="n">
        <v>0</v>
      </c>
      <c r="L983" t="n">
        <v>0</v>
      </c>
      <c r="M983" t="n">
        <v>0</v>
      </c>
      <c r="N983" t="n">
        <v>0</v>
      </c>
      <c r="O983" t="n">
        <v>0</v>
      </c>
      <c r="P983" t="n">
        <v>0</v>
      </c>
      <c r="Q983" t="n">
        <v>0</v>
      </c>
      <c r="R983" t="n">
        <v>0</v>
      </c>
      <c r="S983" t="n">
        <v>0</v>
      </c>
      <c r="T983" t="n">
        <v>0</v>
      </c>
      <c r="U983" s="2" t="inlineStr"/>
    </row>
    <row r="984" ht="15" customHeight="1">
      <c r="A984" t="inlineStr">
        <is>
          <t>A 7287-2025</t>
        </is>
      </c>
      <c r="B984" t="inlineStr">
        <is>
          <t>avverkningsanmälan</t>
        </is>
      </c>
      <c r="C984" t="inlineStr">
        <is>
          <t>Föryngringsavverkning</t>
        </is>
      </c>
      <c r="D984" s="1" t="n">
        <v>45702</v>
      </c>
      <c r="E984" s="1" t="n">
        <v>46219</v>
      </c>
      <c r="F984" t="inlineStr">
        <is>
          <t>VÄRMLANDS LÄN</t>
        </is>
      </c>
      <c r="G984" t="inlineStr">
        <is>
          <t>SUNNE</t>
        </is>
      </c>
      <c r="H984" t="inlineStr">
        <is>
          <t>Bergvik skog väst AB</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64582-2023</t>
        </is>
      </c>
      <c r="B985" t="inlineStr">
        <is>
          <t>avverkningsanmälan</t>
        </is>
      </c>
      <c r="C985" t="inlineStr">
        <is>
          <t>Föryngringsavverkning</t>
        </is>
      </c>
      <c r="D985" s="1" t="n">
        <v>45281</v>
      </c>
      <c r="E985" s="1" t="n">
        <v>46219</v>
      </c>
      <c r="F985" t="inlineStr">
        <is>
          <t>VÄRMLANDS LÄN</t>
        </is>
      </c>
      <c r="G985" t="inlineStr">
        <is>
          <t>SUNNE</t>
        </is>
      </c>
      <c r="I985" t="n">
        <v>0.9</v>
      </c>
      <c r="J985" t="n">
        <v>0</v>
      </c>
      <c r="K985" t="n">
        <v>0</v>
      </c>
      <c r="L985" t="n">
        <v>0</v>
      </c>
      <c r="M985" t="n">
        <v>0</v>
      </c>
      <c r="N985" t="n">
        <v>0</v>
      </c>
      <c r="O985" t="n">
        <v>0</v>
      </c>
      <c r="P985" t="n">
        <v>0</v>
      </c>
      <c r="Q985" t="n">
        <v>0</v>
      </c>
      <c r="R985" t="n">
        <v>0</v>
      </c>
      <c r="S985" t="n">
        <v>0</v>
      </c>
      <c r="T985" t="n">
        <v>0</v>
      </c>
      <c r="U985" s="2" t="inlineStr"/>
    </row>
    <row r="986" ht="15" customHeight="1">
      <c r="A986" t="inlineStr">
        <is>
          <t>A 3083-2024</t>
        </is>
      </c>
      <c r="B986" t="inlineStr">
        <is>
          <t>avverkningsanmälan</t>
        </is>
      </c>
      <c r="C986" t="inlineStr">
        <is>
          <t>Föryngringsavverkning</t>
        </is>
      </c>
      <c r="D986" s="1" t="n">
        <v>45316</v>
      </c>
      <c r="E986" s="1" t="n">
        <v>46219</v>
      </c>
      <c r="F986" t="inlineStr">
        <is>
          <t>VÄRMLANDS LÄN</t>
        </is>
      </c>
      <c r="G986" t="inlineStr">
        <is>
          <t>SUNNE</t>
        </is>
      </c>
      <c r="H986" t="inlineStr">
        <is>
          <t>Kommuner</t>
        </is>
      </c>
      <c r="I986" t="n">
        <v>0.4</v>
      </c>
      <c r="J986" t="n">
        <v>0</v>
      </c>
      <c r="K986" t="n">
        <v>0</v>
      </c>
      <c r="L986" t="n">
        <v>0</v>
      </c>
      <c r="M986" t="n">
        <v>0</v>
      </c>
      <c r="N986" t="n">
        <v>0</v>
      </c>
      <c r="O986" t="n">
        <v>0</v>
      </c>
      <c r="P986" t="n">
        <v>0</v>
      </c>
      <c r="Q986" t="n">
        <v>0</v>
      </c>
      <c r="R986" t="n">
        <v>0</v>
      </c>
      <c r="S986" t="n">
        <v>0</v>
      </c>
      <c r="T986" t="n">
        <v>0</v>
      </c>
      <c r="U986" s="2" t="inlineStr"/>
    </row>
    <row r="987" ht="15" customHeight="1">
      <c r="A987" t="inlineStr">
        <is>
          <t>A 16437-2026</t>
        </is>
      </c>
      <c r="B987" t="inlineStr">
        <is>
          <t>avverkningsanmälan</t>
        </is>
      </c>
      <c r="C987" t="inlineStr">
        <is>
          <t>Avverkning för annat ändamål</t>
        </is>
      </c>
      <c r="D987" s="1" t="n">
        <v>46111</v>
      </c>
      <c r="E987" s="1" t="n">
        <v>46219</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58757-2021</t>
        </is>
      </c>
      <c r="B988" t="inlineStr">
        <is>
          <t>avverkningsanmälan</t>
        </is>
      </c>
      <c r="C988" t="inlineStr">
        <is>
          <t>Föryngringsavverkning</t>
        </is>
      </c>
      <c r="D988" s="1" t="n">
        <v>44489</v>
      </c>
      <c r="E988" s="1" t="n">
        <v>46219</v>
      </c>
      <c r="F988" t="inlineStr">
        <is>
          <t>VÄRMLANDS LÄN</t>
        </is>
      </c>
      <c r="G988" t="inlineStr">
        <is>
          <t>SUNNE</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15710-2024</t>
        </is>
      </c>
      <c r="B989" t="inlineStr">
        <is>
          <t>avverkningsanmälan</t>
        </is>
      </c>
      <c r="C989" t="inlineStr">
        <is>
          <t>Föryngringsavverkning</t>
        </is>
      </c>
      <c r="D989" s="1" t="n">
        <v>45404</v>
      </c>
      <c r="E989" s="1" t="n">
        <v>46219</v>
      </c>
      <c r="F989" t="inlineStr">
        <is>
          <t>VÄRMLANDS LÄN</t>
        </is>
      </c>
      <c r="G989" t="inlineStr">
        <is>
          <t>SUNNE</t>
        </is>
      </c>
      <c r="I989" t="n">
        <v>14.4</v>
      </c>
      <c r="J989" t="n">
        <v>0</v>
      </c>
      <c r="K989" t="n">
        <v>0</v>
      </c>
      <c r="L989" t="n">
        <v>0</v>
      </c>
      <c r="M989" t="n">
        <v>0</v>
      </c>
      <c r="N989" t="n">
        <v>0</v>
      </c>
      <c r="O989" t="n">
        <v>0</v>
      </c>
      <c r="P989" t="n">
        <v>0</v>
      </c>
      <c r="Q989" t="n">
        <v>0</v>
      </c>
      <c r="R989" t="n">
        <v>0</v>
      </c>
      <c r="S989" t="n">
        <v>0</v>
      </c>
      <c r="T989" t="n">
        <v>0</v>
      </c>
      <c r="U989" s="2" t="inlineStr"/>
    </row>
    <row r="990" ht="15" customHeight="1">
      <c r="A990" t="inlineStr">
        <is>
          <t>A 48712-2021</t>
        </is>
      </c>
      <c r="B990" t="inlineStr">
        <is>
          <t>avverkningsanmälan</t>
        </is>
      </c>
      <c r="C990" t="inlineStr">
        <is>
          <t>Föryngringsavverkning</t>
        </is>
      </c>
      <c r="D990" s="1" t="n">
        <v>44452</v>
      </c>
      <c r="E990" s="1" t="n">
        <v>46219</v>
      </c>
      <c r="F990" t="inlineStr">
        <is>
          <t>VÄRMLANDS LÄN</t>
        </is>
      </c>
      <c r="G990" t="inlineStr">
        <is>
          <t>SUNNE</t>
        </is>
      </c>
      <c r="I990" t="n">
        <v>3.7</v>
      </c>
      <c r="J990" t="n">
        <v>0</v>
      </c>
      <c r="K990" t="n">
        <v>0</v>
      </c>
      <c r="L990" t="n">
        <v>0</v>
      </c>
      <c r="M990" t="n">
        <v>0</v>
      </c>
      <c r="N990" t="n">
        <v>0</v>
      </c>
      <c r="O990" t="n">
        <v>0</v>
      </c>
      <c r="P990" t="n">
        <v>0</v>
      </c>
      <c r="Q990" t="n">
        <v>0</v>
      </c>
      <c r="R990" t="n">
        <v>0</v>
      </c>
      <c r="S990" t="n">
        <v>0</v>
      </c>
      <c r="T990" t="n">
        <v>0</v>
      </c>
      <c r="U990" s="2" t="inlineStr"/>
    </row>
    <row r="991" ht="15" customHeight="1">
      <c r="A991" t="inlineStr">
        <is>
          <t>A 14119-2024</t>
        </is>
      </c>
      <c r="B991" t="inlineStr">
        <is>
          <t>avverkningsanmälan</t>
        </is>
      </c>
      <c r="C991" t="inlineStr">
        <is>
          <t>Föryngringsavverkning</t>
        </is>
      </c>
      <c r="D991" s="1" t="n">
        <v>45392</v>
      </c>
      <c r="E991" s="1" t="n">
        <v>46219</v>
      </c>
      <c r="F991" t="inlineStr">
        <is>
          <t>VÄRMLANDS LÄN</t>
        </is>
      </c>
      <c r="G991" t="inlineStr">
        <is>
          <t>SUNNE</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17065-2026</t>
        </is>
      </c>
      <c r="B992" t="inlineStr">
        <is>
          <t>avverkningsanmälan</t>
        </is>
      </c>
      <c r="C992" t="inlineStr">
        <is>
          <t>Föryngringsavverkning</t>
        </is>
      </c>
      <c r="D992" s="1" t="n">
        <v>46114</v>
      </c>
      <c r="E992" s="1" t="n">
        <v>46219</v>
      </c>
      <c r="F992" t="inlineStr">
        <is>
          <t>VÄRMLANDS LÄN</t>
        </is>
      </c>
      <c r="G992" t="inlineStr">
        <is>
          <t>SUNNE</t>
        </is>
      </c>
      <c r="I992" t="n">
        <v>1.6</v>
      </c>
      <c r="J992" t="n">
        <v>0</v>
      </c>
      <c r="K992" t="n">
        <v>0</v>
      </c>
      <c r="L992" t="n">
        <v>0</v>
      </c>
      <c r="M992" t="n">
        <v>0</v>
      </c>
      <c r="N992" t="n">
        <v>0</v>
      </c>
      <c r="O992" t="n">
        <v>0</v>
      </c>
      <c r="P992" t="n">
        <v>0</v>
      </c>
      <c r="Q992" t="n">
        <v>0</v>
      </c>
      <c r="R992" t="n">
        <v>0</v>
      </c>
      <c r="S992" t="n">
        <v>0</v>
      </c>
      <c r="T992" t="n">
        <v>0</v>
      </c>
      <c r="U992" s="2" t="inlineStr"/>
    </row>
    <row r="993" ht="15" customHeight="1">
      <c r="A993" t="inlineStr">
        <is>
          <t>A 26877-2025</t>
        </is>
      </c>
      <c r="B993" t="inlineStr">
        <is>
          <t>avverkningsanmälan</t>
        </is>
      </c>
      <c r="C993" t="inlineStr">
        <is>
          <t>Föryngringsavverkning</t>
        </is>
      </c>
      <c r="D993" s="1" t="n">
        <v>45809</v>
      </c>
      <c r="E993" s="1" t="n">
        <v>46219</v>
      </c>
      <c r="F993" t="inlineStr">
        <is>
          <t>VÄRMLANDS LÄN</t>
        </is>
      </c>
      <c r="G993" t="inlineStr">
        <is>
          <t>SUNNE</t>
        </is>
      </c>
      <c r="I993" t="n">
        <v>4.1</v>
      </c>
      <c r="J993" t="n">
        <v>0</v>
      </c>
      <c r="K993" t="n">
        <v>0</v>
      </c>
      <c r="L993" t="n">
        <v>0</v>
      </c>
      <c r="M993" t="n">
        <v>0</v>
      </c>
      <c r="N993" t="n">
        <v>0</v>
      </c>
      <c r="O993" t="n">
        <v>0</v>
      </c>
      <c r="P993" t="n">
        <v>0</v>
      </c>
      <c r="Q993" t="n">
        <v>0</v>
      </c>
      <c r="R993" t="n">
        <v>0</v>
      </c>
      <c r="S993" t="n">
        <v>0</v>
      </c>
      <c r="T993" t="n">
        <v>0</v>
      </c>
      <c r="U993" s="2" t="inlineStr"/>
    </row>
    <row r="994" ht="15" customHeight="1">
      <c r="A994" t="inlineStr">
        <is>
          <t>A 17448-2026</t>
        </is>
      </c>
      <c r="B994" t="inlineStr">
        <is>
          <t>avverkningsanmälan</t>
        </is>
      </c>
      <c r="C994" t="inlineStr">
        <is>
          <t>Föryngringsavverkning</t>
        </is>
      </c>
      <c r="D994" s="1" t="n">
        <v>46114</v>
      </c>
      <c r="E994" s="1" t="n">
        <v>46219</v>
      </c>
      <c r="F994" t="inlineStr">
        <is>
          <t>VÄRMLANDS LÄN</t>
        </is>
      </c>
      <c r="G994" t="inlineStr">
        <is>
          <t>SUNNE</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53535-2024</t>
        </is>
      </c>
      <c r="B995" t="inlineStr">
        <is>
          <t>avverkningsanmälan</t>
        </is>
      </c>
      <c r="C995" t="inlineStr">
        <is>
          <t>Föryngringsavverkning</t>
        </is>
      </c>
      <c r="D995" s="1" t="n">
        <v>45614</v>
      </c>
      <c r="E995" s="1" t="n">
        <v>46219</v>
      </c>
      <c r="F995" t="inlineStr">
        <is>
          <t>VÄRMLANDS LÄN</t>
        </is>
      </c>
      <c r="G995" t="inlineStr">
        <is>
          <t>SUNNE</t>
        </is>
      </c>
      <c r="I995" t="n">
        <v>3</v>
      </c>
      <c r="J995" t="n">
        <v>0</v>
      </c>
      <c r="K995" t="n">
        <v>0</v>
      </c>
      <c r="L995" t="n">
        <v>0</v>
      </c>
      <c r="M995" t="n">
        <v>0</v>
      </c>
      <c r="N995" t="n">
        <v>0</v>
      </c>
      <c r="O995" t="n">
        <v>0</v>
      </c>
      <c r="P995" t="n">
        <v>0</v>
      </c>
      <c r="Q995" t="n">
        <v>0</v>
      </c>
      <c r="R995" t="n">
        <v>0</v>
      </c>
      <c r="S995" t="n">
        <v>0</v>
      </c>
      <c r="T995" t="n">
        <v>0</v>
      </c>
      <c r="U995" s="2" t="inlineStr"/>
    </row>
    <row r="996" ht="15" customHeight="1">
      <c r="A996" t="inlineStr">
        <is>
          <t>A 17322-2026</t>
        </is>
      </c>
      <c r="B996" t="inlineStr">
        <is>
          <t>avverkningsanmälan</t>
        </is>
      </c>
      <c r="C996" t="inlineStr">
        <is>
          <t>Föryngringsavverkning</t>
        </is>
      </c>
      <c r="D996" s="1" t="n">
        <v>46119</v>
      </c>
      <c r="E996" s="1" t="n">
        <v>46219</v>
      </c>
      <c r="F996" t="inlineStr">
        <is>
          <t>VÄRMLANDS LÄN</t>
        </is>
      </c>
      <c r="G996" t="inlineStr">
        <is>
          <t>SUNNE</t>
        </is>
      </c>
      <c r="I996" t="n">
        <v>3.8</v>
      </c>
      <c r="J996" t="n">
        <v>0</v>
      </c>
      <c r="K996" t="n">
        <v>0</v>
      </c>
      <c r="L996" t="n">
        <v>0</v>
      </c>
      <c r="M996" t="n">
        <v>0</v>
      </c>
      <c r="N996" t="n">
        <v>0</v>
      </c>
      <c r="O996" t="n">
        <v>0</v>
      </c>
      <c r="P996" t="n">
        <v>0</v>
      </c>
      <c r="Q996" t="n">
        <v>0</v>
      </c>
      <c r="R996" t="n">
        <v>0</v>
      </c>
      <c r="S996" t="n">
        <v>0</v>
      </c>
      <c r="T996" t="n">
        <v>0</v>
      </c>
      <c r="U996" s="2" t="inlineStr"/>
    </row>
    <row r="997" ht="15" customHeight="1">
      <c r="A997" t="inlineStr">
        <is>
          <t>A 816-2024</t>
        </is>
      </c>
      <c r="B997" t="inlineStr">
        <is>
          <t>avverkningsanmälan</t>
        </is>
      </c>
      <c r="C997" t="inlineStr">
        <is>
          <t>Föryngringsavverkning</t>
        </is>
      </c>
      <c r="D997" s="1" t="n">
        <v>45300</v>
      </c>
      <c r="E997" s="1" t="n">
        <v>46219</v>
      </c>
      <c r="F997" t="inlineStr">
        <is>
          <t>VÄRMLANDS LÄN</t>
        </is>
      </c>
      <c r="G997" t="inlineStr">
        <is>
          <t>SUNNE</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25796-2024</t>
        </is>
      </c>
      <c r="B998" t="inlineStr">
        <is>
          <t>avverkningsanmälan</t>
        </is>
      </c>
      <c r="C998" t="inlineStr">
        <is>
          <t>Föryngringsavverkning</t>
        </is>
      </c>
      <c r="D998" s="1" t="n">
        <v>45467</v>
      </c>
      <c r="E998" s="1" t="n">
        <v>46219</v>
      </c>
      <c r="F998" t="inlineStr">
        <is>
          <t>VÄRMLANDS LÄN</t>
        </is>
      </c>
      <c r="G998" t="inlineStr">
        <is>
          <t>SUNNE</t>
        </is>
      </c>
      <c r="I998" t="n">
        <v>0.4</v>
      </c>
      <c r="J998" t="n">
        <v>0</v>
      </c>
      <c r="K998" t="n">
        <v>0</v>
      </c>
      <c r="L998" t="n">
        <v>0</v>
      </c>
      <c r="M998" t="n">
        <v>0</v>
      </c>
      <c r="N998" t="n">
        <v>0</v>
      </c>
      <c r="O998" t="n">
        <v>0</v>
      </c>
      <c r="P998" t="n">
        <v>0</v>
      </c>
      <c r="Q998" t="n">
        <v>0</v>
      </c>
      <c r="R998" t="n">
        <v>0</v>
      </c>
      <c r="S998" t="n">
        <v>0</v>
      </c>
      <c r="T998" t="n">
        <v>0</v>
      </c>
      <c r="U998" s="2" t="inlineStr"/>
    </row>
    <row r="999" ht="15" customHeight="1">
      <c r="A999" t="inlineStr">
        <is>
          <t>A 9004-2023</t>
        </is>
      </c>
      <c r="B999" t="inlineStr">
        <is>
          <t>avverkningsanmälan</t>
        </is>
      </c>
      <c r="C999" t="inlineStr">
        <is>
          <t>Föryngringsavverkning</t>
        </is>
      </c>
      <c r="D999" s="1" t="n">
        <v>44979</v>
      </c>
      <c r="E999" s="1" t="n">
        <v>46219</v>
      </c>
      <c r="F999" t="inlineStr">
        <is>
          <t>VÄRMLANDS LÄN</t>
        </is>
      </c>
      <c r="G999" t="inlineStr">
        <is>
          <t>SUNNE</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26875-2025</t>
        </is>
      </c>
      <c r="B1000" t="inlineStr">
        <is>
          <t>avverkningsanmälan</t>
        </is>
      </c>
      <c r="C1000" t="inlineStr">
        <is>
          <t>Föryngringsavverkning</t>
        </is>
      </c>
      <c r="D1000" s="1" t="n">
        <v>45809</v>
      </c>
      <c r="E1000" s="1" t="n">
        <v>46219</v>
      </c>
      <c r="F1000" t="inlineStr">
        <is>
          <t>VÄRMLANDS LÄN</t>
        </is>
      </c>
      <c r="G1000" t="inlineStr">
        <is>
          <t>SUNNE</t>
        </is>
      </c>
      <c r="I1000" t="n">
        <v>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51405-2021</t>
        </is>
      </c>
      <c r="B1001" t="inlineStr">
        <is>
          <t>avverkningsanmälan</t>
        </is>
      </c>
      <c r="C1001" t="inlineStr">
        <is>
          <t>Föryngringsavverkning</t>
        </is>
      </c>
      <c r="D1001" s="1" t="n">
        <v>44461</v>
      </c>
      <c r="E1001" s="1" t="n">
        <v>46219</v>
      </c>
      <c r="F1001" t="inlineStr">
        <is>
          <t>VÄRMLANDS LÄN</t>
        </is>
      </c>
      <c r="G1001" t="inlineStr">
        <is>
          <t>SUNNE</t>
        </is>
      </c>
      <c r="I1001" t="n">
        <v>1.1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17196-2026</t>
        </is>
      </c>
      <c r="B1002" t="inlineStr">
        <is>
          <t>avverkningsanmälan</t>
        </is>
      </c>
      <c r="C1002" t="inlineStr">
        <is>
          <t>Föryngringsavverkning</t>
        </is>
      </c>
      <c r="D1002" s="1" t="n">
        <v>46118</v>
      </c>
      <c r="E1002" s="1" t="n">
        <v>46219</v>
      </c>
      <c r="F1002" t="inlineStr">
        <is>
          <t>VÄRMLANDS LÄN</t>
        </is>
      </c>
      <c r="G1002" t="inlineStr">
        <is>
          <t>SUNNE</t>
        </is>
      </c>
      <c r="I1002" t="n">
        <v>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57737-2022</t>
        </is>
      </c>
      <c r="B1003" t="inlineStr">
        <is>
          <t>avverkningsanmälan</t>
        </is>
      </c>
      <c r="C1003" t="inlineStr">
        <is>
          <t>Föryngringsavverkning</t>
        </is>
      </c>
      <c r="D1003" s="1" t="n">
        <v>44897</v>
      </c>
      <c r="E1003" s="1" t="n">
        <v>46219</v>
      </c>
      <c r="F1003" t="inlineStr">
        <is>
          <t>VÄRMLANDS LÄN</t>
        </is>
      </c>
      <c r="G1003" t="inlineStr">
        <is>
          <t>SUNNE</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34017-2024</t>
        </is>
      </c>
      <c r="B1004" t="inlineStr">
        <is>
          <t>avverkningsanmälan</t>
        </is>
      </c>
      <c r="C1004" t="inlineStr">
        <is>
          <t>Föryngringsavverkning</t>
        </is>
      </c>
      <c r="D1004" s="1" t="n">
        <v>45523</v>
      </c>
      <c r="E1004" s="1" t="n">
        <v>46219</v>
      </c>
      <c r="F1004" t="inlineStr">
        <is>
          <t>VÄRMLANDS LÄN</t>
        </is>
      </c>
      <c r="G1004" t="inlineStr">
        <is>
          <t>SUNNE</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2173-2025</t>
        </is>
      </c>
      <c r="B1005" t="inlineStr">
        <is>
          <t>avverkningsanmälan</t>
        </is>
      </c>
      <c r="C1005" t="inlineStr">
        <is>
          <t>Föryngringsavverkning</t>
        </is>
      </c>
      <c r="D1005" s="1" t="n">
        <v>45673</v>
      </c>
      <c r="E1005" s="1" t="n">
        <v>46219</v>
      </c>
      <c r="F1005" t="inlineStr">
        <is>
          <t>VÄRMLANDS LÄN</t>
        </is>
      </c>
      <c r="G1005" t="inlineStr">
        <is>
          <t>SUNNE</t>
        </is>
      </c>
      <c r="I1005" t="n">
        <v>3.7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26876-2025</t>
        </is>
      </c>
      <c r="B1006" t="inlineStr">
        <is>
          <t>avverkningsanmälan</t>
        </is>
      </c>
      <c r="C1006" t="inlineStr">
        <is>
          <t>Föryngringsavverkning</t>
        </is>
      </c>
      <c r="D1006" s="1" t="n">
        <v>45809</v>
      </c>
      <c r="E1006" s="1" t="n">
        <v>46219</v>
      </c>
      <c r="F1006" t="inlineStr">
        <is>
          <t>VÄRMLANDS LÄN</t>
        </is>
      </c>
      <c r="G1006" t="inlineStr">
        <is>
          <t>SUNNE</t>
        </is>
      </c>
      <c r="I1006" t="n">
        <v>2.9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30218-2024</t>
        </is>
      </c>
      <c r="B1007" t="inlineStr">
        <is>
          <t>avverkningsanmälan</t>
        </is>
      </c>
      <c r="C1007" t="inlineStr">
        <is>
          <t>Avverkning för annat ändamål</t>
        </is>
      </c>
      <c r="D1007" s="1" t="n">
        <v>45490</v>
      </c>
      <c r="E1007" s="1" t="n">
        <v>46219</v>
      </c>
      <c r="F1007" t="inlineStr">
        <is>
          <t>VÄRMLANDS LÄN</t>
        </is>
      </c>
      <c r="G1007" t="inlineStr">
        <is>
          <t>SUNNE</t>
        </is>
      </c>
      <c r="H1007" t="inlineStr">
        <is>
          <t>Bergvik skog väst AB</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5008-2025</t>
        </is>
      </c>
      <c r="B1008" t="inlineStr">
        <is>
          <t>avverkningsanmälan</t>
        </is>
      </c>
      <c r="C1008" t="inlineStr">
        <is>
          <t>Föryngringsavverkning</t>
        </is>
      </c>
      <c r="D1008" s="1" t="n">
        <v>45691</v>
      </c>
      <c r="E1008" s="1" t="n">
        <v>46219</v>
      </c>
      <c r="F1008" t="inlineStr">
        <is>
          <t>VÄRMLANDS LÄN</t>
        </is>
      </c>
      <c r="G1008" t="inlineStr">
        <is>
          <t>SUNNE</t>
        </is>
      </c>
      <c r="I1008" t="n">
        <v>1.6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55401-2024</t>
        </is>
      </c>
      <c r="B1009" t="inlineStr">
        <is>
          <t>avverkningsanmälan</t>
        </is>
      </c>
      <c r="C1009" t="inlineStr">
        <is>
          <t>Föryngringsavverkning</t>
        </is>
      </c>
      <c r="D1009" s="1" t="n">
        <v>45622</v>
      </c>
      <c r="E1009" s="1" t="n">
        <v>46219</v>
      </c>
      <c r="F1009" t="inlineStr">
        <is>
          <t>VÄRMLANDS LÄN</t>
        </is>
      </c>
      <c r="G1009" t="inlineStr">
        <is>
          <t>SUNNE</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31221-2024</t>
        </is>
      </c>
      <c r="B1010" t="inlineStr">
        <is>
          <t>avverkningsanmälan</t>
        </is>
      </c>
      <c r="C1010" t="inlineStr">
        <is>
          <t>Föryngringsavverkning</t>
        </is>
      </c>
      <c r="D1010" s="1" t="n">
        <v>45503</v>
      </c>
      <c r="E1010" s="1" t="n">
        <v>46219</v>
      </c>
      <c r="F1010" t="inlineStr">
        <is>
          <t>VÄRMLANDS LÄN</t>
        </is>
      </c>
      <c r="G1010" t="inlineStr">
        <is>
          <t>SUNNE</t>
        </is>
      </c>
      <c r="I1010" t="n">
        <v>2.1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53759-2024</t>
        </is>
      </c>
      <c r="B1011" t="inlineStr">
        <is>
          <t>avverkningsanmälan</t>
        </is>
      </c>
      <c r="C1011" t="inlineStr">
        <is>
          <t>Föryngringsavverkning</t>
        </is>
      </c>
      <c r="D1011" s="1" t="n">
        <v>45615</v>
      </c>
      <c r="E1011" s="1" t="n">
        <v>46219</v>
      </c>
      <c r="F1011" t="inlineStr">
        <is>
          <t>VÄRMLANDS LÄN</t>
        </is>
      </c>
      <c r="G1011" t="inlineStr">
        <is>
          <t>SUNNE</t>
        </is>
      </c>
      <c r="I1011" t="n">
        <v>4.5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38953-2024</t>
        </is>
      </c>
      <c r="B1012" t="inlineStr">
        <is>
          <t>avverkningsanmälan</t>
        </is>
      </c>
      <c r="C1012" t="inlineStr">
        <is>
          <t>Avverkning för annat ändamål</t>
        </is>
      </c>
      <c r="D1012" s="1" t="n">
        <v>45548</v>
      </c>
      <c r="E1012" s="1" t="n">
        <v>46219</v>
      </c>
      <c r="F1012" t="inlineStr">
        <is>
          <t>VÄRMLANDS LÄN</t>
        </is>
      </c>
      <c r="G1012" t="inlineStr">
        <is>
          <t>SUNNE</t>
        </is>
      </c>
      <c r="H1012" t="inlineStr">
        <is>
          <t>Bergvik skog väst AB</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55894-2024</t>
        </is>
      </c>
      <c r="B1013" t="inlineStr">
        <is>
          <t>avverkningsanmälan</t>
        </is>
      </c>
      <c r="C1013" t="inlineStr">
        <is>
          <t>Föryngringsavverkning</t>
        </is>
      </c>
      <c r="D1013" s="1" t="n">
        <v>45623</v>
      </c>
      <c r="E1013" s="1" t="n">
        <v>46219</v>
      </c>
      <c r="F1013" t="inlineStr">
        <is>
          <t>VÄRMLANDS LÄN</t>
        </is>
      </c>
      <c r="G1013" t="inlineStr">
        <is>
          <t>SUNNE</t>
        </is>
      </c>
      <c r="H1013" t="inlineStr">
        <is>
          <t>Övriga Aktiebolag</t>
        </is>
      </c>
      <c r="I1013" t="n">
        <v>5.9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17649-2026</t>
        </is>
      </c>
      <c r="B1014" t="inlineStr">
        <is>
          <t>avverkningsanmälan</t>
        </is>
      </c>
      <c r="C1014" t="inlineStr">
        <is>
          <t>Föryngringsavverkning</t>
        </is>
      </c>
      <c r="D1014" s="1" t="n">
        <v>46121</v>
      </c>
      <c r="E1014" s="1" t="n">
        <v>46219</v>
      </c>
      <c r="F1014" t="inlineStr">
        <is>
          <t>VÄRMLANDS LÄN</t>
        </is>
      </c>
      <c r="G1014" t="inlineStr">
        <is>
          <t>SUNNE</t>
        </is>
      </c>
      <c r="I1014" t="n">
        <v>0.8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17653-2026</t>
        </is>
      </c>
      <c r="B1015" t="inlineStr">
        <is>
          <t>avverkningsanmälan</t>
        </is>
      </c>
      <c r="C1015" t="inlineStr">
        <is>
          <t>Föryngringsavverkning</t>
        </is>
      </c>
      <c r="D1015" s="1" t="n">
        <v>46121</v>
      </c>
      <c r="E1015" s="1" t="n">
        <v>46219</v>
      </c>
      <c r="F1015" t="inlineStr">
        <is>
          <t>VÄRMLANDS LÄN</t>
        </is>
      </c>
      <c r="G1015" t="inlineStr">
        <is>
          <t>SUNNE</t>
        </is>
      </c>
      <c r="I1015" t="n">
        <v>2.6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47277-2024</t>
        </is>
      </c>
      <c r="B1016" t="inlineStr">
        <is>
          <t>avverkningsanmälan</t>
        </is>
      </c>
      <c r="C1016" t="inlineStr">
        <is>
          <t>Föryngringsavverkning</t>
        </is>
      </c>
      <c r="D1016" s="1" t="n">
        <v>45586</v>
      </c>
      <c r="E1016" s="1" t="n">
        <v>46219</v>
      </c>
      <c r="F1016" t="inlineStr">
        <is>
          <t>VÄRMLANDS LÄN</t>
        </is>
      </c>
      <c r="G1016" t="inlineStr">
        <is>
          <t>SUNNE</t>
        </is>
      </c>
      <c r="I1016" t="n">
        <v>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14188-2025</t>
        </is>
      </c>
      <c r="B1017" t="inlineStr">
        <is>
          <t>avverkningsanmälan</t>
        </is>
      </c>
      <c r="C1017" t="inlineStr">
        <is>
          <t>Föryngringsavverkning</t>
        </is>
      </c>
      <c r="D1017" s="1" t="n">
        <v>45740</v>
      </c>
      <c r="E1017" s="1" t="n">
        <v>46219</v>
      </c>
      <c r="F1017" t="inlineStr">
        <is>
          <t>VÄRMLANDS LÄN</t>
        </is>
      </c>
      <c r="G1017" t="inlineStr">
        <is>
          <t>SUNNE</t>
        </is>
      </c>
      <c r="I1017" t="n">
        <v>1.3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18072-2026</t>
        </is>
      </c>
      <c r="B1018" t="inlineStr">
        <is>
          <t>avverkningsanmälan</t>
        </is>
      </c>
      <c r="C1018" t="inlineStr">
        <is>
          <t>Föryngringsavverkning</t>
        </is>
      </c>
      <c r="D1018" s="1" t="n">
        <v>46125</v>
      </c>
      <c r="E1018" s="1" t="n">
        <v>46219</v>
      </c>
      <c r="F1018" t="inlineStr">
        <is>
          <t>VÄRMLANDS LÄN</t>
        </is>
      </c>
      <c r="G1018" t="inlineStr">
        <is>
          <t>SUNNE</t>
        </is>
      </c>
      <c r="H1018" t="inlineStr">
        <is>
          <t>Bergvik skog väst AB</t>
        </is>
      </c>
      <c r="I1018" t="n">
        <v>6.7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26884-2025</t>
        </is>
      </c>
      <c r="B1019" t="inlineStr">
        <is>
          <t>avverkningsanmälan</t>
        </is>
      </c>
      <c r="C1019" t="inlineStr">
        <is>
          <t>Föryngringsavverkning</t>
        </is>
      </c>
      <c r="D1019" s="1" t="n">
        <v>45810</v>
      </c>
      <c r="E1019" s="1" t="n">
        <v>46219</v>
      </c>
      <c r="F1019" t="inlineStr">
        <is>
          <t>VÄRMLANDS LÄN</t>
        </is>
      </c>
      <c r="G1019" t="inlineStr">
        <is>
          <t>SUNNE</t>
        </is>
      </c>
      <c r="I1019" t="n">
        <v>1.9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3637-2025</t>
        </is>
      </c>
      <c r="B1020" t="inlineStr">
        <is>
          <t>avverkningsanmälan</t>
        </is>
      </c>
      <c r="C1020" t="inlineStr">
        <is>
          <t>Föryngringsavverkning</t>
        </is>
      </c>
      <c r="D1020" s="1" t="n">
        <v>45681</v>
      </c>
      <c r="E1020" s="1" t="n">
        <v>46219</v>
      </c>
      <c r="F1020" t="inlineStr">
        <is>
          <t>VÄRMLANDS LÄN</t>
        </is>
      </c>
      <c r="G1020" t="inlineStr">
        <is>
          <t>SUNNE</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18099-2026</t>
        </is>
      </c>
      <c r="B1021" t="inlineStr">
        <is>
          <t>avverkningsanmälan</t>
        </is>
      </c>
      <c r="C1021" t="inlineStr">
        <is>
          <t>Föryngringsavverkning</t>
        </is>
      </c>
      <c r="D1021" s="1" t="n">
        <v>46125</v>
      </c>
      <c r="E1021" s="1" t="n">
        <v>46219</v>
      </c>
      <c r="F1021" t="inlineStr">
        <is>
          <t>VÄRMLANDS LÄN</t>
        </is>
      </c>
      <c r="G1021" t="inlineStr">
        <is>
          <t>SUNNE</t>
        </is>
      </c>
      <c r="H1021" t="inlineStr">
        <is>
          <t>Bergvik skog väst AB</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18128-2026</t>
        </is>
      </c>
      <c r="B1022" t="inlineStr">
        <is>
          <t>avverkningsanmälan</t>
        </is>
      </c>
      <c r="C1022" t="inlineStr">
        <is>
          <t>Föryngringsavverkning</t>
        </is>
      </c>
      <c r="D1022" s="1" t="n">
        <v>46125</v>
      </c>
      <c r="E1022" s="1" t="n">
        <v>46219</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6569-2023</t>
        </is>
      </c>
      <c r="B1023" t="inlineStr">
        <is>
          <t>avverkningsanmälan</t>
        </is>
      </c>
      <c r="C1023" t="inlineStr">
        <is>
          <t>Föryngringsavverkning</t>
        </is>
      </c>
      <c r="D1023" s="1" t="n">
        <v>44966</v>
      </c>
      <c r="E1023" s="1" t="n">
        <v>46219</v>
      </c>
      <c r="F1023" t="inlineStr">
        <is>
          <t>VÄRMLANDS LÄN</t>
        </is>
      </c>
      <c r="G1023" t="inlineStr">
        <is>
          <t>SUNNE</t>
        </is>
      </c>
      <c r="I1023" t="n">
        <v>4.5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14841-2022</t>
        </is>
      </c>
      <c r="B1024" t="inlineStr">
        <is>
          <t>avverkningsanmälan</t>
        </is>
      </c>
      <c r="C1024" t="inlineStr">
        <is>
          <t>Föryngringsavverkning</t>
        </is>
      </c>
      <c r="D1024" s="1" t="n">
        <v>44656</v>
      </c>
      <c r="E1024" s="1" t="n">
        <v>46219</v>
      </c>
      <c r="F1024" t="inlineStr">
        <is>
          <t>VÄRMLANDS LÄN</t>
        </is>
      </c>
      <c r="G1024" t="inlineStr">
        <is>
          <t>SUNNE</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27239-2025</t>
        </is>
      </c>
      <c r="B1025" t="inlineStr">
        <is>
          <t>avverkningsanmälan</t>
        </is>
      </c>
      <c r="C1025" t="inlineStr">
        <is>
          <t>Föryngringsavverkning</t>
        </is>
      </c>
      <c r="D1025" s="1" t="n">
        <v>45812</v>
      </c>
      <c r="E1025" s="1" t="n">
        <v>46219</v>
      </c>
      <c r="F1025" t="inlineStr">
        <is>
          <t>VÄRMLANDS LÄN</t>
        </is>
      </c>
      <c r="G1025" t="inlineStr">
        <is>
          <t>SUNNE</t>
        </is>
      </c>
      <c r="H1025" t="inlineStr">
        <is>
          <t>Bergvik skog väst AB</t>
        </is>
      </c>
      <c r="I1025" t="n">
        <v>3.1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27302-2025</t>
        </is>
      </c>
      <c r="B1026" t="inlineStr">
        <is>
          <t>avverkningsanmälan</t>
        </is>
      </c>
      <c r="C1026" t="inlineStr">
        <is>
          <t>Föryngringsavverkning</t>
        </is>
      </c>
      <c r="D1026" s="1" t="n">
        <v>45812</v>
      </c>
      <c r="E1026" s="1" t="n">
        <v>46219</v>
      </c>
      <c r="F1026" t="inlineStr">
        <is>
          <t>VÄRMLANDS LÄN</t>
        </is>
      </c>
      <c r="G1026" t="inlineStr">
        <is>
          <t>SUNNE</t>
        </is>
      </c>
      <c r="H1026" t="inlineStr">
        <is>
          <t>Bergvik skog väst AB</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55399-2024</t>
        </is>
      </c>
      <c r="B1027" t="inlineStr">
        <is>
          <t>avverkningsanmälan</t>
        </is>
      </c>
      <c r="C1027" t="inlineStr">
        <is>
          <t>Föryngringsavverkning</t>
        </is>
      </c>
      <c r="D1027" s="1" t="n">
        <v>45622</v>
      </c>
      <c r="E1027" s="1" t="n">
        <v>46219</v>
      </c>
      <c r="F1027" t="inlineStr">
        <is>
          <t>VÄRMLANDS LÄN</t>
        </is>
      </c>
      <c r="G1027" t="inlineStr">
        <is>
          <t>SUNNE</t>
        </is>
      </c>
      <c r="I1027" t="n">
        <v>0.5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33992-2024</t>
        </is>
      </c>
      <c r="B1028" t="inlineStr">
        <is>
          <t>avverkningsanmälan</t>
        </is>
      </c>
      <c r="C1028" t="inlineStr">
        <is>
          <t>Föryngringsavverkning</t>
        </is>
      </c>
      <c r="D1028" s="1" t="n">
        <v>45523</v>
      </c>
      <c r="E1028" s="1" t="n">
        <v>46219</v>
      </c>
      <c r="F1028" t="inlineStr">
        <is>
          <t>VÄRMLANDS LÄN</t>
        </is>
      </c>
      <c r="G1028" t="inlineStr">
        <is>
          <t>SUNNE</t>
        </is>
      </c>
      <c r="I1028" t="n">
        <v>0.3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27444-2025</t>
        </is>
      </c>
      <c r="B1029" t="inlineStr">
        <is>
          <t>avverkningsanmälan</t>
        </is>
      </c>
      <c r="C1029" t="inlineStr">
        <is>
          <t>Avverkning för annat ändamål</t>
        </is>
      </c>
      <c r="D1029" s="1" t="n">
        <v>45813</v>
      </c>
      <c r="E1029" s="1" t="n">
        <v>46219</v>
      </c>
      <c r="F1029" t="inlineStr">
        <is>
          <t>VÄRMLANDS LÄN</t>
        </is>
      </c>
      <c r="G1029" t="inlineStr">
        <is>
          <t>SUNNE</t>
        </is>
      </c>
      <c r="H1029" t="inlineStr">
        <is>
          <t>Bergvik skog väst AB</t>
        </is>
      </c>
      <c r="I1029" t="n">
        <v>1.3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18178-2023</t>
        </is>
      </c>
      <c r="B1030" t="inlineStr">
        <is>
          <t>avverkningsanmälan</t>
        </is>
      </c>
      <c r="C1030" t="inlineStr">
        <is>
          <t>Föryngringsavverkning</t>
        </is>
      </c>
      <c r="D1030" s="1" t="n">
        <v>45041</v>
      </c>
      <c r="E1030" s="1" t="n">
        <v>46219</v>
      </c>
      <c r="F1030" t="inlineStr">
        <is>
          <t>VÄRMLANDS LÄN</t>
        </is>
      </c>
      <c r="G1030" t="inlineStr">
        <is>
          <t>SUNNE</t>
        </is>
      </c>
      <c r="I1030" t="n">
        <v>5.5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43283-2021</t>
        </is>
      </c>
      <c r="B1031" t="inlineStr">
        <is>
          <t>avverkningsanmälan</t>
        </is>
      </c>
      <c r="C1031" t="inlineStr">
        <is>
          <t>Föryngringsavverkning</t>
        </is>
      </c>
      <c r="D1031" s="1" t="n">
        <v>44432</v>
      </c>
      <c r="E1031" s="1" t="n">
        <v>46219</v>
      </c>
      <c r="F1031" t="inlineStr">
        <is>
          <t>VÄRMLANDS LÄN</t>
        </is>
      </c>
      <c r="G1031" t="inlineStr">
        <is>
          <t>SUNNE</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18524-2026</t>
        </is>
      </c>
      <c r="B1032" t="inlineStr">
        <is>
          <t>avverkningsanmälan</t>
        </is>
      </c>
      <c r="C1032" t="inlineStr">
        <is>
          <t>Föryngringsavverkning</t>
        </is>
      </c>
      <c r="D1032" s="1" t="n">
        <v>46127</v>
      </c>
      <c r="E1032" s="1" t="n">
        <v>46219</v>
      </c>
      <c r="F1032" t="inlineStr">
        <is>
          <t>VÄRMLANDS LÄN</t>
        </is>
      </c>
      <c r="G1032" t="inlineStr">
        <is>
          <t>SUNNE</t>
        </is>
      </c>
      <c r="H1032" t="inlineStr">
        <is>
          <t>Bergvik skog väst AB</t>
        </is>
      </c>
      <c r="I1032" t="n">
        <v>4.5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36177-2023</t>
        </is>
      </c>
      <c r="B1033" t="inlineStr">
        <is>
          <t>avverkningsanmälan</t>
        </is>
      </c>
      <c r="C1033" t="inlineStr">
        <is>
          <t>Föryngringsavverkning</t>
        </is>
      </c>
      <c r="D1033" s="1" t="n">
        <v>45149</v>
      </c>
      <c r="E1033" s="1" t="n">
        <v>46219</v>
      </c>
      <c r="F1033" t="inlineStr">
        <is>
          <t>VÄRMLANDS LÄN</t>
        </is>
      </c>
      <c r="G1033" t="inlineStr">
        <is>
          <t>SUNNE</t>
        </is>
      </c>
      <c r="I1033" t="n">
        <v>2.6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20615-2024</t>
        </is>
      </c>
      <c r="B1034" t="inlineStr">
        <is>
          <t>avverkningsanmälan</t>
        </is>
      </c>
      <c r="C1034" t="inlineStr">
        <is>
          <t>Föryngringsavverkning</t>
        </is>
      </c>
      <c r="D1034" s="1" t="n">
        <v>45436</v>
      </c>
      <c r="E1034" s="1" t="n">
        <v>46219</v>
      </c>
      <c r="F1034" t="inlineStr">
        <is>
          <t>VÄRMLANDS LÄN</t>
        </is>
      </c>
      <c r="G1034" t="inlineStr">
        <is>
          <t>SUNNE</t>
        </is>
      </c>
      <c r="I1034" t="n">
        <v>2.8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19449-2026</t>
        </is>
      </c>
      <c r="B1035" t="inlineStr">
        <is>
          <t>avverkningsanmälan</t>
        </is>
      </c>
      <c r="C1035" t="inlineStr">
        <is>
          <t>Föryngringsavverkning</t>
        </is>
      </c>
      <c r="D1035" s="1" t="n">
        <v>46129</v>
      </c>
      <c r="E1035" s="1" t="n">
        <v>46219</v>
      </c>
      <c r="F1035" t="inlineStr">
        <is>
          <t>VÄRMLANDS LÄN</t>
        </is>
      </c>
      <c r="G1035" t="inlineStr">
        <is>
          <t>SUNNE</t>
        </is>
      </c>
      <c r="I1035" t="n">
        <v>2.1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18886-2026</t>
        </is>
      </c>
      <c r="B1036" t="inlineStr">
        <is>
          <t>avverkningsanmälan</t>
        </is>
      </c>
      <c r="C1036" t="inlineStr">
        <is>
          <t>Föryngringsavverkning</t>
        </is>
      </c>
      <c r="D1036" s="1" t="n">
        <v>46129</v>
      </c>
      <c r="E1036" s="1" t="n">
        <v>46219</v>
      </c>
      <c r="F1036" t="inlineStr">
        <is>
          <t>VÄRMLANDS LÄN</t>
        </is>
      </c>
      <c r="G1036" t="inlineStr">
        <is>
          <t>SUNNE</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48021-2023</t>
        </is>
      </c>
      <c r="B1037" t="inlineStr">
        <is>
          <t>avverkningsanmälan</t>
        </is>
      </c>
      <c r="C1037" t="inlineStr">
        <is>
          <t>Föryngringsavverkning</t>
        </is>
      </c>
      <c r="D1037" s="1" t="n">
        <v>45204</v>
      </c>
      <c r="E1037" s="1" t="n">
        <v>46219</v>
      </c>
      <c r="F1037" t="inlineStr">
        <is>
          <t>VÄRMLANDS LÄN</t>
        </is>
      </c>
      <c r="G1037" t="inlineStr">
        <is>
          <t>SUNNE</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18885-2026</t>
        </is>
      </c>
      <c r="B1038" t="inlineStr">
        <is>
          <t>avverkningsanmälan</t>
        </is>
      </c>
      <c r="C1038" t="inlineStr">
        <is>
          <t>Föryngringsavverkning</t>
        </is>
      </c>
      <c r="D1038" s="1" t="n">
        <v>46129</v>
      </c>
      <c r="E1038" s="1" t="n">
        <v>46219</v>
      </c>
      <c r="F1038" t="inlineStr">
        <is>
          <t>VÄRMLANDS LÄN</t>
        </is>
      </c>
      <c r="G1038" t="inlineStr">
        <is>
          <t>SUNNE</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19438-2026</t>
        </is>
      </c>
      <c r="B1039" t="inlineStr">
        <is>
          <t>avverkningsanmälan</t>
        </is>
      </c>
      <c r="C1039" t="inlineStr">
        <is>
          <t>Föryngringsavverkning</t>
        </is>
      </c>
      <c r="D1039" s="1" t="n">
        <v>46129</v>
      </c>
      <c r="E1039" s="1" t="n">
        <v>46219</v>
      </c>
      <c r="F1039" t="inlineStr">
        <is>
          <t>VÄRMLANDS LÄN</t>
        </is>
      </c>
      <c r="G1039" t="inlineStr">
        <is>
          <t>SUNNE</t>
        </is>
      </c>
      <c r="I1039" t="n">
        <v>2.5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19034-2026</t>
        </is>
      </c>
      <c r="B1040" t="inlineStr">
        <is>
          <t>avverkningsanmälan</t>
        </is>
      </c>
      <c r="C1040" t="inlineStr">
        <is>
          <t>Föryngringsavverkning</t>
        </is>
      </c>
      <c r="D1040" s="1" t="n">
        <v>46131</v>
      </c>
      <c r="E1040" s="1" t="n">
        <v>46219</v>
      </c>
      <c r="F1040" t="inlineStr">
        <is>
          <t>VÄRMLANDS LÄN</t>
        </is>
      </c>
      <c r="G1040" t="inlineStr">
        <is>
          <t>SUNNE</t>
        </is>
      </c>
      <c r="I1040" t="n">
        <v>5.7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3995-2022</t>
        </is>
      </c>
      <c r="B1041" t="inlineStr">
        <is>
          <t>avverkningsanmälan</t>
        </is>
      </c>
      <c r="C1041" t="inlineStr">
        <is>
          <t>Föryngringsavverkning</t>
        </is>
      </c>
      <c r="D1041" s="1" t="n">
        <v>44587</v>
      </c>
      <c r="E1041" s="1" t="n">
        <v>46219</v>
      </c>
      <c r="F1041" t="inlineStr">
        <is>
          <t>VÄRMLANDS LÄN</t>
        </is>
      </c>
      <c r="G1041" t="inlineStr">
        <is>
          <t>SUNNE</t>
        </is>
      </c>
      <c r="I1041" t="n">
        <v>4.4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32371-2024</t>
        </is>
      </c>
      <c r="B1042" t="inlineStr">
        <is>
          <t>avverkningsanmälan</t>
        </is>
      </c>
      <c r="C1042" t="inlineStr">
        <is>
          <t>Föryngringsavverkning</t>
        </is>
      </c>
      <c r="D1042" s="1" t="n">
        <v>45512</v>
      </c>
      <c r="E1042" s="1" t="n">
        <v>46219</v>
      </c>
      <c r="F1042" t="inlineStr">
        <is>
          <t>VÄRMLANDS LÄN</t>
        </is>
      </c>
      <c r="G1042" t="inlineStr">
        <is>
          <t>SUNNE</t>
        </is>
      </c>
      <c r="I1042" t="n">
        <v>3.3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24172-2023</t>
        </is>
      </c>
      <c r="B1043" t="inlineStr">
        <is>
          <t>avverkningsanmälan</t>
        </is>
      </c>
      <c r="C1043" t="inlineStr">
        <is>
          <t>Föryngringsavverkning</t>
        </is>
      </c>
      <c r="D1043" s="1" t="n">
        <v>45079</v>
      </c>
      <c r="E1043" s="1" t="n">
        <v>46219</v>
      </c>
      <c r="F1043" t="inlineStr">
        <is>
          <t>VÄRMLANDS LÄN</t>
        </is>
      </c>
      <c r="G1043" t="inlineStr">
        <is>
          <t>SUNNE</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18736-2026</t>
        </is>
      </c>
      <c r="B1044" t="inlineStr">
        <is>
          <t>avverkningsanmälan</t>
        </is>
      </c>
      <c r="C1044" t="inlineStr">
        <is>
          <t>Föryngringsavverkning</t>
        </is>
      </c>
      <c r="D1044" s="1" t="n">
        <v>46128</v>
      </c>
      <c r="E1044" s="1" t="n">
        <v>46219</v>
      </c>
      <c r="F1044" t="inlineStr">
        <is>
          <t>VÄRMLANDS LÄN</t>
        </is>
      </c>
      <c r="G1044" t="inlineStr">
        <is>
          <t>SUNNE</t>
        </is>
      </c>
      <c r="I1044" t="n">
        <v>0.9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19338-2026</t>
        </is>
      </c>
      <c r="B1045" t="inlineStr">
        <is>
          <t>avverkningsanmälan</t>
        </is>
      </c>
      <c r="C1045" t="inlineStr">
        <is>
          <t>Föryngringsavverkning</t>
        </is>
      </c>
      <c r="D1045" s="1" t="n">
        <v>46133</v>
      </c>
      <c r="E1045" s="1" t="n">
        <v>46219</v>
      </c>
      <c r="F1045" t="inlineStr">
        <is>
          <t>VÄRMLANDS LÄN</t>
        </is>
      </c>
      <c r="G1045" t="inlineStr">
        <is>
          <t>SUNNE</t>
        </is>
      </c>
      <c r="I1045" t="n">
        <v>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44312-2024</t>
        </is>
      </c>
      <c r="B1046" t="inlineStr">
        <is>
          <t>avverkningsanmälan</t>
        </is>
      </c>
      <c r="C1046" t="inlineStr">
        <is>
          <t>Föryngringsavverkning</t>
        </is>
      </c>
      <c r="D1046" s="1" t="n">
        <v>45573</v>
      </c>
      <c r="E1046" s="1" t="n">
        <v>46219</v>
      </c>
      <c r="F1046" t="inlineStr">
        <is>
          <t>VÄRMLANDS LÄN</t>
        </is>
      </c>
      <c r="G1046" t="inlineStr">
        <is>
          <t>SUNNE</t>
        </is>
      </c>
      <c r="I1046" t="n">
        <v>2.8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19441-2026</t>
        </is>
      </c>
      <c r="B1047" t="inlineStr">
        <is>
          <t>avverkningsanmälan</t>
        </is>
      </c>
      <c r="C1047" t="inlineStr">
        <is>
          <t>Föryngringsavverkning</t>
        </is>
      </c>
      <c r="D1047" s="1" t="n">
        <v>46133</v>
      </c>
      <c r="E1047" s="1" t="n">
        <v>46219</v>
      </c>
      <c r="F1047" t="inlineStr">
        <is>
          <t>VÄRMLANDS LÄN</t>
        </is>
      </c>
      <c r="G1047" t="inlineStr">
        <is>
          <t>SUNNE</t>
        </is>
      </c>
      <c r="I1047" t="n">
        <v>2.2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19587-2026</t>
        </is>
      </c>
      <c r="B1048" t="inlineStr">
        <is>
          <t>avverkningsanmälan</t>
        </is>
      </c>
      <c r="C1048" t="inlineStr">
        <is>
          <t>Föryngringsavverkning</t>
        </is>
      </c>
      <c r="D1048" s="1" t="n">
        <v>46134</v>
      </c>
      <c r="E1048" s="1" t="n">
        <v>46219</v>
      </c>
      <c r="F1048" t="inlineStr">
        <is>
          <t>VÄRMLANDS LÄN</t>
        </is>
      </c>
      <c r="G1048" t="inlineStr">
        <is>
          <t>SUNNE</t>
        </is>
      </c>
      <c r="I1048" t="n">
        <v>2.1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28771-2025</t>
        </is>
      </c>
      <c r="B1049" t="inlineStr">
        <is>
          <t>avverkningsanmälan</t>
        </is>
      </c>
      <c r="C1049" t="inlineStr">
        <is>
          <t>Föryngringsavverkning</t>
        </is>
      </c>
      <c r="D1049" s="1" t="n">
        <v>45820</v>
      </c>
      <c r="E1049" s="1" t="n">
        <v>46219</v>
      </c>
      <c r="F1049" t="inlineStr">
        <is>
          <t>VÄRMLANDS LÄN</t>
        </is>
      </c>
      <c r="G1049" t="inlineStr">
        <is>
          <t>SUNNE</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19677-2026</t>
        </is>
      </c>
      <c r="B1050" t="inlineStr">
        <is>
          <t>avverkningsanmälan</t>
        </is>
      </c>
      <c r="C1050" t="inlineStr">
        <is>
          <t>Föryngringsavverkning</t>
        </is>
      </c>
      <c r="D1050" s="1" t="n">
        <v>46134</v>
      </c>
      <c r="E1050" s="1" t="n">
        <v>46219</v>
      </c>
      <c r="F1050" t="inlineStr">
        <is>
          <t>VÄRMLANDS LÄN</t>
        </is>
      </c>
      <c r="G1050" t="inlineStr">
        <is>
          <t>SUNNE</t>
        </is>
      </c>
      <c r="I1050" t="n">
        <v>4.3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2173-2023</t>
        </is>
      </c>
      <c r="B1051" t="inlineStr">
        <is>
          <t>avverkningsanmälan</t>
        </is>
      </c>
      <c r="C1051" t="inlineStr">
        <is>
          <t>Föryngringsavverkning</t>
        </is>
      </c>
      <c r="D1051" s="1" t="n">
        <v>44941</v>
      </c>
      <c r="E1051" s="1" t="n">
        <v>46219</v>
      </c>
      <c r="F1051" t="inlineStr">
        <is>
          <t>VÄRMLANDS LÄN</t>
        </is>
      </c>
      <c r="G1051" t="inlineStr">
        <is>
          <t>SUNNE</t>
        </is>
      </c>
      <c r="I1051" t="n">
        <v>0.4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28772-2025</t>
        </is>
      </c>
      <c r="B1052" t="inlineStr">
        <is>
          <t>avverkningsanmälan</t>
        </is>
      </c>
      <c r="C1052" t="inlineStr">
        <is>
          <t>Föryngringsavverkning</t>
        </is>
      </c>
      <c r="D1052" s="1" t="n">
        <v>45820</v>
      </c>
      <c r="E1052" s="1" t="n">
        <v>46219</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28834-2025</t>
        </is>
      </c>
      <c r="B1053" t="inlineStr">
        <is>
          <t>avverkningsanmälan</t>
        </is>
      </c>
      <c r="C1053" t="inlineStr">
        <is>
          <t>Föryngringsavverkning</t>
        </is>
      </c>
      <c r="D1053" s="1" t="n">
        <v>45820</v>
      </c>
      <c r="E1053" s="1" t="n">
        <v>46219</v>
      </c>
      <c r="F1053" t="inlineStr">
        <is>
          <t>VÄRMLANDS LÄN</t>
        </is>
      </c>
      <c r="G1053" t="inlineStr">
        <is>
          <t>SUNNE</t>
        </is>
      </c>
      <c r="H1053" t="inlineStr">
        <is>
          <t>Kyrkan</t>
        </is>
      </c>
      <c r="I1053" t="n">
        <v>4.7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48729-2024</t>
        </is>
      </c>
      <c r="B1054" t="inlineStr">
        <is>
          <t>avverkningsanmälan</t>
        </is>
      </c>
      <c r="C1054" t="inlineStr">
        <is>
          <t>Föryngringsavverkning</t>
        </is>
      </c>
      <c r="D1054" s="1" t="n">
        <v>45593</v>
      </c>
      <c r="E1054" s="1" t="n">
        <v>46219</v>
      </c>
      <c r="F1054" t="inlineStr">
        <is>
          <t>VÄRMLANDS LÄN</t>
        </is>
      </c>
      <c r="G1054" t="inlineStr">
        <is>
          <t>SUNNE</t>
        </is>
      </c>
      <c r="H1054" t="inlineStr">
        <is>
          <t>Kommuner</t>
        </is>
      </c>
      <c r="I1054" t="n">
        <v>4.5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19405-2026</t>
        </is>
      </c>
      <c r="B1055" t="inlineStr">
        <is>
          <t>avverkningsanmälan</t>
        </is>
      </c>
      <c r="C1055" t="inlineStr">
        <is>
          <t>Föryngringsavverkning</t>
        </is>
      </c>
      <c r="D1055" s="1" t="n">
        <v>46133</v>
      </c>
      <c r="E1055" s="1" t="n">
        <v>46219</v>
      </c>
      <c r="F1055" t="inlineStr">
        <is>
          <t>VÄRMLANDS LÄN</t>
        </is>
      </c>
      <c r="G1055" t="inlineStr">
        <is>
          <t>SUNNE</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62039-2022</t>
        </is>
      </c>
      <c r="B1056" t="inlineStr">
        <is>
          <t>avverkningsanmälan</t>
        </is>
      </c>
      <c r="C1056" t="inlineStr">
        <is>
          <t>Föryngringsavverkning</t>
        </is>
      </c>
      <c r="D1056" s="1" t="n">
        <v>44918</v>
      </c>
      <c r="E1056" s="1" t="n">
        <v>46219</v>
      </c>
      <c r="F1056" t="inlineStr">
        <is>
          <t>VÄRMLANDS LÄN</t>
        </is>
      </c>
      <c r="G1056" t="inlineStr">
        <is>
          <t>SUNNE</t>
        </is>
      </c>
      <c r="I1056" t="n">
        <v>3.6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19398-2026</t>
        </is>
      </c>
      <c r="B1057" t="inlineStr">
        <is>
          <t>avverkningsanmälan</t>
        </is>
      </c>
      <c r="C1057" t="inlineStr">
        <is>
          <t>Föryngringsavverkning</t>
        </is>
      </c>
      <c r="D1057" s="1" t="n">
        <v>46133</v>
      </c>
      <c r="E1057" s="1" t="n">
        <v>46219</v>
      </c>
      <c r="F1057" t="inlineStr">
        <is>
          <t>VÄRMLANDS LÄN</t>
        </is>
      </c>
      <c r="G1057" t="inlineStr">
        <is>
          <t>SUNNE</t>
        </is>
      </c>
      <c r="I1057" t="n">
        <v>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28525-2025</t>
        </is>
      </c>
      <c r="B1058" t="inlineStr">
        <is>
          <t>avverkningsanmälan</t>
        </is>
      </c>
      <c r="C1058" t="inlineStr">
        <is>
          <t>Föryngringsavverkning</t>
        </is>
      </c>
      <c r="D1058" s="1" t="n">
        <v>45819</v>
      </c>
      <c r="E1058" s="1" t="n">
        <v>46219</v>
      </c>
      <c r="F1058" t="inlineStr">
        <is>
          <t>VÄRMLANDS LÄN</t>
        </is>
      </c>
      <c r="G1058" t="inlineStr">
        <is>
          <t>SUNNE</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64446-2023</t>
        </is>
      </c>
      <c r="B1059" t="inlineStr">
        <is>
          <t>avverkningsanmälan</t>
        </is>
      </c>
      <c r="C1059" t="inlineStr">
        <is>
          <t>Föryngringsavverkning</t>
        </is>
      </c>
      <c r="D1059" s="1" t="n">
        <v>45280</v>
      </c>
      <c r="E1059" s="1" t="n">
        <v>46219</v>
      </c>
      <c r="F1059" t="inlineStr">
        <is>
          <t>VÄRMLANDS LÄN</t>
        </is>
      </c>
      <c r="G1059" t="inlineStr">
        <is>
          <t>SUNNE</t>
        </is>
      </c>
      <c r="I1059" t="n">
        <v>6.7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5347-2022</t>
        </is>
      </c>
      <c r="B1060" t="inlineStr">
        <is>
          <t>avverkningsanmälan</t>
        </is>
      </c>
      <c r="C1060" t="inlineStr">
        <is>
          <t>Föryngringsavverkning</t>
        </is>
      </c>
      <c r="D1060" s="1" t="n">
        <v>44594</v>
      </c>
      <c r="E1060" s="1" t="n">
        <v>46219</v>
      </c>
      <c r="F1060" t="inlineStr">
        <is>
          <t>VÄRMLANDS LÄN</t>
        </is>
      </c>
      <c r="G1060" t="inlineStr">
        <is>
          <t>SUNNE</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39641-2021</t>
        </is>
      </c>
      <c r="B1061" t="inlineStr">
        <is>
          <t>avverkningsanmälan</t>
        </is>
      </c>
      <c r="C1061" t="inlineStr">
        <is>
          <t>Föryngringsavverkning</t>
        </is>
      </c>
      <c r="D1061" s="1" t="n">
        <v>44417</v>
      </c>
      <c r="E1061" s="1" t="n">
        <v>46219</v>
      </c>
      <c r="F1061" t="inlineStr">
        <is>
          <t>VÄRMLANDS LÄN</t>
        </is>
      </c>
      <c r="G1061" t="inlineStr">
        <is>
          <t>SUNNE</t>
        </is>
      </c>
      <c r="I1061" t="n">
        <v>6.5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29178-2025</t>
        </is>
      </c>
      <c r="B1062" t="inlineStr">
        <is>
          <t>avverkningsanmälan</t>
        </is>
      </c>
      <c r="C1062" t="inlineStr">
        <is>
          <t>Föryngringsavverkning</t>
        </is>
      </c>
      <c r="D1062" s="1" t="n">
        <v>45821</v>
      </c>
      <c r="E1062" s="1" t="n">
        <v>46219</v>
      </c>
      <c r="F1062" t="inlineStr">
        <is>
          <t>VÄRMLANDS LÄN</t>
        </is>
      </c>
      <c r="G1062" t="inlineStr">
        <is>
          <t>SUNNE</t>
        </is>
      </c>
      <c r="I1062" t="n">
        <v>2.5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30027-2025</t>
        </is>
      </c>
      <c r="B1063" t="inlineStr">
        <is>
          <t>avverkningsanmälan</t>
        </is>
      </c>
      <c r="C1063" t="inlineStr">
        <is>
          <t>Föryngringsavverkning</t>
        </is>
      </c>
      <c r="D1063" s="1" t="n">
        <v>45826</v>
      </c>
      <c r="E1063" s="1" t="n">
        <v>46219</v>
      </c>
      <c r="F1063" t="inlineStr">
        <is>
          <t>VÄRMLANDS LÄN</t>
        </is>
      </c>
      <c r="G1063" t="inlineStr">
        <is>
          <t>SUNNE</t>
        </is>
      </c>
      <c r="H1063" t="inlineStr">
        <is>
          <t>Bergvik skog väst AB</t>
        </is>
      </c>
      <c r="I1063" t="n">
        <v>7.4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30041-2025</t>
        </is>
      </c>
      <c r="B1064" t="inlineStr">
        <is>
          <t>avverkningsanmälan</t>
        </is>
      </c>
      <c r="C1064" t="inlineStr">
        <is>
          <t>Föryngringsavverkning</t>
        </is>
      </c>
      <c r="D1064" s="1" t="n">
        <v>45826</v>
      </c>
      <c r="E1064" s="1" t="n">
        <v>46219</v>
      </c>
      <c r="F1064" t="inlineStr">
        <is>
          <t>VÄRMLANDS LÄN</t>
        </is>
      </c>
      <c r="G1064" t="inlineStr">
        <is>
          <t>SUNNE</t>
        </is>
      </c>
      <c r="H1064" t="inlineStr">
        <is>
          <t>Bergvik skog väst AB</t>
        </is>
      </c>
      <c r="I1064" t="n">
        <v>4.5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29948-2025</t>
        </is>
      </c>
      <c r="B1065" t="inlineStr">
        <is>
          <t>avverkningsanmälan</t>
        </is>
      </c>
      <c r="C1065" t="inlineStr">
        <is>
          <t>Föryngringsavverkning</t>
        </is>
      </c>
      <c r="D1065" s="1" t="n">
        <v>45826</v>
      </c>
      <c r="E1065" s="1" t="n">
        <v>46219</v>
      </c>
      <c r="F1065" t="inlineStr">
        <is>
          <t>VÄRMLANDS LÄN</t>
        </is>
      </c>
      <c r="G1065" t="inlineStr">
        <is>
          <t>SUNNE</t>
        </is>
      </c>
      <c r="H1065" t="inlineStr">
        <is>
          <t>Kyrkan</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29967-2025</t>
        </is>
      </c>
      <c r="B1066" t="inlineStr">
        <is>
          <t>avverkningsanmälan</t>
        </is>
      </c>
      <c r="C1066" t="inlineStr">
        <is>
          <t>Föryngringsavverkning</t>
        </is>
      </c>
      <c r="D1066" s="1" t="n">
        <v>45826</v>
      </c>
      <c r="E1066" s="1" t="n">
        <v>46219</v>
      </c>
      <c r="F1066" t="inlineStr">
        <is>
          <t>VÄRMLANDS LÄN</t>
        </is>
      </c>
      <c r="G1066" t="inlineStr">
        <is>
          <t>SUNNE</t>
        </is>
      </c>
      <c r="H1066" t="inlineStr">
        <is>
          <t>Kyrkan</t>
        </is>
      </c>
      <c r="I1066" t="n">
        <v>3.2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30006-2025</t>
        </is>
      </c>
      <c r="B1067" t="inlineStr">
        <is>
          <t>avverkningsanmälan</t>
        </is>
      </c>
      <c r="C1067" t="inlineStr">
        <is>
          <t>Föryngringsavverkning</t>
        </is>
      </c>
      <c r="D1067" s="1" t="n">
        <v>45826</v>
      </c>
      <c r="E1067" s="1" t="n">
        <v>46219</v>
      </c>
      <c r="F1067" t="inlineStr">
        <is>
          <t>VÄRMLANDS LÄN</t>
        </is>
      </c>
      <c r="G1067" t="inlineStr">
        <is>
          <t>SUNNE</t>
        </is>
      </c>
      <c r="H1067" t="inlineStr">
        <is>
          <t>Kommuner</t>
        </is>
      </c>
      <c r="I1067" t="n">
        <v>4.7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45206-2023</t>
        </is>
      </c>
      <c r="B1068" t="inlineStr">
        <is>
          <t>avverkningsanmälan</t>
        </is>
      </c>
      <c r="C1068" t="inlineStr">
        <is>
          <t>Föryngringsavverkning</t>
        </is>
      </c>
      <c r="D1068" s="1" t="n">
        <v>45191</v>
      </c>
      <c r="E1068" s="1" t="n">
        <v>46219</v>
      </c>
      <c r="F1068" t="inlineStr">
        <is>
          <t>VÄRMLANDS LÄN</t>
        </is>
      </c>
      <c r="G1068" t="inlineStr">
        <is>
          <t>SUNNE</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10134-2024</t>
        </is>
      </c>
      <c r="B1069" t="inlineStr">
        <is>
          <t>avverkningsanmälan</t>
        </is>
      </c>
      <c r="C1069" t="inlineStr">
        <is>
          <t>Föryngringsavverkning</t>
        </is>
      </c>
      <c r="D1069" s="1" t="n">
        <v>45364</v>
      </c>
      <c r="E1069" s="1" t="n">
        <v>46219</v>
      </c>
      <c r="F1069" t="inlineStr">
        <is>
          <t>VÄRMLANDS LÄN</t>
        </is>
      </c>
      <c r="G1069" t="inlineStr">
        <is>
          <t>SUNNE</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49428-2024</t>
        </is>
      </c>
      <c r="B1070" t="inlineStr">
        <is>
          <t>avverkningsanmälan</t>
        </is>
      </c>
      <c r="C1070" t="inlineStr">
        <is>
          <t>Avverkning för annat ändamål</t>
        </is>
      </c>
      <c r="D1070" s="1" t="n">
        <v>45595</v>
      </c>
      <c r="E1070" s="1" t="n">
        <v>46219</v>
      </c>
      <c r="F1070" t="inlineStr">
        <is>
          <t>VÄRMLANDS LÄN</t>
        </is>
      </c>
      <c r="G1070" t="inlineStr">
        <is>
          <t>SUNNE</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25574-2026</t>
        </is>
      </c>
      <c r="B1071" t="inlineStr">
        <is>
          <t>avverkningsanmälan</t>
        </is>
      </c>
      <c r="C1071" t="inlineStr">
        <is>
          <t>Föryngringsavverkning</t>
        </is>
      </c>
      <c r="D1071" s="1" t="n">
        <v>46177</v>
      </c>
      <c r="E1071" s="1" t="n">
        <v>46219</v>
      </c>
      <c r="F1071" t="inlineStr">
        <is>
          <t>VÄRMLANDS LÄN</t>
        </is>
      </c>
      <c r="G1071" t="inlineStr">
        <is>
          <t>SUNNE</t>
        </is>
      </c>
      <c r="H1071" t="inlineStr">
        <is>
          <t>Bergvik skog väst AB</t>
        </is>
      </c>
      <c r="I1071" t="n">
        <v>5.1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32093-2022</t>
        </is>
      </c>
      <c r="B1072" t="inlineStr">
        <is>
          <t>avverkningsanmälan</t>
        </is>
      </c>
      <c r="C1072" t="inlineStr">
        <is>
          <t>Föryngringsavverkning</t>
        </is>
      </c>
      <c r="D1072" s="1" t="n">
        <v>44778</v>
      </c>
      <c r="E1072" s="1" t="n">
        <v>46219</v>
      </c>
      <c r="F1072" t="inlineStr">
        <is>
          <t>VÄRMLANDS LÄN</t>
        </is>
      </c>
      <c r="G1072" t="inlineStr">
        <is>
          <t>SUNNE</t>
        </is>
      </c>
      <c r="I1072" t="n">
        <v>8.5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11065-2024</t>
        </is>
      </c>
      <c r="B1073" t="inlineStr">
        <is>
          <t>avverkningsanmälan</t>
        </is>
      </c>
      <c r="C1073" t="inlineStr">
        <is>
          <t>Föryngringsavverkning</t>
        </is>
      </c>
      <c r="D1073" s="1" t="n">
        <v>45370</v>
      </c>
      <c r="E1073" s="1" t="n">
        <v>46219</v>
      </c>
      <c r="F1073" t="inlineStr">
        <is>
          <t>VÄRMLANDS LÄN</t>
        </is>
      </c>
      <c r="G1073" t="inlineStr">
        <is>
          <t>SUNNE</t>
        </is>
      </c>
      <c r="I1073" t="n">
        <v>5.3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30712-2023</t>
        </is>
      </c>
      <c r="B1074" t="inlineStr">
        <is>
          <t>avverkningsanmälan</t>
        </is>
      </c>
      <c r="C1074" t="inlineStr">
        <is>
          <t>Föryngringsavverkning</t>
        </is>
      </c>
      <c r="D1074" s="1" t="n">
        <v>45112</v>
      </c>
      <c r="E1074" s="1" t="n">
        <v>46219</v>
      </c>
      <c r="F1074" t="inlineStr">
        <is>
          <t>VÄRMLANDS LÄN</t>
        </is>
      </c>
      <c r="G1074" t="inlineStr">
        <is>
          <t>SUNNE</t>
        </is>
      </c>
      <c r="I1074" t="n">
        <v>0.5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24521-2024</t>
        </is>
      </c>
      <c r="B1075" t="inlineStr">
        <is>
          <t>avverkningsanmälan</t>
        </is>
      </c>
      <c r="C1075" t="inlineStr">
        <is>
          <t>Föryngringsavverkning</t>
        </is>
      </c>
      <c r="D1075" s="1" t="n">
        <v>45460</v>
      </c>
      <c r="E1075" s="1" t="n">
        <v>46219</v>
      </c>
      <c r="F1075" t="inlineStr">
        <is>
          <t>VÄRMLANDS LÄN</t>
        </is>
      </c>
      <c r="G1075" t="inlineStr">
        <is>
          <t>SUNNE</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57316-2021</t>
        </is>
      </c>
      <c r="B1076" t="inlineStr">
        <is>
          <t>avverkningsanmälan</t>
        </is>
      </c>
      <c r="C1076" t="inlineStr">
        <is>
          <t>Föryngringsavverkning</t>
        </is>
      </c>
      <c r="D1076" s="1" t="n">
        <v>44483</v>
      </c>
      <c r="E1076" s="1" t="n">
        <v>46219</v>
      </c>
      <c r="F1076" t="inlineStr">
        <is>
          <t>VÄRMLANDS LÄN</t>
        </is>
      </c>
      <c r="G1076" t="inlineStr">
        <is>
          <t>SUNNE</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15120-2022</t>
        </is>
      </c>
      <c r="B1077" t="inlineStr">
        <is>
          <t>avverkningsanmälan</t>
        </is>
      </c>
      <c r="C1077" t="inlineStr">
        <is>
          <t>Föryngringsavverkning</t>
        </is>
      </c>
      <c r="D1077" s="1" t="n">
        <v>44658</v>
      </c>
      <c r="E1077" s="1" t="n">
        <v>46219</v>
      </c>
      <c r="F1077" t="inlineStr">
        <is>
          <t>VÄRMLANDS LÄN</t>
        </is>
      </c>
      <c r="G1077" t="inlineStr">
        <is>
          <t>SUNNE</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23167-2023</t>
        </is>
      </c>
      <c r="B1078" t="inlineStr">
        <is>
          <t>avverkningsanmälan</t>
        </is>
      </c>
      <c r="C1078" t="inlineStr">
        <is>
          <t>Föryngringsavverkning</t>
        </is>
      </c>
      <c r="D1078" s="1" t="n">
        <v>45075</v>
      </c>
      <c r="E1078" s="1" t="n">
        <v>46219</v>
      </c>
      <c r="F1078" t="inlineStr">
        <is>
          <t>VÄRMLANDS LÄN</t>
        </is>
      </c>
      <c r="G1078" t="inlineStr">
        <is>
          <t>SUNNE</t>
        </is>
      </c>
      <c r="I1078" t="n">
        <v>1.2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24536-2023</t>
        </is>
      </c>
      <c r="B1079" t="inlineStr">
        <is>
          <t>avverkningsanmälan</t>
        </is>
      </c>
      <c r="C1079" t="inlineStr">
        <is>
          <t>Föryngringsavverkning</t>
        </is>
      </c>
      <c r="D1079" s="1" t="n">
        <v>45082</v>
      </c>
      <c r="E1079" s="1" t="n">
        <v>46219</v>
      </c>
      <c r="F1079" t="inlineStr">
        <is>
          <t>VÄRMLANDS LÄN</t>
        </is>
      </c>
      <c r="G1079" t="inlineStr">
        <is>
          <t>SUNNE</t>
        </is>
      </c>
      <c r="I1079" t="n">
        <v>1.5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6403-2023</t>
        </is>
      </c>
      <c r="B1080" t="inlineStr">
        <is>
          <t>avverkningsanmälan</t>
        </is>
      </c>
      <c r="C1080" t="inlineStr">
        <is>
          <t>Föryngringsavverkning</t>
        </is>
      </c>
      <c r="D1080" s="1" t="n">
        <v>44965</v>
      </c>
      <c r="E1080" s="1" t="n">
        <v>46219</v>
      </c>
      <c r="F1080" t="inlineStr">
        <is>
          <t>VÄRMLANDS LÄN</t>
        </is>
      </c>
      <c r="G1080" t="inlineStr">
        <is>
          <t>SUNNE</t>
        </is>
      </c>
      <c r="I1080" t="n">
        <v>5.5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73214-2021</t>
        </is>
      </c>
      <c r="B1081" t="inlineStr">
        <is>
          <t>avverkningsanmälan</t>
        </is>
      </c>
      <c r="C1081" t="inlineStr">
        <is>
          <t>Föryngringsavverkning</t>
        </is>
      </c>
      <c r="D1081" s="1" t="n">
        <v>44550</v>
      </c>
      <c r="E1081" s="1" t="n">
        <v>46219</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23721-2025</t>
        </is>
      </c>
      <c r="B1082" t="inlineStr">
        <is>
          <t>avverkningsanmälan</t>
        </is>
      </c>
      <c r="C1082" t="inlineStr">
        <is>
          <t>Föryngringsavverkning</t>
        </is>
      </c>
      <c r="D1082" s="1" t="n">
        <v>45793</v>
      </c>
      <c r="E1082" s="1" t="n">
        <v>46219</v>
      </c>
      <c r="F1082" t="inlineStr">
        <is>
          <t>VÄRMLANDS LÄN</t>
        </is>
      </c>
      <c r="G1082" t="inlineStr">
        <is>
          <t>SUNNE</t>
        </is>
      </c>
      <c r="I1082" t="n">
        <v>4.8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1842-2024</t>
        </is>
      </c>
      <c r="B1083" t="inlineStr">
        <is>
          <t>avverkningsanmälan</t>
        </is>
      </c>
      <c r="C1083" t="inlineStr">
        <is>
          <t>Föryngringsavverkning</t>
        </is>
      </c>
      <c r="D1083" s="1" t="n">
        <v>45307</v>
      </c>
      <c r="E1083" s="1" t="n">
        <v>46219</v>
      </c>
      <c r="F1083" t="inlineStr">
        <is>
          <t>VÄRMLANDS LÄN</t>
        </is>
      </c>
      <c r="G1083" t="inlineStr">
        <is>
          <t>SUNNE</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44231-2023</t>
        </is>
      </c>
      <c r="B1084" t="inlineStr">
        <is>
          <t>avverkningsanmälan</t>
        </is>
      </c>
      <c r="C1084" t="inlineStr">
        <is>
          <t>Föryngringsavverkning</t>
        </is>
      </c>
      <c r="D1084" s="1" t="n">
        <v>45188</v>
      </c>
      <c r="E1084" s="1" t="n">
        <v>46219</v>
      </c>
      <c r="F1084" t="inlineStr">
        <is>
          <t>VÄRMLANDS LÄN</t>
        </is>
      </c>
      <c r="G1084" t="inlineStr">
        <is>
          <t>SUNNE</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30942-2025</t>
        </is>
      </c>
      <c r="B1085" t="inlineStr">
        <is>
          <t>avverkningsanmälan</t>
        </is>
      </c>
      <c r="C1085" t="inlineStr">
        <is>
          <t>Föryngringsavverkning</t>
        </is>
      </c>
      <c r="D1085" s="1" t="n">
        <v>45832</v>
      </c>
      <c r="E1085" s="1" t="n">
        <v>46219</v>
      </c>
      <c r="F1085" t="inlineStr">
        <is>
          <t>VÄRMLANDS LÄN</t>
        </is>
      </c>
      <c r="G1085" t="inlineStr">
        <is>
          <t>SUNNE</t>
        </is>
      </c>
      <c r="H1085" t="inlineStr">
        <is>
          <t>Kyrkan</t>
        </is>
      </c>
      <c r="I1085" t="n">
        <v>9.199999999999999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25577-2026</t>
        </is>
      </c>
      <c r="B1086" t="inlineStr">
        <is>
          <t>avverkningsanmälan</t>
        </is>
      </c>
      <c r="C1086" t="inlineStr">
        <is>
          <t>Föryngringsavverkning</t>
        </is>
      </c>
      <c r="D1086" s="1" t="n">
        <v>46177</v>
      </c>
      <c r="E1086" s="1" t="n">
        <v>46219</v>
      </c>
      <c r="F1086" t="inlineStr">
        <is>
          <t>VÄRMLANDS LÄN</t>
        </is>
      </c>
      <c r="G1086" t="inlineStr">
        <is>
          <t>SUNNE</t>
        </is>
      </c>
      <c r="I1086" t="n">
        <v>7.1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25584-2026</t>
        </is>
      </c>
      <c r="B1087" t="inlineStr">
        <is>
          <t>avverkningsanmälan</t>
        </is>
      </c>
      <c r="C1087" t="inlineStr">
        <is>
          <t>Föryngringsavverkning</t>
        </is>
      </c>
      <c r="D1087" s="1" t="n">
        <v>46177</v>
      </c>
      <c r="E1087" s="1" t="n">
        <v>46219</v>
      </c>
      <c r="F1087" t="inlineStr">
        <is>
          <t>VÄRMLANDS LÄN</t>
        </is>
      </c>
      <c r="G1087" t="inlineStr">
        <is>
          <t>SUNNE</t>
        </is>
      </c>
      <c r="I1087" t="n">
        <v>4.1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37483-2025</t>
        </is>
      </c>
      <c r="B1088" t="inlineStr">
        <is>
          <t>avverkningsanmälan</t>
        </is>
      </c>
      <c r="C1088" t="inlineStr">
        <is>
          <t>Föryngringsavverkning</t>
        </is>
      </c>
      <c r="D1088" s="1" t="n">
        <v>45877</v>
      </c>
      <c r="E1088" s="1" t="n">
        <v>46219</v>
      </c>
      <c r="F1088" t="inlineStr">
        <is>
          <t>VÄRMLANDS LÄN</t>
        </is>
      </c>
      <c r="G1088" t="inlineStr">
        <is>
          <t>SUNNE</t>
        </is>
      </c>
      <c r="I1088" t="n">
        <v>1.2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47961-2021</t>
        </is>
      </c>
      <c r="B1089" t="inlineStr">
        <is>
          <t>avverkningsanmälan</t>
        </is>
      </c>
      <c r="C1089" t="inlineStr">
        <is>
          <t>Föryngringsavverkning</t>
        </is>
      </c>
      <c r="D1089" s="1" t="n">
        <v>44449</v>
      </c>
      <c r="E1089" s="1" t="n">
        <v>46219</v>
      </c>
      <c r="F1089" t="inlineStr">
        <is>
          <t>VÄRMLANDS LÄN</t>
        </is>
      </c>
      <c r="G1089" t="inlineStr">
        <is>
          <t>SUNNE</t>
        </is>
      </c>
      <c r="I1089" t="n">
        <v>3.3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17094-2025</t>
        </is>
      </c>
      <c r="B1090" t="inlineStr">
        <is>
          <t>avverkningsanmälan</t>
        </is>
      </c>
      <c r="C1090" t="inlineStr">
        <is>
          <t>Föryngringsavverkning</t>
        </is>
      </c>
      <c r="D1090" s="1" t="n">
        <v>45755</v>
      </c>
      <c r="E1090" s="1" t="n">
        <v>46219</v>
      </c>
      <c r="F1090" t="inlineStr">
        <is>
          <t>VÄRMLANDS LÄN</t>
        </is>
      </c>
      <c r="G1090" t="inlineStr">
        <is>
          <t>SUNNE</t>
        </is>
      </c>
      <c r="I1090" t="n">
        <v>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16085-2025</t>
        </is>
      </c>
      <c r="B1091" t="inlineStr">
        <is>
          <t>avverkningsanmälan</t>
        </is>
      </c>
      <c r="C1091" t="inlineStr">
        <is>
          <t>Föryngringsavverkning</t>
        </is>
      </c>
      <c r="D1091" s="1" t="n">
        <v>45749</v>
      </c>
      <c r="E1091" s="1" t="n">
        <v>46219</v>
      </c>
      <c r="F1091" t="inlineStr">
        <is>
          <t>VÄRMLANDS LÄN</t>
        </is>
      </c>
      <c r="G1091" t="inlineStr">
        <is>
          <t>SUNNE</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16086-2025</t>
        </is>
      </c>
      <c r="B1092" t="inlineStr">
        <is>
          <t>avverkningsanmälan</t>
        </is>
      </c>
      <c r="C1092" t="inlineStr">
        <is>
          <t>Föryngringsavverkning</t>
        </is>
      </c>
      <c r="D1092" s="1" t="n">
        <v>45749</v>
      </c>
      <c r="E1092" s="1" t="n">
        <v>46219</v>
      </c>
      <c r="F1092" t="inlineStr">
        <is>
          <t>VÄRMLANDS LÄN</t>
        </is>
      </c>
      <c r="G1092" t="inlineStr">
        <is>
          <t>SUNNE</t>
        </is>
      </c>
      <c r="I1092" t="n">
        <v>1.7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3688-2026</t>
        </is>
      </c>
      <c r="B1093" t="inlineStr">
        <is>
          <t>avverkningsanmälan</t>
        </is>
      </c>
      <c r="C1093" t="inlineStr">
        <is>
          <t>Föryngringsavverkning</t>
        </is>
      </c>
      <c r="D1093" s="1" t="n">
        <v>46043</v>
      </c>
      <c r="E1093" s="1" t="n">
        <v>46219</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37509-2021</t>
        </is>
      </c>
      <c r="B1094" t="inlineStr">
        <is>
          <t>avverkningsanmälan</t>
        </is>
      </c>
      <c r="C1094" t="inlineStr">
        <is>
          <t>Avverkning för annat ändamål</t>
        </is>
      </c>
      <c r="D1094" s="1" t="n">
        <v>44399</v>
      </c>
      <c r="E1094" s="1" t="n">
        <v>46219</v>
      </c>
      <c r="F1094" t="inlineStr">
        <is>
          <t>VÄRMLANDS LÄN</t>
        </is>
      </c>
      <c r="G1094" t="inlineStr">
        <is>
          <t>SUNNE</t>
        </is>
      </c>
      <c r="I1094" t="n">
        <v>3.1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20435-2024</t>
        </is>
      </c>
      <c r="B1095" t="inlineStr">
        <is>
          <t>avverkningsanmälan</t>
        </is>
      </c>
      <c r="C1095" t="inlineStr">
        <is>
          <t>Föryngringsavverkning</t>
        </is>
      </c>
      <c r="D1095" s="1" t="n">
        <v>45435</v>
      </c>
      <c r="E1095" s="1" t="n">
        <v>46219</v>
      </c>
      <c r="F1095" t="inlineStr">
        <is>
          <t>VÄRMLANDS LÄN</t>
        </is>
      </c>
      <c r="G1095" t="inlineStr">
        <is>
          <t>SUNNE</t>
        </is>
      </c>
      <c r="I1095" t="n">
        <v>11.9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23720-2025</t>
        </is>
      </c>
      <c r="B1096" t="inlineStr">
        <is>
          <t>avverkningsanmälan</t>
        </is>
      </c>
      <c r="C1096" t="inlineStr">
        <is>
          <t>Föryngringsavverkning</t>
        </is>
      </c>
      <c r="D1096" s="1" t="n">
        <v>45793</v>
      </c>
      <c r="E1096" s="1" t="n">
        <v>46219</v>
      </c>
      <c r="F1096" t="inlineStr">
        <is>
          <t>VÄRMLANDS LÄN</t>
        </is>
      </c>
      <c r="G1096" t="inlineStr">
        <is>
          <t>SUNNE</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19908-2025</t>
        </is>
      </c>
      <c r="B1097" t="inlineStr">
        <is>
          <t>avverkningsanmälan</t>
        </is>
      </c>
      <c r="C1097" t="inlineStr">
        <is>
          <t>Föryngringsavverkning</t>
        </is>
      </c>
      <c r="D1097" s="1" t="n">
        <v>45771</v>
      </c>
      <c r="E1097" s="1" t="n">
        <v>46219</v>
      </c>
      <c r="F1097" t="inlineStr">
        <is>
          <t>VÄRMLANDS LÄN</t>
        </is>
      </c>
      <c r="G1097" t="inlineStr">
        <is>
          <t>SUNNE</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31713-2025</t>
        </is>
      </c>
      <c r="B1098" t="inlineStr">
        <is>
          <t>avverkningsanmälan</t>
        </is>
      </c>
      <c r="C1098" t="inlineStr">
        <is>
          <t>Föryngringsavverkning</t>
        </is>
      </c>
      <c r="D1098" s="1" t="n">
        <v>45834</v>
      </c>
      <c r="E1098" s="1" t="n">
        <v>46219</v>
      </c>
      <c r="F1098" t="inlineStr">
        <is>
          <t>VÄRMLANDS LÄN</t>
        </is>
      </c>
      <c r="G1098" t="inlineStr">
        <is>
          <t>SUNNE</t>
        </is>
      </c>
      <c r="I1098" t="n">
        <v>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32405-2023</t>
        </is>
      </c>
      <c r="B1099" t="inlineStr">
        <is>
          <t>avverkningsanmälan</t>
        </is>
      </c>
      <c r="C1099" t="inlineStr">
        <is>
          <t>Föryngringsavverkning</t>
        </is>
      </c>
      <c r="D1099" s="1" t="n">
        <v>45110</v>
      </c>
      <c r="E1099" s="1" t="n">
        <v>46219</v>
      </c>
      <c r="F1099" t="inlineStr">
        <is>
          <t>VÄRMLANDS LÄN</t>
        </is>
      </c>
      <c r="G1099" t="inlineStr">
        <is>
          <t>SUNNE</t>
        </is>
      </c>
      <c r="H1099" t="inlineStr">
        <is>
          <t>Övriga statliga verk och myndigheter</t>
        </is>
      </c>
      <c r="I1099" t="n">
        <v>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20457-2025</t>
        </is>
      </c>
      <c r="B1100" t="inlineStr">
        <is>
          <t>avverkningsanmälan</t>
        </is>
      </c>
      <c r="C1100" t="inlineStr">
        <is>
          <t>Föryngringsavverkning</t>
        </is>
      </c>
      <c r="D1100" s="1" t="n">
        <v>45775</v>
      </c>
      <c r="E1100" s="1" t="n">
        <v>46219</v>
      </c>
      <c r="F1100" t="inlineStr">
        <is>
          <t>VÄRMLANDS LÄN</t>
        </is>
      </c>
      <c r="G1100" t="inlineStr">
        <is>
          <t>SUNNE</t>
        </is>
      </c>
      <c r="H1100" t="inlineStr">
        <is>
          <t>Övriga Aktiebolag</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20017-2025</t>
        </is>
      </c>
      <c r="B1101" t="inlineStr">
        <is>
          <t>avverkningsanmälan</t>
        </is>
      </c>
      <c r="C1101" t="inlineStr">
        <is>
          <t>Föryngringsavverkning</t>
        </is>
      </c>
      <c r="D1101" s="1" t="n">
        <v>45772</v>
      </c>
      <c r="E1101" s="1" t="n">
        <v>46219</v>
      </c>
      <c r="F1101" t="inlineStr">
        <is>
          <t>VÄRMLANDS LÄN</t>
        </is>
      </c>
      <c r="G1101" t="inlineStr">
        <is>
          <t>SUNNE</t>
        </is>
      </c>
      <c r="H1101" t="inlineStr">
        <is>
          <t>Övriga statliga verk och myndigheter</t>
        </is>
      </c>
      <c r="I1101" t="n">
        <v>1.7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18434-2025</t>
        </is>
      </c>
      <c r="B1102" t="inlineStr">
        <is>
          <t>avverkningsanmälan</t>
        </is>
      </c>
      <c r="C1102" t="inlineStr">
        <is>
          <t>Föryngringsavverkning</t>
        </is>
      </c>
      <c r="D1102" s="1" t="n">
        <v>45762</v>
      </c>
      <c r="E1102" s="1" t="n">
        <v>46219</v>
      </c>
      <c r="F1102" t="inlineStr">
        <is>
          <t>VÄRMLANDS LÄN</t>
        </is>
      </c>
      <c r="G1102" t="inlineStr">
        <is>
          <t>SUNNE</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2977-2024</t>
        </is>
      </c>
      <c r="B1103" t="inlineStr">
        <is>
          <t>avverkningsanmälan</t>
        </is>
      </c>
      <c r="C1103" t="inlineStr">
        <is>
          <t>Föryngringsavverkning</t>
        </is>
      </c>
      <c r="D1103" s="1" t="n">
        <v>45315</v>
      </c>
      <c r="E1103" s="1" t="n">
        <v>46219</v>
      </c>
      <c r="F1103" t="inlineStr">
        <is>
          <t>VÄRMLANDS LÄN</t>
        </is>
      </c>
      <c r="G1103" t="inlineStr">
        <is>
          <t>SUNNE</t>
        </is>
      </c>
      <c r="I1103" t="n">
        <v>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3076-2024</t>
        </is>
      </c>
      <c r="B1104" t="inlineStr">
        <is>
          <t>avverkningsanmälan</t>
        </is>
      </c>
      <c r="C1104" t="inlineStr">
        <is>
          <t>Föryngringsavverkning</t>
        </is>
      </c>
      <c r="D1104" s="1" t="n">
        <v>45316</v>
      </c>
      <c r="E1104" s="1" t="n">
        <v>46219</v>
      </c>
      <c r="F1104" t="inlineStr">
        <is>
          <t>VÄRMLANDS LÄN</t>
        </is>
      </c>
      <c r="G1104" t="inlineStr">
        <is>
          <t>SUNNE</t>
        </is>
      </c>
      <c r="I1104" t="n">
        <v>5.5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13208-2025</t>
        </is>
      </c>
      <c r="B1105" t="inlineStr">
        <is>
          <t>avverkningsanmälan</t>
        </is>
      </c>
      <c r="C1105" t="inlineStr">
        <is>
          <t>Föryngringsavverkning</t>
        </is>
      </c>
      <c r="D1105" s="1" t="n">
        <v>45735</v>
      </c>
      <c r="E1105" s="1" t="n">
        <v>46219</v>
      </c>
      <c r="F1105" t="inlineStr">
        <is>
          <t>VÄRMLANDS LÄN</t>
        </is>
      </c>
      <c r="G1105" t="inlineStr">
        <is>
          <t>SUNNE</t>
        </is>
      </c>
      <c r="I1105" t="n">
        <v>1.5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51786-2021</t>
        </is>
      </c>
      <c r="B1106" t="inlineStr">
        <is>
          <t>avverkningsanmälan</t>
        </is>
      </c>
      <c r="C1106" t="inlineStr">
        <is>
          <t>Föryngringsavverkning</t>
        </is>
      </c>
      <c r="D1106" s="1" t="n">
        <v>44462</v>
      </c>
      <c r="E1106" s="1" t="n">
        <v>46219</v>
      </c>
      <c r="F1106" t="inlineStr">
        <is>
          <t>VÄRMLANDS LÄN</t>
        </is>
      </c>
      <c r="G1106" t="inlineStr">
        <is>
          <t>SUNNE</t>
        </is>
      </c>
      <c r="I1106" t="n">
        <v>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3260-2025</t>
        </is>
      </c>
      <c r="B1107" t="inlineStr">
        <is>
          <t>avverkningsanmälan</t>
        </is>
      </c>
      <c r="C1107" t="inlineStr">
        <is>
          <t>Föryngringsavverkning</t>
        </is>
      </c>
      <c r="D1107" s="1" t="n">
        <v>45679</v>
      </c>
      <c r="E1107" s="1" t="n">
        <v>46219</v>
      </c>
      <c r="F1107" t="inlineStr">
        <is>
          <t>VÄRMLANDS LÄN</t>
        </is>
      </c>
      <c r="G1107" t="inlineStr">
        <is>
          <t>SUNNE</t>
        </is>
      </c>
      <c r="I1107" t="n">
        <v>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32616-2025</t>
        </is>
      </c>
      <c r="B1108" t="inlineStr">
        <is>
          <t>avverkningsanmälan</t>
        </is>
      </c>
      <c r="C1108" t="inlineStr">
        <is>
          <t>Föryngringsavverkning</t>
        </is>
      </c>
      <c r="D1108" s="1" t="n">
        <v>45838</v>
      </c>
      <c r="E1108" s="1" t="n">
        <v>46219</v>
      </c>
      <c r="F1108" t="inlineStr">
        <is>
          <t>VÄRMLANDS LÄN</t>
        </is>
      </c>
      <c r="G1108" t="inlineStr">
        <is>
          <t>SUNNE</t>
        </is>
      </c>
      <c r="I1108" t="n">
        <v>2.5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27991-2023</t>
        </is>
      </c>
      <c r="B1109" t="inlineStr">
        <is>
          <t>avverkningsanmälan</t>
        </is>
      </c>
      <c r="C1109" t="inlineStr">
        <is>
          <t>Föryngringsavverkning</t>
        </is>
      </c>
      <c r="D1109" s="1" t="n">
        <v>45098</v>
      </c>
      <c r="E1109" s="1" t="n">
        <v>46219</v>
      </c>
      <c r="F1109" t="inlineStr">
        <is>
          <t>VÄRMLANDS LÄN</t>
        </is>
      </c>
      <c r="G1109" t="inlineStr">
        <is>
          <t>SUNNE</t>
        </is>
      </c>
      <c r="I1109" t="n">
        <v>13.9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28026-2023</t>
        </is>
      </c>
      <c r="B1110" t="inlineStr">
        <is>
          <t>avverkningsanmälan</t>
        </is>
      </c>
      <c r="C1110" t="inlineStr">
        <is>
          <t>Föryngringsavverkning</t>
        </is>
      </c>
      <c r="D1110" s="1" t="n">
        <v>45098</v>
      </c>
      <c r="E1110" s="1" t="n">
        <v>46219</v>
      </c>
      <c r="F1110" t="inlineStr">
        <is>
          <t>VÄRMLANDS LÄN</t>
        </is>
      </c>
      <c r="G1110" t="inlineStr">
        <is>
          <t>SUNNE</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3148-2025</t>
        </is>
      </c>
      <c r="B1111" t="inlineStr">
        <is>
          <t>avverkningsanmälan</t>
        </is>
      </c>
      <c r="C1111" t="inlineStr">
        <is>
          <t>Föryngringsavverkning</t>
        </is>
      </c>
      <c r="D1111" s="1" t="n">
        <v>45678</v>
      </c>
      <c r="E1111" s="1" t="n">
        <v>46219</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32423-2025</t>
        </is>
      </c>
      <c r="B1112" t="inlineStr">
        <is>
          <t>avverkningsanmälan</t>
        </is>
      </c>
      <c r="C1112" t="inlineStr">
        <is>
          <t>Föryngringsavverkning</t>
        </is>
      </c>
      <c r="D1112" s="1" t="n">
        <v>45838</v>
      </c>
      <c r="E1112" s="1" t="n">
        <v>46219</v>
      </c>
      <c r="F1112" t="inlineStr">
        <is>
          <t>VÄRMLANDS LÄN</t>
        </is>
      </c>
      <c r="G1112" t="inlineStr">
        <is>
          <t>SUNNE</t>
        </is>
      </c>
      <c r="I1112" t="n">
        <v>3.6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58367-2021</t>
        </is>
      </c>
      <c r="B1113" t="inlineStr">
        <is>
          <t>avverkningsanmälan</t>
        </is>
      </c>
      <c r="C1113" t="inlineStr">
        <is>
          <t>Föryngringsavverkning</t>
        </is>
      </c>
      <c r="D1113" s="1" t="n">
        <v>44488</v>
      </c>
      <c r="E1113" s="1" t="n">
        <v>46219</v>
      </c>
      <c r="F1113" t="inlineStr">
        <is>
          <t>VÄRMLANDS LÄN</t>
        </is>
      </c>
      <c r="G1113" t="inlineStr">
        <is>
          <t>SUNNE</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67818-2021</t>
        </is>
      </c>
      <c r="B1114" t="inlineStr">
        <is>
          <t>avverkningsanmälan</t>
        </is>
      </c>
      <c r="C1114" t="inlineStr">
        <is>
          <t>Föryngringsavverkning</t>
        </is>
      </c>
      <c r="D1114" s="1" t="n">
        <v>44525</v>
      </c>
      <c r="E1114" s="1" t="n">
        <v>46219</v>
      </c>
      <c r="F1114" t="inlineStr">
        <is>
          <t>VÄRMLANDS LÄN</t>
        </is>
      </c>
      <c r="G1114" t="inlineStr">
        <is>
          <t>SUNNE</t>
        </is>
      </c>
      <c r="I1114" t="n">
        <v>8.699999999999999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38776-2024</t>
        </is>
      </c>
      <c r="B1115" t="inlineStr">
        <is>
          <t>avverkningsanmälan</t>
        </is>
      </c>
      <c r="C1115" t="inlineStr">
        <is>
          <t>Föryngringsavverkning</t>
        </is>
      </c>
      <c r="D1115" s="1" t="n">
        <v>45547</v>
      </c>
      <c r="E1115" s="1" t="n">
        <v>46219</v>
      </c>
      <c r="F1115" t="inlineStr">
        <is>
          <t>VÄRMLANDS LÄN</t>
        </is>
      </c>
      <c r="G1115" t="inlineStr">
        <is>
          <t>SUNNE</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29173-2023</t>
        </is>
      </c>
      <c r="B1116" t="inlineStr">
        <is>
          <t>avverkningsanmälan</t>
        </is>
      </c>
      <c r="C1116" t="inlineStr">
        <is>
          <t>Föryngringsavverkning</t>
        </is>
      </c>
      <c r="D1116" s="1" t="n">
        <v>45105</v>
      </c>
      <c r="E1116" s="1" t="n">
        <v>46219</v>
      </c>
      <c r="F1116" t="inlineStr">
        <is>
          <t>VÄRMLANDS LÄN</t>
        </is>
      </c>
      <c r="G1116" t="inlineStr">
        <is>
          <t>SUNNE</t>
        </is>
      </c>
      <c r="I1116" t="n">
        <v>1.6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20566-2026</t>
        </is>
      </c>
      <c r="B1117" t="inlineStr">
        <is>
          <t>avverkningsanmälan</t>
        </is>
      </c>
      <c r="C1117" t="inlineStr">
        <is>
          <t>Föryngringsavverkning</t>
        </is>
      </c>
      <c r="D1117" s="1" t="n">
        <v>46140</v>
      </c>
      <c r="E1117" s="1" t="n">
        <v>46219</v>
      </c>
      <c r="F1117" t="inlineStr">
        <is>
          <t>VÄRMLANDS LÄN</t>
        </is>
      </c>
      <c r="G1117" t="inlineStr">
        <is>
          <t>SUNNE</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33027-2025</t>
        </is>
      </c>
      <c r="B1118" t="inlineStr">
        <is>
          <t>avverkningsanmälan</t>
        </is>
      </c>
      <c r="C1118" t="inlineStr">
        <is>
          <t>Föryngringsavverkning</t>
        </is>
      </c>
      <c r="D1118" s="1" t="n">
        <v>45840</v>
      </c>
      <c r="E1118" s="1" t="n">
        <v>46219</v>
      </c>
      <c r="F1118" t="inlineStr">
        <is>
          <t>VÄRMLANDS LÄN</t>
        </is>
      </c>
      <c r="G1118" t="inlineStr">
        <is>
          <t>SUNNE</t>
        </is>
      </c>
      <c r="H1118" t="inlineStr">
        <is>
          <t>Bergvik skog väst AB</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32994-2025</t>
        </is>
      </c>
      <c r="B1119" t="inlineStr">
        <is>
          <t>avverkningsanmälan</t>
        </is>
      </c>
      <c r="C1119" t="inlineStr">
        <is>
          <t>Föryngringsavverkning</t>
        </is>
      </c>
      <c r="D1119" s="1" t="n">
        <v>45839</v>
      </c>
      <c r="E1119" s="1" t="n">
        <v>46219</v>
      </c>
      <c r="F1119" t="inlineStr">
        <is>
          <t>VÄRMLANDS LÄN</t>
        </is>
      </c>
      <c r="G1119" t="inlineStr">
        <is>
          <t>SUNNE</t>
        </is>
      </c>
      <c r="I1119" t="n">
        <v>4.9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8585-2022</t>
        </is>
      </c>
      <c r="B1120" t="inlineStr">
        <is>
          <t>avverkningsanmälan</t>
        </is>
      </c>
      <c r="C1120" t="inlineStr">
        <is>
          <t>Föryngringsavverkning</t>
        </is>
      </c>
      <c r="D1120" s="1" t="n">
        <v>44613</v>
      </c>
      <c r="E1120" s="1" t="n">
        <v>46219</v>
      </c>
      <c r="F1120" t="inlineStr">
        <is>
          <t>VÄRMLANDS LÄN</t>
        </is>
      </c>
      <c r="G1120" t="inlineStr">
        <is>
          <t>SUNNE</t>
        </is>
      </c>
      <c r="I1120" t="n">
        <v>0.4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6504-2025</t>
        </is>
      </c>
      <c r="B1121" t="inlineStr">
        <is>
          <t>avverkningsanmälan</t>
        </is>
      </c>
      <c r="C1121" t="inlineStr">
        <is>
          <t>Föryngringsavverkning</t>
        </is>
      </c>
      <c r="D1121" s="1" t="n">
        <v>45699</v>
      </c>
      <c r="E1121" s="1" t="n">
        <v>46219</v>
      </c>
      <c r="F1121" t="inlineStr">
        <is>
          <t>VÄRMLANDS LÄN</t>
        </is>
      </c>
      <c r="G1121" t="inlineStr">
        <is>
          <t>SUNNE</t>
        </is>
      </c>
      <c r="I1121" t="n">
        <v>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45034-2025</t>
        </is>
      </c>
      <c r="B1122" t="inlineStr">
        <is>
          <t>avverkningsanmälan</t>
        </is>
      </c>
      <c r="C1122" t="inlineStr">
        <is>
          <t>Föryngringsavverkning</t>
        </is>
      </c>
      <c r="D1122" s="1" t="n">
        <v>45918</v>
      </c>
      <c r="E1122" s="1" t="n">
        <v>46219</v>
      </c>
      <c r="F1122" t="inlineStr">
        <is>
          <t>VÄRMLANDS LÄN</t>
        </is>
      </c>
      <c r="G1122" t="inlineStr">
        <is>
          <t>SUNNE</t>
        </is>
      </c>
      <c r="I1122" t="n">
        <v>1.3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7654-2025</t>
        </is>
      </c>
      <c r="B1123" t="inlineStr">
        <is>
          <t>avverkningsanmälan</t>
        </is>
      </c>
      <c r="C1123" t="inlineStr">
        <is>
          <t>Föryngringsavverkning</t>
        </is>
      </c>
      <c r="D1123" s="1" t="n">
        <v>45705</v>
      </c>
      <c r="E1123" s="1" t="n">
        <v>46219</v>
      </c>
      <c r="F1123" t="inlineStr">
        <is>
          <t>VÄRMLANDS LÄN</t>
        </is>
      </c>
      <c r="G1123" t="inlineStr">
        <is>
          <t>SUNNE</t>
        </is>
      </c>
      <c r="I1123" t="n">
        <v>11.7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57939-2022</t>
        </is>
      </c>
      <c r="B1124" t="inlineStr">
        <is>
          <t>avverkningsanmälan</t>
        </is>
      </c>
      <c r="C1124" t="inlineStr">
        <is>
          <t>Föryngringsavverkning</t>
        </is>
      </c>
      <c r="D1124" s="1" t="n">
        <v>44900</v>
      </c>
      <c r="E1124" s="1" t="n">
        <v>46219</v>
      </c>
      <c r="F1124" t="inlineStr">
        <is>
          <t>VÄRMLANDS LÄN</t>
        </is>
      </c>
      <c r="G1124" t="inlineStr">
        <is>
          <t>SUNNE</t>
        </is>
      </c>
      <c r="I1124" t="n">
        <v>2.7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28572-2022</t>
        </is>
      </c>
      <c r="B1125" t="inlineStr">
        <is>
          <t>avverkningsanmälan</t>
        </is>
      </c>
      <c r="C1125" t="inlineStr">
        <is>
          <t>Föryngringsavverkning</t>
        </is>
      </c>
      <c r="D1125" s="1" t="n">
        <v>44748</v>
      </c>
      <c r="E1125" s="1" t="n">
        <v>46219</v>
      </c>
      <c r="F1125" t="inlineStr">
        <is>
          <t>VÄRMLANDS LÄN</t>
        </is>
      </c>
      <c r="G1125" t="inlineStr">
        <is>
          <t>SUNNE</t>
        </is>
      </c>
      <c r="I1125" t="n">
        <v>2.2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20331-2026</t>
        </is>
      </c>
      <c r="B1126" t="inlineStr">
        <is>
          <t>avverkningsanmälan</t>
        </is>
      </c>
      <c r="C1126" t="inlineStr">
        <is>
          <t>Föryngringsavverkning</t>
        </is>
      </c>
      <c r="D1126" s="1" t="n">
        <v>46139</v>
      </c>
      <c r="E1126" s="1" t="n">
        <v>46219</v>
      </c>
      <c r="F1126" t="inlineStr">
        <is>
          <t>VÄRMLANDS LÄN</t>
        </is>
      </c>
      <c r="G1126" t="inlineStr">
        <is>
          <t>SUNNE</t>
        </is>
      </c>
      <c r="I1126" t="n">
        <v>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18220-2023</t>
        </is>
      </c>
      <c r="B1127" t="inlineStr">
        <is>
          <t>avverkningsanmälan</t>
        </is>
      </c>
      <c r="C1127" t="inlineStr">
        <is>
          <t>Avverkning för annat ändamål</t>
        </is>
      </c>
      <c r="D1127" s="1" t="n">
        <v>45041</v>
      </c>
      <c r="E1127" s="1" t="n">
        <v>46219</v>
      </c>
      <c r="F1127" t="inlineStr">
        <is>
          <t>VÄRMLANDS LÄN</t>
        </is>
      </c>
      <c r="G1127" t="inlineStr">
        <is>
          <t>SUNNE</t>
        </is>
      </c>
      <c r="I1127" t="n">
        <v>0.6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44096-2024</t>
        </is>
      </c>
      <c r="B1128" t="inlineStr">
        <is>
          <t>avverkningsanmälan</t>
        </is>
      </c>
      <c r="C1128" t="inlineStr">
        <is>
          <t>Föryngringsavverkning</t>
        </is>
      </c>
      <c r="D1128" s="1" t="n">
        <v>45572</v>
      </c>
      <c r="E1128" s="1" t="n">
        <v>46219</v>
      </c>
      <c r="F1128" t="inlineStr">
        <is>
          <t>VÄRMLANDS LÄN</t>
        </is>
      </c>
      <c r="G1128" t="inlineStr">
        <is>
          <t>SUNNE</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55423-2021</t>
        </is>
      </c>
      <c r="B1129" t="inlineStr">
        <is>
          <t>avverkningsanmälan</t>
        </is>
      </c>
      <c r="C1129" t="inlineStr">
        <is>
          <t>Föryngringsavverkning</t>
        </is>
      </c>
      <c r="D1129" s="1" t="n">
        <v>44475</v>
      </c>
      <c r="E1129" s="1" t="n">
        <v>46219</v>
      </c>
      <c r="F1129" t="inlineStr">
        <is>
          <t>VÄRMLANDS LÄN</t>
        </is>
      </c>
      <c r="G1129" t="inlineStr">
        <is>
          <t>SUNNE</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58851-2023</t>
        </is>
      </c>
      <c r="B1130" t="inlineStr">
        <is>
          <t>avverkningsanmälan</t>
        </is>
      </c>
      <c r="C1130" t="inlineStr">
        <is>
          <t>Föryngringsavverkning</t>
        </is>
      </c>
      <c r="D1130" s="1" t="n">
        <v>45252</v>
      </c>
      <c r="E1130" s="1" t="n">
        <v>46219</v>
      </c>
      <c r="F1130" t="inlineStr">
        <is>
          <t>VÄRMLANDS LÄN</t>
        </is>
      </c>
      <c r="G1130" t="inlineStr">
        <is>
          <t>SUNNE</t>
        </is>
      </c>
      <c r="I1130" t="n">
        <v>7.2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6481-2025</t>
        </is>
      </c>
      <c r="B1131" t="inlineStr">
        <is>
          <t>avverkningsanmälan</t>
        </is>
      </c>
      <c r="C1131" t="inlineStr">
        <is>
          <t>Föryngringsavverkning</t>
        </is>
      </c>
      <c r="D1131" s="1" t="n">
        <v>45699</v>
      </c>
      <c r="E1131" s="1" t="n">
        <v>46219</v>
      </c>
      <c r="F1131" t="inlineStr">
        <is>
          <t>VÄRMLANDS LÄN</t>
        </is>
      </c>
      <c r="G1131" t="inlineStr">
        <is>
          <t>SUNNE</t>
        </is>
      </c>
      <c r="I1131" t="n">
        <v>1.8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17036-2023</t>
        </is>
      </c>
      <c r="B1132" t="inlineStr">
        <is>
          <t>avverkningsanmälan</t>
        </is>
      </c>
      <c r="C1132" t="inlineStr">
        <is>
          <t>Föryngringsavverkning</t>
        </is>
      </c>
      <c r="D1132" s="1" t="n">
        <v>45034</v>
      </c>
      <c r="E1132" s="1" t="n">
        <v>46219</v>
      </c>
      <c r="F1132" t="inlineStr">
        <is>
          <t>VÄRMLANDS LÄN</t>
        </is>
      </c>
      <c r="G1132" t="inlineStr">
        <is>
          <t>SUNNE</t>
        </is>
      </c>
      <c r="H1132" t="inlineStr">
        <is>
          <t>Övriga Aktiebolag</t>
        </is>
      </c>
      <c r="I1132" t="n">
        <v>6.5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14252-2023</t>
        </is>
      </c>
      <c r="B1133" t="inlineStr">
        <is>
          <t>avverkningsanmälan</t>
        </is>
      </c>
      <c r="C1133" t="inlineStr">
        <is>
          <t>Föryngringsavverkning</t>
        </is>
      </c>
      <c r="D1133" s="1" t="n">
        <v>45009</v>
      </c>
      <c r="E1133" s="1" t="n">
        <v>46219</v>
      </c>
      <c r="F1133" t="inlineStr">
        <is>
          <t>VÄRMLANDS LÄN</t>
        </is>
      </c>
      <c r="G1133" t="inlineStr">
        <is>
          <t>SUNNE</t>
        </is>
      </c>
      <c r="I1133" t="n">
        <v>0.6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21495-2025</t>
        </is>
      </c>
      <c r="B1134" t="inlineStr">
        <is>
          <t>avverkningsanmälan</t>
        </is>
      </c>
      <c r="C1134" t="inlineStr">
        <is>
          <t>Föryngringsavverkning</t>
        </is>
      </c>
      <c r="D1134" s="1" t="n">
        <v>45782</v>
      </c>
      <c r="E1134" s="1" t="n">
        <v>46219</v>
      </c>
      <c r="F1134" t="inlineStr">
        <is>
          <t>VÄRMLANDS LÄN</t>
        </is>
      </c>
      <c r="G1134" t="inlineStr">
        <is>
          <t>SUNNE</t>
        </is>
      </c>
      <c r="I1134" t="n">
        <v>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6926-2024</t>
        </is>
      </c>
      <c r="B1135" t="inlineStr">
        <is>
          <t>avverkningsanmälan</t>
        </is>
      </c>
      <c r="C1135" t="inlineStr">
        <is>
          <t>Föryngringsavverkning</t>
        </is>
      </c>
      <c r="D1135" s="1" t="n">
        <v>45343</v>
      </c>
      <c r="E1135" s="1" t="n">
        <v>46219</v>
      </c>
      <c r="F1135" t="inlineStr">
        <is>
          <t>VÄRMLANDS LÄN</t>
        </is>
      </c>
      <c r="G1135" t="inlineStr">
        <is>
          <t>SUNNE</t>
        </is>
      </c>
      <c r="I1135" t="n">
        <v>7.4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26088-2026</t>
        </is>
      </c>
      <c r="B1136" t="inlineStr">
        <is>
          <t>avverkningsanmälan</t>
        </is>
      </c>
      <c r="C1136" t="inlineStr">
        <is>
          <t>Föryngringsavverkning</t>
        </is>
      </c>
      <c r="D1136" s="1" t="n">
        <v>46181</v>
      </c>
      <c r="E1136" s="1" t="n">
        <v>46219</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33768-2025</t>
        </is>
      </c>
      <c r="B1137" t="inlineStr">
        <is>
          <t>avverkningsanmälan</t>
        </is>
      </c>
      <c r="C1137" t="inlineStr">
        <is>
          <t>Föryngringsavverkning</t>
        </is>
      </c>
      <c r="D1137" s="1" t="n">
        <v>45842</v>
      </c>
      <c r="E1137" s="1" t="n">
        <v>46219</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17830-2023</t>
        </is>
      </c>
      <c r="B1138" t="inlineStr">
        <is>
          <t>avverkningsanmälan</t>
        </is>
      </c>
      <c r="C1138" t="inlineStr">
        <is>
          <t>Föryngringsavverkning</t>
        </is>
      </c>
      <c r="D1138" s="1" t="n">
        <v>45037</v>
      </c>
      <c r="E1138" s="1" t="n">
        <v>46219</v>
      </c>
      <c r="F1138" t="inlineStr">
        <is>
          <t>VÄRMLANDS LÄN</t>
        </is>
      </c>
      <c r="G1138" t="inlineStr">
        <is>
          <t>SUNNE</t>
        </is>
      </c>
      <c r="I1138" t="n">
        <v>13.1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10252-2024</t>
        </is>
      </c>
      <c r="B1139" t="inlineStr">
        <is>
          <t>avverkningsanmälan</t>
        </is>
      </c>
      <c r="C1139" t="inlineStr">
        <is>
          <t>Föryngringsavverkning</t>
        </is>
      </c>
      <c r="D1139" s="1" t="n">
        <v>45365</v>
      </c>
      <c r="E1139" s="1" t="n">
        <v>46219</v>
      </c>
      <c r="F1139" t="inlineStr">
        <is>
          <t>VÄRMLANDS LÄN</t>
        </is>
      </c>
      <c r="G1139" t="inlineStr">
        <is>
          <t>SUNNE</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60217-2022</t>
        </is>
      </c>
      <c r="B1140" t="inlineStr">
        <is>
          <t>avverkningsanmälan</t>
        </is>
      </c>
      <c r="C1140" t="inlineStr">
        <is>
          <t>Föryngringsavverkning</t>
        </is>
      </c>
      <c r="D1140" s="1" t="n">
        <v>44903</v>
      </c>
      <c r="E1140" s="1" t="n">
        <v>46219</v>
      </c>
      <c r="F1140" t="inlineStr">
        <is>
          <t>VÄRMLANDS LÄN</t>
        </is>
      </c>
      <c r="G1140" t="inlineStr">
        <is>
          <t>SUNNE</t>
        </is>
      </c>
      <c r="I1140" t="n">
        <v>2.5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92-2023</t>
        </is>
      </c>
      <c r="B1141" t="inlineStr">
        <is>
          <t>avverkningsanmälan</t>
        </is>
      </c>
      <c r="C1141" t="inlineStr">
        <is>
          <t>Föryngringsavverkning</t>
        </is>
      </c>
      <c r="D1141" s="1" t="n">
        <v>44918</v>
      </c>
      <c r="E1141" s="1" t="n">
        <v>46219</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62827-2025</t>
        </is>
      </c>
      <c r="B1142" t="inlineStr">
        <is>
          <t>avverkningsanmälan</t>
        </is>
      </c>
      <c r="C1142" t="inlineStr">
        <is>
          <t>Föryngringsavverkning</t>
        </is>
      </c>
      <c r="D1142" s="1" t="n">
        <v>46008</v>
      </c>
      <c r="E1142" s="1" t="n">
        <v>46219</v>
      </c>
      <c r="F1142" t="inlineStr">
        <is>
          <t>VÄRMLANDS LÄN</t>
        </is>
      </c>
      <c r="G1142" t="inlineStr">
        <is>
          <t>SUNNE</t>
        </is>
      </c>
      <c r="I1142" t="n">
        <v>0.9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54146-2022</t>
        </is>
      </c>
      <c r="B1143" t="inlineStr">
        <is>
          <t>avverkningsanmälan</t>
        </is>
      </c>
      <c r="C1143" t="inlineStr">
        <is>
          <t>Föryngringsavverkning</t>
        </is>
      </c>
      <c r="D1143" s="1" t="n">
        <v>44881</v>
      </c>
      <c r="E1143" s="1" t="n">
        <v>46219</v>
      </c>
      <c r="F1143" t="inlineStr">
        <is>
          <t>VÄRMLANDS LÄN</t>
        </is>
      </c>
      <c r="G1143" t="inlineStr">
        <is>
          <t>SUNNE</t>
        </is>
      </c>
      <c r="H1143" t="inlineStr">
        <is>
          <t>Bergvik skog väst AB</t>
        </is>
      </c>
      <c r="I1143" t="n">
        <v>4.5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41017-2024</t>
        </is>
      </c>
      <c r="B1144" t="inlineStr">
        <is>
          <t>avverkningsanmälan</t>
        </is>
      </c>
      <c r="C1144" t="inlineStr">
        <is>
          <t>Föryngringsavverkning</t>
        </is>
      </c>
      <c r="D1144" s="1" t="n">
        <v>45559</v>
      </c>
      <c r="E1144" s="1" t="n">
        <v>46219</v>
      </c>
      <c r="F1144" t="inlineStr">
        <is>
          <t>VÄRMLANDS LÄN</t>
        </is>
      </c>
      <c r="G1144" t="inlineStr">
        <is>
          <t>SUNNE</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33778-2025</t>
        </is>
      </c>
      <c r="B1145" t="inlineStr">
        <is>
          <t>avverkningsanmälan</t>
        </is>
      </c>
      <c r="C1145" t="inlineStr">
        <is>
          <t>Föryngringsavverkning</t>
        </is>
      </c>
      <c r="D1145" s="1" t="n">
        <v>45842</v>
      </c>
      <c r="E1145" s="1" t="n">
        <v>46219</v>
      </c>
      <c r="F1145" t="inlineStr">
        <is>
          <t>VÄRMLANDS LÄN</t>
        </is>
      </c>
      <c r="G1145" t="inlineStr">
        <is>
          <t>SUNNE</t>
        </is>
      </c>
      <c r="I1145" t="n">
        <v>12.7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33505-2023</t>
        </is>
      </c>
      <c r="B1146" t="inlineStr">
        <is>
          <t>avverkningsanmälan</t>
        </is>
      </c>
      <c r="C1146" t="inlineStr">
        <is>
          <t>Föryngringsavverkning</t>
        </is>
      </c>
      <c r="D1146" s="1" t="n">
        <v>45118</v>
      </c>
      <c r="E1146" s="1" t="n">
        <v>46219</v>
      </c>
      <c r="F1146" t="inlineStr">
        <is>
          <t>VÄRMLANDS LÄN</t>
        </is>
      </c>
      <c r="G1146" t="inlineStr">
        <is>
          <t>SUNNE</t>
        </is>
      </c>
      <c r="I1146" t="n">
        <v>4.6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50815-2024</t>
        </is>
      </c>
      <c r="B1147" t="inlineStr">
        <is>
          <t>avverkningsanmälan</t>
        </is>
      </c>
      <c r="C1147" t="inlineStr">
        <is>
          <t>Föryngringsavverkning</t>
        </is>
      </c>
      <c r="D1147" s="1" t="n">
        <v>45602</v>
      </c>
      <c r="E1147" s="1" t="n">
        <v>46219</v>
      </c>
      <c r="F1147" t="inlineStr">
        <is>
          <t>VÄRMLANDS LÄN</t>
        </is>
      </c>
      <c r="G1147" t="inlineStr">
        <is>
          <t>SUNNE</t>
        </is>
      </c>
      <c r="I1147" t="n">
        <v>2.5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33478-2025</t>
        </is>
      </c>
      <c r="B1148" t="inlineStr">
        <is>
          <t>avverkningsanmälan</t>
        </is>
      </c>
      <c r="C1148" t="inlineStr">
        <is>
          <t>Föryngringsavverkning</t>
        </is>
      </c>
      <c r="D1148" s="1" t="n">
        <v>45841</v>
      </c>
      <c r="E1148" s="1" t="n">
        <v>46219</v>
      </c>
      <c r="F1148" t="inlineStr">
        <is>
          <t>VÄRMLANDS LÄN</t>
        </is>
      </c>
      <c r="G1148" t="inlineStr">
        <is>
          <t>SUNNE</t>
        </is>
      </c>
      <c r="I1148" t="n">
        <v>1.9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41385-2025</t>
        </is>
      </c>
      <c r="B1149" t="inlineStr">
        <is>
          <t>avverkningsanmälan</t>
        </is>
      </c>
      <c r="C1149" t="inlineStr">
        <is>
          <t>Föryngringsavverkning</t>
        </is>
      </c>
      <c r="D1149" s="1" t="n">
        <v>45898</v>
      </c>
      <c r="E1149" s="1" t="n">
        <v>46219</v>
      </c>
      <c r="F1149" t="inlineStr">
        <is>
          <t>VÄRMLANDS LÄN</t>
        </is>
      </c>
      <c r="G1149" t="inlineStr">
        <is>
          <t>SUNNE</t>
        </is>
      </c>
      <c r="I1149" t="n">
        <v>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28191-2022</t>
        </is>
      </c>
      <c r="B1150" t="inlineStr">
        <is>
          <t>avverkningsanmälan</t>
        </is>
      </c>
      <c r="C1150" t="inlineStr">
        <is>
          <t>Föryngringsavverkning</t>
        </is>
      </c>
      <c r="D1150" s="1" t="n">
        <v>44746</v>
      </c>
      <c r="E1150" s="1" t="n">
        <v>46219</v>
      </c>
      <c r="F1150" t="inlineStr">
        <is>
          <t>VÄRMLANDS LÄN</t>
        </is>
      </c>
      <c r="G1150" t="inlineStr">
        <is>
          <t>SUNNE</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34711-2022</t>
        </is>
      </c>
      <c r="B1151" t="inlineStr">
        <is>
          <t>avverkningsanmälan</t>
        </is>
      </c>
      <c r="C1151" t="inlineStr">
        <is>
          <t>Föryngringsavverkning</t>
        </is>
      </c>
      <c r="D1151" s="1" t="n">
        <v>44795</v>
      </c>
      <c r="E1151" s="1" t="n">
        <v>46219</v>
      </c>
      <c r="F1151" t="inlineStr">
        <is>
          <t>VÄRMLANDS LÄN</t>
        </is>
      </c>
      <c r="G1151" t="inlineStr">
        <is>
          <t>SUNNE</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33516-2025</t>
        </is>
      </c>
      <c r="B1152" t="inlineStr">
        <is>
          <t>avverkningsanmälan</t>
        </is>
      </c>
      <c r="C1152" t="inlineStr">
        <is>
          <t>Föryngringsavverkning</t>
        </is>
      </c>
      <c r="D1152" s="1" t="n">
        <v>45841</v>
      </c>
      <c r="E1152" s="1" t="n">
        <v>46219</v>
      </c>
      <c r="F1152" t="inlineStr">
        <is>
          <t>VÄRMLANDS LÄN</t>
        </is>
      </c>
      <c r="G1152" t="inlineStr">
        <is>
          <t>SUNNE</t>
        </is>
      </c>
      <c r="I1152" t="n">
        <v>0.9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19457-2023</t>
        </is>
      </c>
      <c r="B1153" t="inlineStr">
        <is>
          <t>avverkningsanmälan</t>
        </is>
      </c>
      <c r="C1153" t="inlineStr">
        <is>
          <t>Föryngringsavverkning</t>
        </is>
      </c>
      <c r="D1153" s="1" t="n">
        <v>45050</v>
      </c>
      <c r="E1153" s="1" t="n">
        <v>46219</v>
      </c>
      <c r="F1153" t="inlineStr">
        <is>
          <t>VÄRMLANDS LÄN</t>
        </is>
      </c>
      <c r="G1153" t="inlineStr">
        <is>
          <t>SUNNE</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29588-2022</t>
        </is>
      </c>
      <c r="B1154" t="inlineStr">
        <is>
          <t>avverkningsanmälan</t>
        </is>
      </c>
      <c r="C1154" t="inlineStr">
        <is>
          <t>Föryngringsavverkning</t>
        </is>
      </c>
      <c r="D1154" s="1" t="n">
        <v>44754</v>
      </c>
      <c r="E1154" s="1" t="n">
        <v>46219</v>
      </c>
      <c r="F1154" t="inlineStr">
        <is>
          <t>VÄRMLANDS LÄN</t>
        </is>
      </c>
      <c r="G1154" t="inlineStr">
        <is>
          <t>SUNNE</t>
        </is>
      </c>
      <c r="I1154" t="n">
        <v>1.9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58177-2025</t>
        </is>
      </c>
      <c r="B1155" t="inlineStr">
        <is>
          <t>avverkningsanmälan</t>
        </is>
      </c>
      <c r="C1155" t="inlineStr">
        <is>
          <t>Föryngringsavverkning</t>
        </is>
      </c>
      <c r="D1155" s="1" t="n">
        <v>45982</v>
      </c>
      <c r="E1155" s="1" t="n">
        <v>46219</v>
      </c>
      <c r="F1155" t="inlineStr">
        <is>
          <t>VÄRMLANDS LÄN</t>
        </is>
      </c>
      <c r="G1155" t="inlineStr">
        <is>
          <t>SUNNE</t>
        </is>
      </c>
      <c r="I1155" t="n">
        <v>1.2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30832-2024</t>
        </is>
      </c>
      <c r="B1156" t="inlineStr">
        <is>
          <t>avverkningsanmälan</t>
        </is>
      </c>
      <c r="C1156" t="inlineStr">
        <is>
          <t>Föryngringsavverkning</t>
        </is>
      </c>
      <c r="D1156" s="1" t="n">
        <v>45497</v>
      </c>
      <c r="E1156" s="1" t="n">
        <v>46219</v>
      </c>
      <c r="F1156" t="inlineStr">
        <is>
          <t>VÄRMLANDS LÄN</t>
        </is>
      </c>
      <c r="G1156" t="inlineStr">
        <is>
          <t>SUNNE</t>
        </is>
      </c>
      <c r="H1156" t="inlineStr">
        <is>
          <t>Bergvik skog väst AB</t>
        </is>
      </c>
      <c r="I1156" t="n">
        <v>1.4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4785-2022</t>
        </is>
      </c>
      <c r="B1157" t="inlineStr">
        <is>
          <t>avverkningsanmälan</t>
        </is>
      </c>
      <c r="C1157" t="inlineStr">
        <is>
          <t>Föryngringsavverkning</t>
        </is>
      </c>
      <c r="D1157" s="1" t="n">
        <v>44592</v>
      </c>
      <c r="E1157" s="1" t="n">
        <v>46219</v>
      </c>
      <c r="F1157" t="inlineStr">
        <is>
          <t>VÄRMLANDS LÄN</t>
        </is>
      </c>
      <c r="G1157" t="inlineStr">
        <is>
          <t>SUNNE</t>
        </is>
      </c>
      <c r="I1157" t="n">
        <v>1.9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43113-2021</t>
        </is>
      </c>
      <c r="B1158" t="inlineStr">
        <is>
          <t>avverkningsanmälan</t>
        </is>
      </c>
      <c r="C1158" t="inlineStr">
        <is>
          <t>Föryngringsavverkning</t>
        </is>
      </c>
      <c r="D1158" s="1" t="n">
        <v>44431</v>
      </c>
      <c r="E1158" s="1" t="n">
        <v>46219</v>
      </c>
      <c r="F1158" t="inlineStr">
        <is>
          <t>VÄRMLANDS LÄN</t>
        </is>
      </c>
      <c r="G1158" t="inlineStr">
        <is>
          <t>SUNNE</t>
        </is>
      </c>
      <c r="I1158" t="n">
        <v>1.3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28925-2023</t>
        </is>
      </c>
      <c r="B1159" t="inlineStr">
        <is>
          <t>avverkningsanmälan</t>
        </is>
      </c>
      <c r="C1159" t="inlineStr">
        <is>
          <t>Föryngringsavverkning</t>
        </is>
      </c>
      <c r="D1159" s="1" t="n">
        <v>45104</v>
      </c>
      <c r="E1159" s="1" t="n">
        <v>46219</v>
      </c>
      <c r="F1159" t="inlineStr">
        <is>
          <t>VÄRMLANDS LÄN</t>
        </is>
      </c>
      <c r="G1159" t="inlineStr">
        <is>
          <t>SUNNE</t>
        </is>
      </c>
      <c r="I1159" t="n">
        <v>3.7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29825-2025</t>
        </is>
      </c>
      <c r="B1160" t="inlineStr">
        <is>
          <t>avverkningsanmälan</t>
        </is>
      </c>
      <c r="C1160" t="inlineStr">
        <is>
          <t>Föryngringsavverkning</t>
        </is>
      </c>
      <c r="D1160" s="1" t="n">
        <v>45825</v>
      </c>
      <c r="E1160" s="1" t="n">
        <v>46219</v>
      </c>
      <c r="F1160" t="inlineStr">
        <is>
          <t>VÄRMLANDS LÄN</t>
        </is>
      </c>
      <c r="G1160" t="inlineStr">
        <is>
          <t>SUNNE</t>
        </is>
      </c>
      <c r="I1160" t="n">
        <v>3.2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33955-2025</t>
        </is>
      </c>
      <c r="B1161" t="inlineStr">
        <is>
          <t>avverkningsanmälan</t>
        </is>
      </c>
      <c r="C1161" t="inlineStr">
        <is>
          <t>Föryngringsavverkning</t>
        </is>
      </c>
      <c r="D1161" s="1" t="n">
        <v>45842</v>
      </c>
      <c r="E1161" s="1" t="n">
        <v>46219</v>
      </c>
      <c r="F1161" t="inlineStr">
        <is>
          <t>VÄRMLANDS LÄN</t>
        </is>
      </c>
      <c r="G1161" t="inlineStr">
        <is>
          <t>SUNNE</t>
        </is>
      </c>
      <c r="I1161" t="n">
        <v>1.6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34008-2025</t>
        </is>
      </c>
      <c r="B1162" t="inlineStr">
        <is>
          <t>avverkningsanmälan</t>
        </is>
      </c>
      <c r="C1162" t="inlineStr">
        <is>
          <t>Avverkning för annat ändamål</t>
        </is>
      </c>
      <c r="D1162" s="1" t="n">
        <v>45844</v>
      </c>
      <c r="E1162" s="1" t="n">
        <v>46219</v>
      </c>
      <c r="F1162" t="inlineStr">
        <is>
          <t>VÄRMLANDS LÄN</t>
        </is>
      </c>
      <c r="G1162" t="inlineStr">
        <is>
          <t>SUNNE</t>
        </is>
      </c>
      <c r="I1162" t="n">
        <v>0.4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34009-2025</t>
        </is>
      </c>
      <c r="B1163" t="inlineStr">
        <is>
          <t>avverkningsanmälan</t>
        </is>
      </c>
      <c r="C1163" t="inlineStr">
        <is>
          <t>Avverkning för annat ändamål</t>
        </is>
      </c>
      <c r="D1163" s="1" t="n">
        <v>45844</v>
      </c>
      <c r="E1163" s="1" t="n">
        <v>46219</v>
      </c>
      <c r="F1163" t="inlineStr">
        <is>
          <t>VÄRMLANDS LÄN</t>
        </is>
      </c>
      <c r="G1163" t="inlineStr">
        <is>
          <t>SUNNE</t>
        </is>
      </c>
      <c r="I1163" t="n">
        <v>0.2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34164-2025</t>
        </is>
      </c>
      <c r="B1164" t="inlineStr">
        <is>
          <t>avverkningsanmälan</t>
        </is>
      </c>
      <c r="C1164" t="inlineStr">
        <is>
          <t>Föryngringsavverkning</t>
        </is>
      </c>
      <c r="D1164" s="1" t="n">
        <v>45845</v>
      </c>
      <c r="E1164" s="1" t="n">
        <v>46219</v>
      </c>
      <c r="F1164" t="inlineStr">
        <is>
          <t>VÄRMLANDS LÄN</t>
        </is>
      </c>
      <c r="G1164" t="inlineStr">
        <is>
          <t>SUNNE</t>
        </is>
      </c>
      <c r="I1164" t="n">
        <v>0.8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34249-2025</t>
        </is>
      </c>
      <c r="B1165" t="inlineStr">
        <is>
          <t>avverkningsanmälan</t>
        </is>
      </c>
      <c r="C1165" t="inlineStr">
        <is>
          <t>Avverkning för annat ändamål</t>
        </is>
      </c>
      <c r="D1165" s="1" t="n">
        <v>45845</v>
      </c>
      <c r="E1165" s="1" t="n">
        <v>46219</v>
      </c>
      <c r="F1165" t="inlineStr">
        <is>
          <t>VÄRMLANDS LÄN</t>
        </is>
      </c>
      <c r="G1165" t="inlineStr">
        <is>
          <t>SUNNE</t>
        </is>
      </c>
      <c r="I1165" t="n">
        <v>0.3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17604-2025</t>
        </is>
      </c>
      <c r="B1166" t="inlineStr">
        <is>
          <t>avverkningsanmälan</t>
        </is>
      </c>
      <c r="C1166" t="inlineStr">
        <is>
          <t>Föryngringsavverkning</t>
        </is>
      </c>
      <c r="D1166" s="1" t="n">
        <v>45757</v>
      </c>
      <c r="E1166" s="1" t="n">
        <v>46219</v>
      </c>
      <c r="F1166" t="inlineStr">
        <is>
          <t>VÄRMLANDS LÄN</t>
        </is>
      </c>
      <c r="G1166" t="inlineStr">
        <is>
          <t>SUNNE</t>
        </is>
      </c>
      <c r="H1166" t="inlineStr">
        <is>
          <t>Övriga Aktiebolag</t>
        </is>
      </c>
      <c r="I1166" t="n">
        <v>12.3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19198-2025</t>
        </is>
      </c>
      <c r="B1167" t="inlineStr">
        <is>
          <t>avverkningsanmälan</t>
        </is>
      </c>
      <c r="C1167" t="inlineStr">
        <is>
          <t>Föryngringsavverkning</t>
        </is>
      </c>
      <c r="D1167" s="1" t="n">
        <v>45769</v>
      </c>
      <c r="E1167" s="1" t="n">
        <v>46219</v>
      </c>
      <c r="F1167" t="inlineStr">
        <is>
          <t>VÄRMLANDS LÄN</t>
        </is>
      </c>
      <c r="G1167" t="inlineStr">
        <is>
          <t>SUNNE</t>
        </is>
      </c>
      <c r="I1167" t="n">
        <v>3.6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20519-2026</t>
        </is>
      </c>
      <c r="B1168" t="inlineStr">
        <is>
          <t>avverkningsanmälan</t>
        </is>
      </c>
      <c r="C1168" t="inlineStr">
        <is>
          <t>Föryngringsavverkning</t>
        </is>
      </c>
      <c r="D1168" s="1" t="n">
        <v>46140</v>
      </c>
      <c r="E1168" s="1" t="n">
        <v>46219</v>
      </c>
      <c r="F1168" t="inlineStr">
        <is>
          <t>VÄRMLANDS LÄN</t>
        </is>
      </c>
      <c r="G1168" t="inlineStr">
        <is>
          <t>SUNNE</t>
        </is>
      </c>
      <c r="I1168" t="n">
        <v>7.1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51009-2024</t>
        </is>
      </c>
      <c r="B1169" t="inlineStr">
        <is>
          <t>avverkningsanmälan</t>
        </is>
      </c>
      <c r="C1169" t="inlineStr">
        <is>
          <t>Föryngringsavverkning</t>
        </is>
      </c>
      <c r="D1169" s="1" t="n">
        <v>45603</v>
      </c>
      <c r="E1169" s="1" t="n">
        <v>46219</v>
      </c>
      <c r="F1169" t="inlineStr">
        <is>
          <t>VÄRMLANDS LÄN</t>
        </is>
      </c>
      <c r="G1169" t="inlineStr">
        <is>
          <t>SUNNE</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15741-2025</t>
        </is>
      </c>
      <c r="B1170" t="inlineStr">
        <is>
          <t>avverkningsanmälan</t>
        </is>
      </c>
      <c r="C1170" t="inlineStr">
        <is>
          <t>Föryngringsavverkning</t>
        </is>
      </c>
      <c r="D1170" s="1" t="n">
        <v>45747</v>
      </c>
      <c r="E1170" s="1" t="n">
        <v>46219</v>
      </c>
      <c r="F1170" t="inlineStr">
        <is>
          <t>VÄRMLANDS LÄN</t>
        </is>
      </c>
      <c r="G1170" t="inlineStr">
        <is>
          <t>SUNNE</t>
        </is>
      </c>
      <c r="I1170" t="n">
        <v>2.7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6703-2025</t>
        </is>
      </c>
      <c r="B1171" t="inlineStr">
        <is>
          <t>avverkningsanmälan</t>
        </is>
      </c>
      <c r="C1171" t="inlineStr">
        <is>
          <t>Föryngringsavverkning</t>
        </is>
      </c>
      <c r="D1171" s="1" t="n">
        <v>45700</v>
      </c>
      <c r="E1171" s="1" t="n">
        <v>46219</v>
      </c>
      <c r="F1171" t="inlineStr">
        <is>
          <t>VÄRMLANDS LÄN</t>
        </is>
      </c>
      <c r="G1171" t="inlineStr">
        <is>
          <t>SUNNE</t>
        </is>
      </c>
      <c r="I1171" t="n">
        <v>2.6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45752-2024</t>
        </is>
      </c>
      <c r="B1172" t="inlineStr">
        <is>
          <t>avverkningsanmälan</t>
        </is>
      </c>
      <c r="C1172" t="inlineStr">
        <is>
          <t>Föryngringsavverkning</t>
        </is>
      </c>
      <c r="D1172" s="1" t="n">
        <v>45579</v>
      </c>
      <c r="E1172" s="1" t="n">
        <v>46219</v>
      </c>
      <c r="F1172" t="inlineStr">
        <is>
          <t>VÄRMLANDS LÄN</t>
        </is>
      </c>
      <c r="G1172" t="inlineStr">
        <is>
          <t>SUNNE</t>
        </is>
      </c>
      <c r="I1172" t="n">
        <v>2.6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20032-2025</t>
        </is>
      </c>
      <c r="B1173" t="inlineStr">
        <is>
          <t>avverkningsanmälan</t>
        </is>
      </c>
      <c r="C1173" t="inlineStr">
        <is>
          <t>Föryngringsavverkning</t>
        </is>
      </c>
      <c r="D1173" s="1" t="n">
        <v>45772</v>
      </c>
      <c r="E1173" s="1" t="n">
        <v>46219</v>
      </c>
      <c r="F1173" t="inlineStr">
        <is>
          <t>VÄRMLANDS LÄN</t>
        </is>
      </c>
      <c r="G1173" t="inlineStr">
        <is>
          <t>SUNNE</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44489-2025</t>
        </is>
      </c>
      <c r="B1174" t="inlineStr">
        <is>
          <t>avverkningsanmälan</t>
        </is>
      </c>
      <c r="C1174" t="inlineStr">
        <is>
          <t>Föryngringsavverkning</t>
        </is>
      </c>
      <c r="D1174" s="1" t="n">
        <v>45916</v>
      </c>
      <c r="E1174" s="1" t="n">
        <v>46219</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35064-2025</t>
        </is>
      </c>
      <c r="B1175" t="inlineStr">
        <is>
          <t>avverkningsanmälan</t>
        </is>
      </c>
      <c r="C1175" t="inlineStr">
        <is>
          <t>Föryngringsavverkning</t>
        </is>
      </c>
      <c r="D1175" s="1" t="n">
        <v>45852</v>
      </c>
      <c r="E1175" s="1" t="n">
        <v>46219</v>
      </c>
      <c r="F1175" t="inlineStr">
        <is>
          <t>VÄRMLANDS LÄN</t>
        </is>
      </c>
      <c r="G1175" t="inlineStr">
        <is>
          <t>SUNNE</t>
        </is>
      </c>
      <c r="H1175" t="inlineStr">
        <is>
          <t>Kyrkan</t>
        </is>
      </c>
      <c r="I1175" t="n">
        <v>0.6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51281-2024</t>
        </is>
      </c>
      <c r="B1176" t="inlineStr">
        <is>
          <t>avverkningsanmälan</t>
        </is>
      </c>
      <c r="C1176" t="inlineStr">
        <is>
          <t>Föryngringsavverkning</t>
        </is>
      </c>
      <c r="D1176" s="1" t="n">
        <v>45603</v>
      </c>
      <c r="E1176" s="1" t="n">
        <v>46219</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6706-2022</t>
        </is>
      </c>
      <c r="B1177" t="inlineStr">
        <is>
          <t>avverkningsanmälan</t>
        </is>
      </c>
      <c r="C1177" t="inlineStr">
        <is>
          <t>Föryngringsavverkning</t>
        </is>
      </c>
      <c r="D1177" s="1" t="n">
        <v>44602</v>
      </c>
      <c r="E1177" s="1" t="n">
        <v>46219</v>
      </c>
      <c r="F1177" t="inlineStr">
        <is>
          <t>VÄRMLANDS LÄN</t>
        </is>
      </c>
      <c r="G1177" t="inlineStr">
        <is>
          <t>SUNNE</t>
        </is>
      </c>
      <c r="I1177" t="n">
        <v>2.2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35063-2025</t>
        </is>
      </c>
      <c r="B1178" t="inlineStr">
        <is>
          <t>avverkningsanmälan</t>
        </is>
      </c>
      <c r="C1178" t="inlineStr">
        <is>
          <t>Föryngringsavverkning</t>
        </is>
      </c>
      <c r="D1178" s="1" t="n">
        <v>45852</v>
      </c>
      <c r="E1178" s="1" t="n">
        <v>46219</v>
      </c>
      <c r="F1178" t="inlineStr">
        <is>
          <t>VÄRMLANDS LÄN</t>
        </is>
      </c>
      <c r="G1178" t="inlineStr">
        <is>
          <t>SUNNE</t>
        </is>
      </c>
      <c r="H1178" t="inlineStr">
        <is>
          <t>Kyrkan</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16589-2022</t>
        </is>
      </c>
      <c r="B1179" t="inlineStr">
        <is>
          <t>avverkningsanmälan</t>
        </is>
      </c>
      <c r="C1179" t="inlineStr">
        <is>
          <t>Föryngringsavverkning</t>
        </is>
      </c>
      <c r="D1179" s="1" t="n">
        <v>44672</v>
      </c>
      <c r="E1179" s="1" t="n">
        <v>46219</v>
      </c>
      <c r="F1179" t="inlineStr">
        <is>
          <t>VÄRMLANDS LÄN</t>
        </is>
      </c>
      <c r="G1179" t="inlineStr">
        <is>
          <t>SUNNE</t>
        </is>
      </c>
      <c r="I1179" t="n">
        <v>5.4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35077-2025</t>
        </is>
      </c>
      <c r="B1180" t="inlineStr">
        <is>
          <t>avverkningsanmälan</t>
        </is>
      </c>
      <c r="C1180" t="inlineStr">
        <is>
          <t>Föryngringsavverkning</t>
        </is>
      </c>
      <c r="D1180" s="1" t="n">
        <v>45852</v>
      </c>
      <c r="E1180" s="1" t="n">
        <v>46219</v>
      </c>
      <c r="F1180" t="inlineStr">
        <is>
          <t>VÄRMLANDS LÄN</t>
        </is>
      </c>
      <c r="G1180" t="inlineStr">
        <is>
          <t>SUNNE</t>
        </is>
      </c>
      <c r="H1180" t="inlineStr">
        <is>
          <t>Bergvik skog väst AB</t>
        </is>
      </c>
      <c r="I1180" t="n">
        <v>5.3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35218-2025</t>
        </is>
      </c>
      <c r="B1181" t="inlineStr">
        <is>
          <t>avverkningsanmälan</t>
        </is>
      </c>
      <c r="C1181" t="inlineStr">
        <is>
          <t>Föryngringsavverkning</t>
        </is>
      </c>
      <c r="D1181" s="1" t="n">
        <v>45853</v>
      </c>
      <c r="E1181" s="1" t="n">
        <v>46219</v>
      </c>
      <c r="F1181" t="inlineStr">
        <is>
          <t>VÄRMLANDS LÄN</t>
        </is>
      </c>
      <c r="G1181" t="inlineStr">
        <is>
          <t>SUNNE</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35564-2025</t>
        </is>
      </c>
      <c r="B1182" t="inlineStr">
        <is>
          <t>avverkningsanmälan</t>
        </is>
      </c>
      <c r="C1182" t="inlineStr">
        <is>
          <t>Föryngringsavverkning</t>
        </is>
      </c>
      <c r="D1182" s="1" t="n">
        <v>45856</v>
      </c>
      <c r="E1182" s="1" t="n">
        <v>46219</v>
      </c>
      <c r="F1182" t="inlineStr">
        <is>
          <t>VÄRMLANDS LÄN</t>
        </is>
      </c>
      <c r="G1182" t="inlineStr">
        <is>
          <t>SUNNE</t>
        </is>
      </c>
      <c r="H1182" t="inlineStr">
        <is>
          <t>Bergvik skog väst AB</t>
        </is>
      </c>
      <c r="I1182" t="n">
        <v>2.3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35558-2025</t>
        </is>
      </c>
      <c r="B1183" t="inlineStr">
        <is>
          <t>avverkningsanmälan</t>
        </is>
      </c>
      <c r="C1183" t="inlineStr">
        <is>
          <t>Föryngringsavverkning</t>
        </is>
      </c>
      <c r="D1183" s="1" t="n">
        <v>45856</v>
      </c>
      <c r="E1183" s="1" t="n">
        <v>46219</v>
      </c>
      <c r="F1183" t="inlineStr">
        <is>
          <t>VÄRMLANDS LÄN</t>
        </is>
      </c>
      <c r="G1183" t="inlineStr">
        <is>
          <t>SUNNE</t>
        </is>
      </c>
      <c r="H1183" t="inlineStr">
        <is>
          <t>Bergvik skog väst AB</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35574-2025</t>
        </is>
      </c>
      <c r="B1184" t="inlineStr">
        <is>
          <t>avverkningsanmälan</t>
        </is>
      </c>
      <c r="C1184" t="inlineStr">
        <is>
          <t>Föryngringsavverkning</t>
        </is>
      </c>
      <c r="D1184" s="1" t="n">
        <v>45856</v>
      </c>
      <c r="E1184" s="1" t="n">
        <v>46219</v>
      </c>
      <c r="F1184" t="inlineStr">
        <is>
          <t>VÄRMLANDS LÄN</t>
        </is>
      </c>
      <c r="G1184" t="inlineStr">
        <is>
          <t>SUNNE</t>
        </is>
      </c>
      <c r="H1184" t="inlineStr">
        <is>
          <t>Kyrkan</t>
        </is>
      </c>
      <c r="I1184" t="n">
        <v>1.9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24506-2024</t>
        </is>
      </c>
      <c r="B1185" t="inlineStr">
        <is>
          <t>avverkningsanmälan</t>
        </is>
      </c>
      <c r="C1185" t="inlineStr">
        <is>
          <t>Föryngringsavverkning</t>
        </is>
      </c>
      <c r="D1185" s="1" t="n">
        <v>45460</v>
      </c>
      <c r="E1185" s="1" t="n">
        <v>46219</v>
      </c>
      <c r="F1185" t="inlineStr">
        <is>
          <t>VÄRMLANDS LÄN</t>
        </is>
      </c>
      <c r="G1185" t="inlineStr">
        <is>
          <t>SUNNE</t>
        </is>
      </c>
      <c r="I1185" t="n">
        <v>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35756-2025</t>
        </is>
      </c>
      <c r="B1186" t="inlineStr">
        <is>
          <t>avverkningsanmälan</t>
        </is>
      </c>
      <c r="C1186" t="inlineStr">
        <is>
          <t>Föryngringsavverkning</t>
        </is>
      </c>
      <c r="D1186" s="1" t="n">
        <v>45860</v>
      </c>
      <c r="E1186" s="1" t="n">
        <v>46219</v>
      </c>
      <c r="F1186" t="inlineStr">
        <is>
          <t>VÄRMLANDS LÄN</t>
        </is>
      </c>
      <c r="G1186" t="inlineStr">
        <is>
          <t>SUNNE</t>
        </is>
      </c>
      <c r="I1186" t="n">
        <v>7.5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35609-2025</t>
        </is>
      </c>
      <c r="B1187" t="inlineStr">
        <is>
          <t>avverkningsanmälan</t>
        </is>
      </c>
      <c r="C1187" t="inlineStr">
        <is>
          <t>Föryngringsavverkning</t>
        </is>
      </c>
      <c r="D1187" s="1" t="n">
        <v>45859</v>
      </c>
      <c r="E1187" s="1" t="n">
        <v>46219</v>
      </c>
      <c r="F1187" t="inlineStr">
        <is>
          <t>VÄRMLANDS LÄN</t>
        </is>
      </c>
      <c r="G1187" t="inlineStr">
        <is>
          <t>SUNNE</t>
        </is>
      </c>
      <c r="H1187" t="inlineStr">
        <is>
          <t>Bergvik skog väst AB</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35613-2025</t>
        </is>
      </c>
      <c r="B1188" t="inlineStr">
        <is>
          <t>avverkningsanmälan</t>
        </is>
      </c>
      <c r="C1188" t="inlineStr">
        <is>
          <t>Föryngringsavverkning</t>
        </is>
      </c>
      <c r="D1188" s="1" t="n">
        <v>45859</v>
      </c>
      <c r="E1188" s="1" t="n">
        <v>46219</v>
      </c>
      <c r="F1188" t="inlineStr">
        <is>
          <t>VÄRMLANDS LÄN</t>
        </is>
      </c>
      <c r="G1188" t="inlineStr">
        <is>
          <t>SUNNE</t>
        </is>
      </c>
      <c r="H1188" t="inlineStr">
        <is>
          <t>Bergvik skog väst AB</t>
        </is>
      </c>
      <c r="I1188" t="n">
        <v>1.4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35612-2025</t>
        </is>
      </c>
      <c r="B1189" t="inlineStr">
        <is>
          <t>avverkningsanmälan</t>
        </is>
      </c>
      <c r="C1189" t="inlineStr">
        <is>
          <t>Föryngringsavverkning</t>
        </is>
      </c>
      <c r="D1189" s="1" t="n">
        <v>45859</v>
      </c>
      <c r="E1189" s="1" t="n">
        <v>46219</v>
      </c>
      <c r="F1189" t="inlineStr">
        <is>
          <t>VÄRMLANDS LÄN</t>
        </is>
      </c>
      <c r="G1189" t="inlineStr">
        <is>
          <t>SUNNE</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63899-2021</t>
        </is>
      </c>
      <c r="B1190" t="inlineStr">
        <is>
          <t>avverkningsanmälan</t>
        </is>
      </c>
      <c r="C1190" t="inlineStr">
        <is>
          <t>Avverkning för annat ändamål</t>
        </is>
      </c>
      <c r="D1190" s="1" t="n">
        <v>44509</v>
      </c>
      <c r="E1190" s="1" t="n">
        <v>46219</v>
      </c>
      <c r="F1190" t="inlineStr">
        <is>
          <t>VÄRMLANDS LÄN</t>
        </is>
      </c>
      <c r="G1190" t="inlineStr">
        <is>
          <t>SUNNE</t>
        </is>
      </c>
      <c r="H1190" t="inlineStr">
        <is>
          <t>Bergvik skog väst AB</t>
        </is>
      </c>
      <c r="I1190" t="n">
        <v>0.6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13275-2025</t>
        </is>
      </c>
      <c r="B1191" t="inlineStr">
        <is>
          <t>avverkningsanmälan</t>
        </is>
      </c>
      <c r="C1191" t="inlineStr">
        <is>
          <t>Föryngringsavverkning</t>
        </is>
      </c>
      <c r="D1191" s="1" t="n">
        <v>45735</v>
      </c>
      <c r="E1191" s="1" t="n">
        <v>46219</v>
      </c>
      <c r="F1191" t="inlineStr">
        <is>
          <t>VÄRMLANDS LÄN</t>
        </is>
      </c>
      <c r="G1191" t="inlineStr">
        <is>
          <t>SUNNE</t>
        </is>
      </c>
      <c r="H1191" t="inlineStr">
        <is>
          <t>Bergvik skog väst AB</t>
        </is>
      </c>
      <c r="I1191" t="n">
        <v>1.3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20800-2026</t>
        </is>
      </c>
      <c r="B1192" t="inlineStr">
        <is>
          <t>avverkningsanmälan</t>
        </is>
      </c>
      <c r="C1192" t="inlineStr">
        <is>
          <t>Föryngringsavverkning</t>
        </is>
      </c>
      <c r="D1192" s="1" t="n">
        <v>46141</v>
      </c>
      <c r="E1192" s="1" t="n">
        <v>46219</v>
      </c>
      <c r="F1192" t="inlineStr">
        <is>
          <t>VÄRMLANDS LÄN</t>
        </is>
      </c>
      <c r="G1192" t="inlineStr">
        <is>
          <t>SUNNE</t>
        </is>
      </c>
      <c r="I1192" t="n">
        <v>1.1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23718-2025</t>
        </is>
      </c>
      <c r="B1193" t="inlineStr">
        <is>
          <t>avverkningsanmälan</t>
        </is>
      </c>
      <c r="C1193" t="inlineStr">
        <is>
          <t>Föryngringsavverkning</t>
        </is>
      </c>
      <c r="D1193" s="1" t="n">
        <v>45793</v>
      </c>
      <c r="E1193" s="1" t="n">
        <v>46219</v>
      </c>
      <c r="F1193" t="inlineStr">
        <is>
          <t>VÄRMLANDS LÄN</t>
        </is>
      </c>
      <c r="G1193" t="inlineStr">
        <is>
          <t>SUNNE</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7057-2023</t>
        </is>
      </c>
      <c r="B1194" t="inlineStr">
        <is>
          <t>avverkningsanmälan</t>
        </is>
      </c>
      <c r="C1194" t="inlineStr">
        <is>
          <t>Föryngringsavverkning</t>
        </is>
      </c>
      <c r="D1194" s="1" t="n">
        <v>44969</v>
      </c>
      <c r="E1194" s="1" t="n">
        <v>46219</v>
      </c>
      <c r="F1194" t="inlineStr">
        <is>
          <t>VÄRMLANDS LÄN</t>
        </is>
      </c>
      <c r="G1194" t="inlineStr">
        <is>
          <t>SUNNE</t>
        </is>
      </c>
      <c r="I1194" t="n">
        <v>9.1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36923-2025</t>
        </is>
      </c>
      <c r="B1195" t="inlineStr">
        <is>
          <t>avverkningsanmälan</t>
        </is>
      </c>
      <c r="C1195" t="inlineStr">
        <is>
          <t>Föryngringsavverkning</t>
        </is>
      </c>
      <c r="D1195" s="1" t="n">
        <v>45874</v>
      </c>
      <c r="E1195" s="1" t="n">
        <v>46219</v>
      </c>
      <c r="F1195" t="inlineStr">
        <is>
          <t>VÄRMLANDS LÄN</t>
        </is>
      </c>
      <c r="G1195" t="inlineStr">
        <is>
          <t>SUNNE</t>
        </is>
      </c>
      <c r="H1195" t="inlineStr">
        <is>
          <t>Bergvik skog väst AB</t>
        </is>
      </c>
      <c r="I1195" t="n">
        <v>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26327-2025</t>
        </is>
      </c>
      <c r="B1196" t="inlineStr">
        <is>
          <t>avverkningsanmälan</t>
        </is>
      </c>
      <c r="C1196" t="inlineStr">
        <is>
          <t>Föryngringsavverkning</t>
        </is>
      </c>
      <c r="D1196" s="1" t="n">
        <v>45805</v>
      </c>
      <c r="E1196" s="1" t="n">
        <v>46219</v>
      </c>
      <c r="F1196" t="inlineStr">
        <is>
          <t>VÄRMLANDS LÄN</t>
        </is>
      </c>
      <c r="G1196" t="inlineStr">
        <is>
          <t>SUNNE</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36898-2025</t>
        </is>
      </c>
      <c r="B1197" t="inlineStr">
        <is>
          <t>avverkningsanmälan</t>
        </is>
      </c>
      <c r="C1197" t="inlineStr">
        <is>
          <t>Föryngringsavverkning</t>
        </is>
      </c>
      <c r="D1197" s="1" t="n">
        <v>45874</v>
      </c>
      <c r="E1197" s="1" t="n">
        <v>46219</v>
      </c>
      <c r="F1197" t="inlineStr">
        <is>
          <t>VÄRMLANDS LÄN</t>
        </is>
      </c>
      <c r="G1197" t="inlineStr">
        <is>
          <t>SUNNE</t>
        </is>
      </c>
      <c r="H1197" t="inlineStr">
        <is>
          <t>Bergvik skog väst AB</t>
        </is>
      </c>
      <c r="I1197" t="n">
        <v>0.9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16816-2024</t>
        </is>
      </c>
      <c r="B1198" t="inlineStr">
        <is>
          <t>avverkningsanmälan</t>
        </is>
      </c>
      <c r="C1198" t="inlineStr">
        <is>
          <t>Avverkning för annat ändamål</t>
        </is>
      </c>
      <c r="D1198" s="1" t="n">
        <v>45411</v>
      </c>
      <c r="E1198" s="1" t="n">
        <v>46219</v>
      </c>
      <c r="F1198" t="inlineStr">
        <is>
          <t>VÄRMLANDS LÄN</t>
        </is>
      </c>
      <c r="G1198" t="inlineStr">
        <is>
          <t>SUNNE</t>
        </is>
      </c>
      <c r="I1198" t="n">
        <v>1.7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38866-2025</t>
        </is>
      </c>
      <c r="B1199" t="inlineStr">
        <is>
          <t>avverkningsanmälan</t>
        </is>
      </c>
      <c r="C1199" t="inlineStr">
        <is>
          <t>Föryngringsavverkning</t>
        </is>
      </c>
      <c r="D1199" s="1" t="n">
        <v>45887</v>
      </c>
      <c r="E1199" s="1" t="n">
        <v>46219</v>
      </c>
      <c r="F1199" t="inlineStr">
        <is>
          <t>VÄRMLANDS LÄN</t>
        </is>
      </c>
      <c r="G1199" t="inlineStr">
        <is>
          <t>SUNNE</t>
        </is>
      </c>
      <c r="I1199" t="n">
        <v>2.6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36885-2025</t>
        </is>
      </c>
      <c r="B1200" t="inlineStr">
        <is>
          <t>avverkningsanmälan</t>
        </is>
      </c>
      <c r="C1200" t="inlineStr">
        <is>
          <t>Föryngringsavverkning</t>
        </is>
      </c>
      <c r="D1200" s="1" t="n">
        <v>45874</v>
      </c>
      <c r="E1200" s="1" t="n">
        <v>46219</v>
      </c>
      <c r="F1200" t="inlineStr">
        <is>
          <t>VÄRMLANDS LÄN</t>
        </is>
      </c>
      <c r="G1200" t="inlineStr">
        <is>
          <t>SUNNE</t>
        </is>
      </c>
      <c r="H1200" t="inlineStr">
        <is>
          <t>Bergvik skog väst AB</t>
        </is>
      </c>
      <c r="I1200" t="n">
        <v>3.6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37006-2025</t>
        </is>
      </c>
      <c r="B1201" t="inlineStr">
        <is>
          <t>avverkningsanmälan</t>
        </is>
      </c>
      <c r="C1201" t="inlineStr">
        <is>
          <t>Föryngringsavverkning</t>
        </is>
      </c>
      <c r="D1201" s="1" t="n">
        <v>45874</v>
      </c>
      <c r="E1201" s="1" t="n">
        <v>46219</v>
      </c>
      <c r="F1201" t="inlineStr">
        <is>
          <t>VÄRMLANDS LÄN</t>
        </is>
      </c>
      <c r="G1201" t="inlineStr">
        <is>
          <t>SUNNE</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19497-2023</t>
        </is>
      </c>
      <c r="B1202" t="inlineStr">
        <is>
          <t>avverkningsanmälan</t>
        </is>
      </c>
      <c r="C1202" t="inlineStr">
        <is>
          <t>Föryngringsavverkning</t>
        </is>
      </c>
      <c r="D1202" s="1" t="n">
        <v>45050</v>
      </c>
      <c r="E1202" s="1" t="n">
        <v>46219</v>
      </c>
      <c r="F1202" t="inlineStr">
        <is>
          <t>VÄRMLANDS LÄN</t>
        </is>
      </c>
      <c r="G1202" t="inlineStr">
        <is>
          <t>SUNNE</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36822-2025</t>
        </is>
      </c>
      <c r="B1203" t="inlineStr">
        <is>
          <t>avverkningsanmälan</t>
        </is>
      </c>
      <c r="C1203" t="inlineStr">
        <is>
          <t>Föryngringsavverkning</t>
        </is>
      </c>
      <c r="D1203" s="1" t="n">
        <v>45873</v>
      </c>
      <c r="E1203" s="1" t="n">
        <v>46219</v>
      </c>
      <c r="F1203" t="inlineStr">
        <is>
          <t>VÄRMLANDS LÄN</t>
        </is>
      </c>
      <c r="G1203" t="inlineStr">
        <is>
          <t>SUNNE</t>
        </is>
      </c>
      <c r="I1203" t="n">
        <v>1.6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33772-2025</t>
        </is>
      </c>
      <c r="B1204" t="inlineStr">
        <is>
          <t>avverkningsanmälan</t>
        </is>
      </c>
      <c r="C1204" t="inlineStr">
        <is>
          <t>Föryngringsavverkning</t>
        </is>
      </c>
      <c r="D1204" s="1" t="n">
        <v>45842</v>
      </c>
      <c r="E1204" s="1" t="n">
        <v>46219</v>
      </c>
      <c r="F1204" t="inlineStr">
        <is>
          <t>VÄRMLANDS LÄN</t>
        </is>
      </c>
      <c r="G1204" t="inlineStr">
        <is>
          <t>SUNNE</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26119-2026</t>
        </is>
      </c>
      <c r="B1205" t="inlineStr">
        <is>
          <t>avverkningsanmälan</t>
        </is>
      </c>
      <c r="C1205" t="inlineStr">
        <is>
          <t>Föryngringsavverkning</t>
        </is>
      </c>
      <c r="D1205" s="1" t="n">
        <v>46181</v>
      </c>
      <c r="E1205" s="1" t="n">
        <v>46219</v>
      </c>
      <c r="F1205" t="inlineStr">
        <is>
          <t>VÄRMLANDS LÄN</t>
        </is>
      </c>
      <c r="G1205" t="inlineStr">
        <is>
          <t>SUNNE</t>
        </is>
      </c>
      <c r="I1205" t="n">
        <v>4.8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37312-2025</t>
        </is>
      </c>
      <c r="B1206" t="inlineStr">
        <is>
          <t>avverkningsanmälan</t>
        </is>
      </c>
      <c r="C1206" t="inlineStr">
        <is>
          <t>Föryngringsavverkning</t>
        </is>
      </c>
      <c r="D1206" s="1" t="n">
        <v>45876</v>
      </c>
      <c r="E1206" s="1" t="n">
        <v>46219</v>
      </c>
      <c r="F1206" t="inlineStr">
        <is>
          <t>VÄRMLANDS LÄN</t>
        </is>
      </c>
      <c r="G1206" t="inlineStr">
        <is>
          <t>SUNNE</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37314-2025</t>
        </is>
      </c>
      <c r="B1207" t="inlineStr">
        <is>
          <t>avverkningsanmälan</t>
        </is>
      </c>
      <c r="C1207" t="inlineStr">
        <is>
          <t>Föryngringsavverkning</t>
        </is>
      </c>
      <c r="D1207" s="1" t="n">
        <v>45876</v>
      </c>
      <c r="E1207" s="1" t="n">
        <v>46219</v>
      </c>
      <c r="F1207" t="inlineStr">
        <is>
          <t>VÄRMLANDS LÄN</t>
        </is>
      </c>
      <c r="G1207" t="inlineStr">
        <is>
          <t>SUNNE</t>
        </is>
      </c>
      <c r="I1207" t="n">
        <v>5.1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35039-2025</t>
        </is>
      </c>
      <c r="B1208" t="inlineStr">
        <is>
          <t>avverkningsanmälan</t>
        </is>
      </c>
      <c r="C1208" t="inlineStr">
        <is>
          <t>Föryngringsavverkning</t>
        </is>
      </c>
      <c r="D1208" s="1" t="n">
        <v>45852</v>
      </c>
      <c r="E1208" s="1" t="n">
        <v>46219</v>
      </c>
      <c r="F1208" t="inlineStr">
        <is>
          <t>VÄRMLANDS LÄN</t>
        </is>
      </c>
      <c r="G1208" t="inlineStr">
        <is>
          <t>SUNNE</t>
        </is>
      </c>
      <c r="H1208" t="inlineStr">
        <is>
          <t>Bergvik skog väst AB</t>
        </is>
      </c>
      <c r="I1208" t="n">
        <v>3.4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17579-2024</t>
        </is>
      </c>
      <c r="B1209" t="inlineStr">
        <is>
          <t>avverkningsanmälan</t>
        </is>
      </c>
      <c r="C1209" t="inlineStr">
        <is>
          <t>Föryngringsavverkning</t>
        </is>
      </c>
      <c r="D1209" s="1" t="n">
        <v>45415</v>
      </c>
      <c r="E1209" s="1" t="n">
        <v>46219</v>
      </c>
      <c r="F1209" t="inlineStr">
        <is>
          <t>VÄRMLANDS LÄN</t>
        </is>
      </c>
      <c r="G1209" t="inlineStr">
        <is>
          <t>SUNNE</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37705-2025</t>
        </is>
      </c>
      <c r="B1210" t="inlineStr">
        <is>
          <t>avverkningsanmälan</t>
        </is>
      </c>
      <c r="C1210" t="inlineStr">
        <is>
          <t>Föryngringsavverkning</t>
        </is>
      </c>
      <c r="D1210" s="1" t="n">
        <v>45880</v>
      </c>
      <c r="E1210" s="1" t="n">
        <v>46219</v>
      </c>
      <c r="F1210" t="inlineStr">
        <is>
          <t>VÄRMLANDS LÄN</t>
        </is>
      </c>
      <c r="G1210" t="inlineStr">
        <is>
          <t>SUNNE</t>
        </is>
      </c>
      <c r="I1210" t="n">
        <v>2.4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27260-2026</t>
        </is>
      </c>
      <c r="B1211" t="inlineStr">
        <is>
          <t>avverkningsanmälan</t>
        </is>
      </c>
      <c r="C1211" t="inlineStr">
        <is>
          <t>Föryngringsavverkning</t>
        </is>
      </c>
      <c r="D1211" s="1" t="n">
        <v>46188</v>
      </c>
      <c r="E1211" s="1" t="n">
        <v>46219</v>
      </c>
      <c r="F1211" t="inlineStr">
        <is>
          <t>VÄRMLANDS LÄN</t>
        </is>
      </c>
      <c r="G1211" t="inlineStr">
        <is>
          <t>SUNNE</t>
        </is>
      </c>
      <c r="I1211" t="n">
        <v>11.1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33455-2022</t>
        </is>
      </c>
      <c r="B1212" t="inlineStr">
        <is>
          <t>avverkningsanmälan</t>
        </is>
      </c>
      <c r="C1212" t="inlineStr">
        <is>
          <t>Föryngringsavverkning</t>
        </is>
      </c>
      <c r="D1212" s="1" t="n">
        <v>44788</v>
      </c>
      <c r="E1212" s="1" t="n">
        <v>46219</v>
      </c>
      <c r="F1212" t="inlineStr">
        <is>
          <t>VÄRMLANDS LÄN</t>
        </is>
      </c>
      <c r="G1212" t="inlineStr">
        <is>
          <t>SUNNE</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8692-2023</t>
        </is>
      </c>
      <c r="B1213" t="inlineStr">
        <is>
          <t>avverkningsanmälan</t>
        </is>
      </c>
      <c r="C1213" t="inlineStr">
        <is>
          <t>Föryngringsavverkning</t>
        </is>
      </c>
      <c r="D1213" s="1" t="n">
        <v>44978</v>
      </c>
      <c r="E1213" s="1" t="n">
        <v>46219</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44815-2024</t>
        </is>
      </c>
      <c r="B1214" t="inlineStr">
        <is>
          <t>avverkningsanmälan</t>
        </is>
      </c>
      <c r="C1214" t="inlineStr">
        <is>
          <t>Föryngringsavverkning</t>
        </is>
      </c>
      <c r="D1214" s="1" t="n">
        <v>45574</v>
      </c>
      <c r="E1214" s="1" t="n">
        <v>46219</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44284-2023</t>
        </is>
      </c>
      <c r="B1215" t="inlineStr">
        <is>
          <t>avverkningsanmälan</t>
        </is>
      </c>
      <c r="C1215" t="inlineStr">
        <is>
          <t>Föryngringsavverkning</t>
        </is>
      </c>
      <c r="D1215" s="1" t="n">
        <v>45188</v>
      </c>
      <c r="E1215" s="1" t="n">
        <v>46219</v>
      </c>
      <c r="F1215" t="inlineStr">
        <is>
          <t>VÄRMLANDS LÄN</t>
        </is>
      </c>
      <c r="G1215" t="inlineStr">
        <is>
          <t>SUNNE</t>
        </is>
      </c>
      <c r="I1215" t="n">
        <v>2.5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18392-2023</t>
        </is>
      </c>
      <c r="B1216" t="inlineStr">
        <is>
          <t>avverkningsanmälan</t>
        </is>
      </c>
      <c r="C1216" t="inlineStr">
        <is>
          <t>Föryngringsavverkning</t>
        </is>
      </c>
      <c r="D1216" s="1" t="n">
        <v>45042</v>
      </c>
      <c r="E1216" s="1" t="n">
        <v>46219</v>
      </c>
      <c r="F1216" t="inlineStr">
        <is>
          <t>VÄRMLANDS LÄN</t>
        </is>
      </c>
      <c r="G1216" t="inlineStr">
        <is>
          <t>SUNNE</t>
        </is>
      </c>
      <c r="I1216" t="n">
        <v>3.8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27110-2026</t>
        </is>
      </c>
      <c r="B1217" t="inlineStr">
        <is>
          <t>avverkningsanmälan</t>
        </is>
      </c>
      <c r="C1217" t="inlineStr">
        <is>
          <t>Föryngringsavverkning</t>
        </is>
      </c>
      <c r="D1217" s="1" t="n">
        <v>46188</v>
      </c>
      <c r="E1217" s="1" t="n">
        <v>46219</v>
      </c>
      <c r="F1217" t="inlineStr">
        <is>
          <t>VÄRMLANDS LÄN</t>
        </is>
      </c>
      <c r="G1217" t="inlineStr">
        <is>
          <t>SUNNE</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9133-2023</t>
        </is>
      </c>
      <c r="B1218" t="inlineStr">
        <is>
          <t>avverkningsanmälan</t>
        </is>
      </c>
      <c r="C1218" t="inlineStr">
        <is>
          <t>Föryngringsavverkning</t>
        </is>
      </c>
      <c r="D1218" s="1" t="n">
        <v>44980</v>
      </c>
      <c r="E1218" s="1" t="n">
        <v>46219</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42537-2022</t>
        </is>
      </c>
      <c r="B1219" t="inlineStr">
        <is>
          <t>avverkningsanmälan</t>
        </is>
      </c>
      <c r="C1219" t="inlineStr">
        <is>
          <t>Föryngringsavverkning</t>
        </is>
      </c>
      <c r="D1219" s="1" t="n">
        <v>44831</v>
      </c>
      <c r="E1219" s="1" t="n">
        <v>46219</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3582-2022</t>
        </is>
      </c>
      <c r="B1220" t="inlineStr">
        <is>
          <t>avverkningsanmälan</t>
        </is>
      </c>
      <c r="C1220" t="inlineStr">
        <is>
          <t>Föryngringsavverkning</t>
        </is>
      </c>
      <c r="D1220" s="1" t="n">
        <v>44586</v>
      </c>
      <c r="E1220" s="1" t="n">
        <v>46219</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19523-2022</t>
        </is>
      </c>
      <c r="B1221" t="inlineStr">
        <is>
          <t>avverkningsanmälan</t>
        </is>
      </c>
      <c r="C1221" t="inlineStr">
        <is>
          <t>Föryngringsavverkning</t>
        </is>
      </c>
      <c r="D1221" s="1" t="n">
        <v>44693</v>
      </c>
      <c r="E1221" s="1" t="n">
        <v>46219</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19526-2022</t>
        </is>
      </c>
      <c r="B1222" t="inlineStr">
        <is>
          <t>avverkningsanmälan</t>
        </is>
      </c>
      <c r="C1222" t="inlineStr">
        <is>
          <t>Föryngringsavverkning</t>
        </is>
      </c>
      <c r="D1222" s="1" t="n">
        <v>44693</v>
      </c>
      <c r="E1222" s="1" t="n">
        <v>46219</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47068-2022</t>
        </is>
      </c>
      <c r="B1223" t="inlineStr">
        <is>
          <t>avverkningsanmälan</t>
        </is>
      </c>
      <c r="C1223" t="inlineStr">
        <is>
          <t>Föryngringsavverkning</t>
        </is>
      </c>
      <c r="D1223" s="1" t="n">
        <v>44852</v>
      </c>
      <c r="E1223" s="1" t="n">
        <v>46219</v>
      </c>
      <c r="F1223" t="inlineStr">
        <is>
          <t>VÄRMLANDS LÄN</t>
        </is>
      </c>
      <c r="G1223" t="inlineStr">
        <is>
          <t>SUNNE</t>
        </is>
      </c>
      <c r="I1223" t="n">
        <v>7.9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41525-2021</t>
        </is>
      </c>
      <c r="B1224" t="inlineStr">
        <is>
          <t>avverkningsanmälan</t>
        </is>
      </c>
      <c r="C1224" t="inlineStr">
        <is>
          <t>Föryngringsavverkning</t>
        </is>
      </c>
      <c r="D1224" s="1" t="n">
        <v>44425</v>
      </c>
      <c r="E1224" s="1" t="n">
        <v>46219</v>
      </c>
      <c r="F1224" t="inlineStr">
        <is>
          <t>VÄRMLANDS LÄN</t>
        </is>
      </c>
      <c r="G1224" t="inlineStr">
        <is>
          <t>SUNNE</t>
        </is>
      </c>
      <c r="I1224" t="n">
        <v>1.7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26901-2023</t>
        </is>
      </c>
      <c r="B1225" t="inlineStr">
        <is>
          <t>avverkningsanmälan</t>
        </is>
      </c>
      <c r="C1225" t="inlineStr">
        <is>
          <t>Föryngringsavverkning</t>
        </is>
      </c>
      <c r="D1225" s="1" t="n">
        <v>45093</v>
      </c>
      <c r="E1225" s="1" t="n">
        <v>46219</v>
      </c>
      <c r="F1225" t="inlineStr">
        <is>
          <t>VÄRMLANDS LÄN</t>
        </is>
      </c>
      <c r="G1225" t="inlineStr">
        <is>
          <t>SUNNE</t>
        </is>
      </c>
      <c r="I1225" t="n">
        <v>1.4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16826-2024</t>
        </is>
      </c>
      <c r="B1226" t="inlineStr">
        <is>
          <t>avverkningsanmälan</t>
        </is>
      </c>
      <c r="C1226" t="inlineStr">
        <is>
          <t>Föryngringsavverkning</t>
        </is>
      </c>
      <c r="D1226" s="1" t="n">
        <v>45411</v>
      </c>
      <c r="E1226" s="1" t="n">
        <v>46219</v>
      </c>
      <c r="F1226" t="inlineStr">
        <is>
          <t>VÄRMLANDS LÄN</t>
        </is>
      </c>
      <c r="G1226" t="inlineStr">
        <is>
          <t>SUNNE</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49244-2022</t>
        </is>
      </c>
      <c r="B1227" t="inlineStr">
        <is>
          <t>avverkningsanmälan</t>
        </is>
      </c>
      <c r="C1227" t="inlineStr">
        <is>
          <t>Föryngringsavverkning</t>
        </is>
      </c>
      <c r="D1227" s="1" t="n">
        <v>44861</v>
      </c>
      <c r="E1227" s="1" t="n">
        <v>46219</v>
      </c>
      <c r="F1227" t="inlineStr">
        <is>
          <t>VÄRMLANDS LÄN</t>
        </is>
      </c>
      <c r="G1227" t="inlineStr">
        <is>
          <t>SUNNE</t>
        </is>
      </c>
      <c r="I1227" t="n">
        <v>2.2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9900-2023</t>
        </is>
      </c>
      <c r="B1228" t="inlineStr">
        <is>
          <t>avverkningsanmälan</t>
        </is>
      </c>
      <c r="C1228" t="inlineStr">
        <is>
          <t>Föryngringsavverkning</t>
        </is>
      </c>
      <c r="D1228" s="1" t="n">
        <v>44985</v>
      </c>
      <c r="E1228" s="1" t="n">
        <v>46219</v>
      </c>
      <c r="F1228" t="inlineStr">
        <is>
          <t>VÄRMLANDS LÄN</t>
        </is>
      </c>
      <c r="G1228" t="inlineStr">
        <is>
          <t>SUNNE</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20269-2025</t>
        </is>
      </c>
      <c r="B1229" t="inlineStr">
        <is>
          <t>avverkningsanmälan</t>
        </is>
      </c>
      <c r="C1229" t="inlineStr">
        <is>
          <t>Föryngringsavverkning</t>
        </is>
      </c>
      <c r="D1229" s="1" t="n">
        <v>45773</v>
      </c>
      <c r="E1229" s="1" t="n">
        <v>46219</v>
      </c>
      <c r="F1229" t="inlineStr">
        <is>
          <t>VÄRMLANDS LÄN</t>
        </is>
      </c>
      <c r="G1229" t="inlineStr">
        <is>
          <t>SUNNE</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45304-2023</t>
        </is>
      </c>
      <c r="B1230" t="inlineStr">
        <is>
          <t>avverkningsanmälan</t>
        </is>
      </c>
      <c r="C1230" t="inlineStr">
        <is>
          <t>Föryngringsavverkning</t>
        </is>
      </c>
      <c r="D1230" s="1" t="n">
        <v>45191</v>
      </c>
      <c r="E1230" s="1" t="n">
        <v>46219</v>
      </c>
      <c r="F1230" t="inlineStr">
        <is>
          <t>VÄRMLANDS LÄN</t>
        </is>
      </c>
      <c r="G1230" t="inlineStr">
        <is>
          <t>SUNNE</t>
        </is>
      </c>
      <c r="I1230" t="n">
        <v>4.7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4089-2022</t>
        </is>
      </c>
      <c r="B1231" t="inlineStr">
        <is>
          <t>avverkningsanmälan</t>
        </is>
      </c>
      <c r="C1231" t="inlineStr">
        <is>
          <t>Föryngringsavverkning</t>
        </is>
      </c>
      <c r="D1231" s="1" t="n">
        <v>44588</v>
      </c>
      <c r="E1231" s="1" t="n">
        <v>46219</v>
      </c>
      <c r="F1231" t="inlineStr">
        <is>
          <t>VÄRMLANDS LÄN</t>
        </is>
      </c>
      <c r="G1231" t="inlineStr">
        <is>
          <t>SUNNE</t>
        </is>
      </c>
      <c r="I1231" t="n">
        <v>0.9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33756-2022</t>
        </is>
      </c>
      <c r="B1232" t="inlineStr">
        <is>
          <t>avverkningsanmälan</t>
        </is>
      </c>
      <c r="C1232" t="inlineStr">
        <is>
          <t>Föryngringsavverkning</t>
        </is>
      </c>
      <c r="D1232" s="1" t="n">
        <v>44790</v>
      </c>
      <c r="E1232" s="1" t="n">
        <v>46219</v>
      </c>
      <c r="F1232" t="inlineStr">
        <is>
          <t>VÄRMLANDS LÄN</t>
        </is>
      </c>
      <c r="G1232" t="inlineStr">
        <is>
          <t>SUNNE</t>
        </is>
      </c>
      <c r="I1232" t="n">
        <v>3.3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32851-2022</t>
        </is>
      </c>
      <c r="B1233" t="inlineStr">
        <is>
          <t>avverkningsanmälan</t>
        </is>
      </c>
      <c r="C1233" t="inlineStr">
        <is>
          <t>Föryngringsavverkning</t>
        </is>
      </c>
      <c r="D1233" s="1" t="n">
        <v>44784</v>
      </c>
      <c r="E1233" s="1" t="n">
        <v>46219</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37629-2025</t>
        </is>
      </c>
      <c r="B1234" t="inlineStr">
        <is>
          <t>avverkningsanmälan</t>
        </is>
      </c>
      <c r="C1234" t="inlineStr">
        <is>
          <t>Föryngringsavverkning</t>
        </is>
      </c>
      <c r="D1234" s="1" t="n">
        <v>45880</v>
      </c>
      <c r="E1234" s="1" t="n">
        <v>46219</v>
      </c>
      <c r="F1234" t="inlineStr">
        <is>
          <t>VÄRMLANDS LÄN</t>
        </is>
      </c>
      <c r="G1234" t="inlineStr">
        <is>
          <t>SUNNE</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67193-2021</t>
        </is>
      </c>
      <c r="B1235" t="inlineStr">
        <is>
          <t>avverkningsanmälan</t>
        </is>
      </c>
      <c r="C1235" t="inlineStr">
        <is>
          <t>Föryngringsavverkning</t>
        </is>
      </c>
      <c r="D1235" s="1" t="n">
        <v>44523</v>
      </c>
      <c r="E1235" s="1" t="n">
        <v>46219</v>
      </c>
      <c r="F1235" t="inlineStr">
        <is>
          <t>VÄRMLANDS LÄN</t>
        </is>
      </c>
      <c r="G1235" t="inlineStr">
        <is>
          <t>SUNNE</t>
        </is>
      </c>
      <c r="I1235" t="n">
        <v>3.5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27308-2026</t>
        </is>
      </c>
      <c r="B1236" t="inlineStr">
        <is>
          <t>avverkningsanmälan</t>
        </is>
      </c>
      <c r="C1236" t="inlineStr">
        <is>
          <t>Föryngringsavverkning</t>
        </is>
      </c>
      <c r="D1236" s="1" t="n">
        <v>46188</v>
      </c>
      <c r="E1236" s="1" t="n">
        <v>46219</v>
      </c>
      <c r="F1236" t="inlineStr">
        <is>
          <t>VÄRMLANDS LÄN</t>
        </is>
      </c>
      <c r="G1236" t="inlineStr">
        <is>
          <t>SUNNE</t>
        </is>
      </c>
      <c r="I1236" t="n">
        <v>1.1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37832-2025</t>
        </is>
      </c>
      <c r="B1237" t="inlineStr">
        <is>
          <t>avverkningsanmälan</t>
        </is>
      </c>
      <c r="C1237" t="inlineStr">
        <is>
          <t>Föryngringsavverkning</t>
        </is>
      </c>
      <c r="D1237" s="1" t="n">
        <v>45881</v>
      </c>
      <c r="E1237" s="1" t="n">
        <v>46219</v>
      </c>
      <c r="F1237" t="inlineStr">
        <is>
          <t>VÄRMLANDS LÄN</t>
        </is>
      </c>
      <c r="G1237" t="inlineStr">
        <is>
          <t>SUNNE</t>
        </is>
      </c>
      <c r="H1237" t="inlineStr">
        <is>
          <t>Bergvik skog väst AB</t>
        </is>
      </c>
      <c r="I1237" t="n">
        <v>15.7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37992-2025</t>
        </is>
      </c>
      <c r="B1238" t="inlineStr">
        <is>
          <t>avverkningsanmälan</t>
        </is>
      </c>
      <c r="C1238" t="inlineStr">
        <is>
          <t>Föryngringsavverkning</t>
        </is>
      </c>
      <c r="D1238" s="1" t="n">
        <v>45881</v>
      </c>
      <c r="E1238" s="1" t="n">
        <v>46219</v>
      </c>
      <c r="F1238" t="inlineStr">
        <is>
          <t>VÄRMLANDS LÄN</t>
        </is>
      </c>
      <c r="G1238" t="inlineStr">
        <is>
          <t>SUNNE</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37990-2025</t>
        </is>
      </c>
      <c r="B1239" t="inlineStr">
        <is>
          <t>avverkningsanmälan</t>
        </is>
      </c>
      <c r="C1239" t="inlineStr">
        <is>
          <t>Föryngringsavverkning</t>
        </is>
      </c>
      <c r="D1239" s="1" t="n">
        <v>45881</v>
      </c>
      <c r="E1239" s="1" t="n">
        <v>46219</v>
      </c>
      <c r="F1239" t="inlineStr">
        <is>
          <t>VÄRMLANDS LÄN</t>
        </is>
      </c>
      <c r="G1239" t="inlineStr">
        <is>
          <t>SUNNE</t>
        </is>
      </c>
      <c r="I1239" t="n">
        <v>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38011-2025</t>
        </is>
      </c>
      <c r="B1240" t="inlineStr">
        <is>
          <t>avverkningsanmälan</t>
        </is>
      </c>
      <c r="C1240" t="inlineStr">
        <is>
          <t>Föryngringsavverkning</t>
        </is>
      </c>
      <c r="D1240" s="1" t="n">
        <v>45882</v>
      </c>
      <c r="E1240" s="1" t="n">
        <v>46219</v>
      </c>
      <c r="F1240" t="inlineStr">
        <is>
          <t>VÄRMLANDS LÄN</t>
        </is>
      </c>
      <c r="G1240" t="inlineStr">
        <is>
          <t>SUNNE</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37993-2025</t>
        </is>
      </c>
      <c r="B1241" t="inlineStr">
        <is>
          <t>avverkningsanmälan</t>
        </is>
      </c>
      <c r="C1241" t="inlineStr">
        <is>
          <t>Föryngringsavverkning</t>
        </is>
      </c>
      <c r="D1241" s="1" t="n">
        <v>45881</v>
      </c>
      <c r="E1241" s="1" t="n">
        <v>46219</v>
      </c>
      <c r="F1241" t="inlineStr">
        <is>
          <t>VÄRMLANDS LÄN</t>
        </is>
      </c>
      <c r="G1241" t="inlineStr">
        <is>
          <t>SUNNE</t>
        </is>
      </c>
      <c r="I1241" t="n">
        <v>3.9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21221-2026</t>
        </is>
      </c>
      <c r="B1242" t="inlineStr">
        <is>
          <t>avverkningsanmälan</t>
        </is>
      </c>
      <c r="C1242" t="inlineStr">
        <is>
          <t>Föryngringsavverkning</t>
        </is>
      </c>
      <c r="D1242" s="1" t="n">
        <v>46146</v>
      </c>
      <c r="E1242" s="1" t="n">
        <v>46219</v>
      </c>
      <c r="F1242" t="inlineStr">
        <is>
          <t>VÄRMLANDS LÄN</t>
        </is>
      </c>
      <c r="G1242" t="inlineStr">
        <is>
          <t>SUNNE</t>
        </is>
      </c>
      <c r="I1242" t="n">
        <v>2.5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26829-2026</t>
        </is>
      </c>
      <c r="B1243" t="inlineStr">
        <is>
          <t>avverkningsanmälan</t>
        </is>
      </c>
      <c r="C1243" t="inlineStr">
        <is>
          <t>Föryngringsavverkning</t>
        </is>
      </c>
      <c r="D1243" s="1" t="n">
        <v>46183</v>
      </c>
      <c r="E1243" s="1" t="n">
        <v>46219</v>
      </c>
      <c r="F1243" t="inlineStr">
        <is>
          <t>VÄRMLANDS LÄN</t>
        </is>
      </c>
      <c r="G1243" t="inlineStr">
        <is>
          <t>SUNNE</t>
        </is>
      </c>
      <c r="I1243" t="n">
        <v>3.5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27276-2026</t>
        </is>
      </c>
      <c r="B1244" t="inlineStr">
        <is>
          <t>avverkningsanmälan</t>
        </is>
      </c>
      <c r="C1244" t="inlineStr">
        <is>
          <t>Föryngringsavverkning</t>
        </is>
      </c>
      <c r="D1244" s="1" t="n">
        <v>46188</v>
      </c>
      <c r="E1244" s="1" t="n">
        <v>46219</v>
      </c>
      <c r="F1244" t="inlineStr">
        <is>
          <t>VÄRMLANDS LÄN</t>
        </is>
      </c>
      <c r="G1244" t="inlineStr">
        <is>
          <t>SUNNE</t>
        </is>
      </c>
      <c r="H1244" t="inlineStr">
        <is>
          <t>Bergvik skog väst AB</t>
        </is>
      </c>
      <c r="I1244" t="n">
        <v>14.9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27244-2026</t>
        </is>
      </c>
      <c r="B1245" t="inlineStr">
        <is>
          <t>avverkningsanmälan</t>
        </is>
      </c>
      <c r="C1245" t="inlineStr">
        <is>
          <t>Föryngringsavverkning</t>
        </is>
      </c>
      <c r="D1245" s="1" t="n">
        <v>46188</v>
      </c>
      <c r="E1245" s="1" t="n">
        <v>46219</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21443-2026</t>
        </is>
      </c>
      <c r="B1246" t="inlineStr">
        <is>
          <t>avverkningsanmälan</t>
        </is>
      </c>
      <c r="C1246" t="inlineStr">
        <is>
          <t>Föryngringsavverkning</t>
        </is>
      </c>
      <c r="D1246" s="1" t="n">
        <v>46148</v>
      </c>
      <c r="E1246" s="1" t="n">
        <v>46219</v>
      </c>
      <c r="F1246" t="inlineStr">
        <is>
          <t>VÄRMLANDS LÄN</t>
        </is>
      </c>
      <c r="G1246" t="inlineStr">
        <is>
          <t>SUNNE</t>
        </is>
      </c>
      <c r="I1246" t="n">
        <v>6.9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21321-2026</t>
        </is>
      </c>
      <c r="B1247" t="inlineStr">
        <is>
          <t>avverkningsanmälan</t>
        </is>
      </c>
      <c r="C1247" t="inlineStr">
        <is>
          <t>Föryngringsavverkning</t>
        </is>
      </c>
      <c r="D1247" s="1" t="n">
        <v>46147</v>
      </c>
      <c r="E1247" s="1" t="n">
        <v>46219</v>
      </c>
      <c r="F1247" t="inlineStr">
        <is>
          <t>VÄRMLANDS LÄN</t>
        </is>
      </c>
      <c r="G1247" t="inlineStr">
        <is>
          <t>SUNNE</t>
        </is>
      </c>
      <c r="I1247" t="n">
        <v>1.1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21298-2026</t>
        </is>
      </c>
      <c r="B1248" t="inlineStr">
        <is>
          <t>avverkningsanmälan</t>
        </is>
      </c>
      <c r="C1248" t="inlineStr">
        <is>
          <t>Föryngringsavverkning</t>
        </is>
      </c>
      <c r="D1248" s="1" t="n">
        <v>46147</v>
      </c>
      <c r="E1248" s="1" t="n">
        <v>46219</v>
      </c>
      <c r="F1248" t="inlineStr">
        <is>
          <t>VÄRMLANDS LÄN</t>
        </is>
      </c>
      <c r="G1248" t="inlineStr">
        <is>
          <t>SUNNE</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27814-2026</t>
        </is>
      </c>
      <c r="B1249" t="inlineStr">
        <is>
          <t>avverkningsanmälan</t>
        </is>
      </c>
      <c r="C1249" t="inlineStr">
        <is>
          <t>Föryngringsavverkning</t>
        </is>
      </c>
      <c r="D1249" s="1" t="n">
        <v>46191</v>
      </c>
      <c r="E1249" s="1" t="n">
        <v>46219</v>
      </c>
      <c r="F1249" t="inlineStr">
        <is>
          <t>VÄRMLANDS LÄN</t>
        </is>
      </c>
      <c r="G1249" t="inlineStr">
        <is>
          <t>SUNNE</t>
        </is>
      </c>
      <c r="H1249" t="inlineStr">
        <is>
          <t>Bergvik skog väst AB</t>
        </is>
      </c>
      <c r="I1249" t="n">
        <v>6.2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27805-2026</t>
        </is>
      </c>
      <c r="B1250" t="inlineStr">
        <is>
          <t>avverkningsanmälan</t>
        </is>
      </c>
      <c r="C1250" t="inlineStr">
        <is>
          <t>Föryngringsavverkning</t>
        </is>
      </c>
      <c r="D1250" s="1" t="n">
        <v>46191</v>
      </c>
      <c r="E1250" s="1" t="n">
        <v>46219</v>
      </c>
      <c r="F1250" t="inlineStr">
        <is>
          <t>VÄRMLANDS LÄN</t>
        </is>
      </c>
      <c r="G1250" t="inlineStr">
        <is>
          <t>SUNNE</t>
        </is>
      </c>
      <c r="I1250" t="n">
        <v>2.6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27815-2026</t>
        </is>
      </c>
      <c r="B1251" t="inlineStr">
        <is>
          <t>avverkningsanmälan</t>
        </is>
      </c>
      <c r="C1251" t="inlineStr">
        <is>
          <t>Föryngringsavverkning</t>
        </is>
      </c>
      <c r="D1251" s="1" t="n">
        <v>46191</v>
      </c>
      <c r="E1251" s="1" t="n">
        <v>46219</v>
      </c>
      <c r="F1251" t="inlineStr">
        <is>
          <t>VÄRMLANDS LÄN</t>
        </is>
      </c>
      <c r="G1251" t="inlineStr">
        <is>
          <t>SUNNE</t>
        </is>
      </c>
      <c r="H1251" t="inlineStr">
        <is>
          <t>Bergvik skog väst AB</t>
        </is>
      </c>
      <c r="I1251" t="n">
        <v>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27718-2026</t>
        </is>
      </c>
      <c r="B1252" t="inlineStr">
        <is>
          <t>avverkningsanmälan</t>
        </is>
      </c>
      <c r="C1252" t="inlineStr">
        <is>
          <t>Föryngringsavverkning</t>
        </is>
      </c>
      <c r="D1252" s="1" t="n">
        <v>46190</v>
      </c>
      <c r="E1252" s="1" t="n">
        <v>46219</v>
      </c>
      <c r="F1252" t="inlineStr">
        <is>
          <t>VÄRMLANDS LÄN</t>
        </is>
      </c>
      <c r="G1252" t="inlineStr">
        <is>
          <t>SUNNE</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27872-2026</t>
        </is>
      </c>
      <c r="B1253" t="inlineStr">
        <is>
          <t>avverkningsanmälan</t>
        </is>
      </c>
      <c r="C1253" t="inlineStr">
        <is>
          <t>Föryngringsavverkning</t>
        </is>
      </c>
      <c r="D1253" s="1" t="n">
        <v>46191</v>
      </c>
      <c r="E1253" s="1" t="n">
        <v>46219</v>
      </c>
      <c r="F1253" t="inlineStr">
        <is>
          <t>VÄRMLANDS LÄN</t>
        </is>
      </c>
      <c r="G1253" t="inlineStr">
        <is>
          <t>SUNNE</t>
        </is>
      </c>
      <c r="I1253" t="n">
        <v>8.1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21943-2026</t>
        </is>
      </c>
      <c r="B1254" t="inlineStr">
        <is>
          <t>avverkningsanmälan</t>
        </is>
      </c>
      <c r="C1254" t="inlineStr">
        <is>
          <t>Föryngringsavverkning</t>
        </is>
      </c>
      <c r="D1254" s="1" t="n">
        <v>46150</v>
      </c>
      <c r="E1254" s="1" t="n">
        <v>46219</v>
      </c>
      <c r="F1254" t="inlineStr">
        <is>
          <t>VÄRMLANDS LÄN</t>
        </is>
      </c>
      <c r="G1254" t="inlineStr">
        <is>
          <t>SUNNE</t>
        </is>
      </c>
      <c r="I1254" t="n">
        <v>8.699999999999999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27959-2026</t>
        </is>
      </c>
      <c r="B1255" t="inlineStr">
        <is>
          <t>avverkningsanmälan</t>
        </is>
      </c>
      <c r="C1255" t="inlineStr">
        <is>
          <t>Föryngringsavverkning</t>
        </is>
      </c>
      <c r="D1255" s="1" t="n">
        <v>46194</v>
      </c>
      <c r="E1255" s="1" t="n">
        <v>46219</v>
      </c>
      <c r="F1255" t="inlineStr">
        <is>
          <t>VÄRMLANDS LÄN</t>
        </is>
      </c>
      <c r="G1255" t="inlineStr">
        <is>
          <t>SUNNE</t>
        </is>
      </c>
      <c r="I1255" t="n">
        <v>1.4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15216-2026</t>
        </is>
      </c>
      <c r="B1256" t="inlineStr">
        <is>
          <t>avverkningsanmälan</t>
        </is>
      </c>
      <c r="C1256" t="inlineStr">
        <is>
          <t>Föryngringsavverkning</t>
        </is>
      </c>
      <c r="D1256" s="1" t="n">
        <v>46105</v>
      </c>
      <c r="E1256" s="1" t="n">
        <v>46219</v>
      </c>
      <c r="F1256" t="inlineStr">
        <is>
          <t>VÄRMLANDS LÄN</t>
        </is>
      </c>
      <c r="G1256" t="inlineStr">
        <is>
          <t>SUNNE</t>
        </is>
      </c>
      <c r="I1256" t="n">
        <v>2.4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28327-2026</t>
        </is>
      </c>
      <c r="B1257" t="inlineStr">
        <is>
          <t>avverkningsanmälan</t>
        </is>
      </c>
      <c r="C1257" t="inlineStr">
        <is>
          <t>Föryngringsavverkning</t>
        </is>
      </c>
      <c r="D1257" s="1" t="n">
        <v>46196</v>
      </c>
      <c r="E1257" s="1" t="n">
        <v>46219</v>
      </c>
      <c r="F1257" t="inlineStr">
        <is>
          <t>VÄRMLANDS LÄN</t>
        </is>
      </c>
      <c r="G1257" t="inlineStr">
        <is>
          <t>SUNNE</t>
        </is>
      </c>
      <c r="I1257" t="n">
        <v>1.6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28461-2026</t>
        </is>
      </c>
      <c r="B1258" t="inlineStr">
        <is>
          <t>avverkningsanmälan</t>
        </is>
      </c>
      <c r="C1258" t="inlineStr">
        <is>
          <t>Föryngringsavverkning</t>
        </is>
      </c>
      <c r="D1258" s="1" t="n">
        <v>46197</v>
      </c>
      <c r="E1258" s="1" t="n">
        <v>46219</v>
      </c>
      <c r="F1258" t="inlineStr">
        <is>
          <t>VÄRMLANDS LÄN</t>
        </is>
      </c>
      <c r="G1258" t="inlineStr">
        <is>
          <t>SUNNE</t>
        </is>
      </c>
      <c r="I1258" t="n">
        <v>1.8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22643-2026</t>
        </is>
      </c>
      <c r="B1259" t="inlineStr">
        <is>
          <t>avverkningsanmälan</t>
        </is>
      </c>
      <c r="C1259" t="inlineStr">
        <is>
          <t>Föryngringsavverkning</t>
        </is>
      </c>
      <c r="D1259" s="1" t="n">
        <v>46155</v>
      </c>
      <c r="E1259" s="1" t="n">
        <v>46219</v>
      </c>
      <c r="F1259" t="inlineStr">
        <is>
          <t>VÄRMLANDS LÄN</t>
        </is>
      </c>
      <c r="G1259" t="inlineStr">
        <is>
          <t>SUNNE</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28675-2026</t>
        </is>
      </c>
      <c r="B1260" t="inlineStr">
        <is>
          <t>avverkningsanmälan</t>
        </is>
      </c>
      <c r="C1260" t="inlineStr">
        <is>
          <t>Föryngringsavverkning</t>
        </is>
      </c>
      <c r="D1260" s="1" t="n">
        <v>46198</v>
      </c>
      <c r="E1260" s="1" t="n">
        <v>46219</v>
      </c>
      <c r="F1260" t="inlineStr">
        <is>
          <t>VÄRMLANDS LÄN</t>
        </is>
      </c>
      <c r="G1260" t="inlineStr">
        <is>
          <t>SUNNE</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28694-2026</t>
        </is>
      </c>
      <c r="B1261" t="inlineStr">
        <is>
          <t>avverkningsanmälan</t>
        </is>
      </c>
      <c r="C1261" t="inlineStr">
        <is>
          <t>Föryngringsavverkning</t>
        </is>
      </c>
      <c r="D1261" s="1" t="n">
        <v>46198</v>
      </c>
      <c r="E1261" s="1" t="n">
        <v>46219</v>
      </c>
      <c r="F1261" t="inlineStr">
        <is>
          <t>VÄRMLANDS LÄN</t>
        </is>
      </c>
      <c r="G1261" t="inlineStr">
        <is>
          <t>SUNNE</t>
        </is>
      </c>
      <c r="H1261" t="inlineStr">
        <is>
          <t>Bergvik skog väst AB</t>
        </is>
      </c>
      <c r="I1261" t="n">
        <v>9.6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9593-2025</t>
        </is>
      </c>
      <c r="B1262" t="inlineStr">
        <is>
          <t>avverkningsanmälan</t>
        </is>
      </c>
      <c r="C1262" t="inlineStr">
        <is>
          <t>Föryngringsavverkning</t>
        </is>
      </c>
      <c r="D1262" s="1" t="n">
        <v>45714</v>
      </c>
      <c r="E1262" s="1" t="n">
        <v>46219</v>
      </c>
      <c r="F1262" t="inlineStr">
        <is>
          <t>VÄRMLANDS LÄN</t>
        </is>
      </c>
      <c r="G1262" t="inlineStr">
        <is>
          <t>SUNNE</t>
        </is>
      </c>
      <c r="I1262" t="n">
        <v>1.7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22632-2026</t>
        </is>
      </c>
      <c r="B1263" t="inlineStr">
        <is>
          <t>avverkningsanmälan</t>
        </is>
      </c>
      <c r="C1263" t="inlineStr">
        <is>
          <t>Föryngringsavverkning</t>
        </is>
      </c>
      <c r="D1263" s="1" t="n">
        <v>46155</v>
      </c>
      <c r="E1263" s="1" t="n">
        <v>46219</v>
      </c>
      <c r="F1263" t="inlineStr">
        <is>
          <t>VÄRMLANDS LÄN</t>
        </is>
      </c>
      <c r="G1263" t="inlineStr">
        <is>
          <t>SUNNE</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29077-2026</t>
        </is>
      </c>
      <c r="B1264" t="inlineStr">
        <is>
          <t>avverkningsanmälan</t>
        </is>
      </c>
      <c r="C1264" t="inlineStr">
        <is>
          <t>Föryngringsavverkning</t>
        </is>
      </c>
      <c r="D1264" s="1" t="n">
        <v>46199</v>
      </c>
      <c r="E1264" s="1" t="n">
        <v>46219</v>
      </c>
      <c r="F1264" t="inlineStr">
        <is>
          <t>VÄRMLANDS LÄN</t>
        </is>
      </c>
      <c r="G1264" t="inlineStr">
        <is>
          <t>SUNNE</t>
        </is>
      </c>
      <c r="I1264" t="n">
        <v>12.3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29212-2026</t>
        </is>
      </c>
      <c r="B1265" t="inlineStr">
        <is>
          <t>avverkningsanmälan</t>
        </is>
      </c>
      <c r="C1265" t="inlineStr">
        <is>
          <t>Föryngringsavverkning</t>
        </is>
      </c>
      <c r="D1265" s="1" t="n">
        <v>46202</v>
      </c>
      <c r="E1265" s="1" t="n">
        <v>46219</v>
      </c>
      <c r="F1265" t="inlineStr">
        <is>
          <t>VÄRMLANDS LÄN</t>
        </is>
      </c>
      <c r="G1265" t="inlineStr">
        <is>
          <t>SUNNE</t>
        </is>
      </c>
      <c r="I1265" t="n">
        <v>1.6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43822-2025</t>
        </is>
      </c>
      <c r="B1266" t="inlineStr">
        <is>
          <t>avverkningsanmälan</t>
        </is>
      </c>
      <c r="C1266" t="inlineStr">
        <is>
          <t>Avverkning för annat ändamål</t>
        </is>
      </c>
      <c r="D1266" s="1" t="n">
        <v>45912</v>
      </c>
      <c r="E1266" s="1" t="n">
        <v>46219</v>
      </c>
      <c r="F1266" t="inlineStr">
        <is>
          <t>VÄRMLANDS LÄN</t>
        </is>
      </c>
      <c r="G1266" t="inlineStr">
        <is>
          <t>SUNNE</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22954-2026</t>
        </is>
      </c>
      <c r="B1267" t="inlineStr">
        <is>
          <t>avverkningsanmälan</t>
        </is>
      </c>
      <c r="C1267" t="inlineStr">
        <is>
          <t>Föryngringsavverkning</t>
        </is>
      </c>
      <c r="D1267" s="1" t="n">
        <v>46160</v>
      </c>
      <c r="E1267" s="1" t="n">
        <v>46219</v>
      </c>
      <c r="F1267" t="inlineStr">
        <is>
          <t>VÄRMLANDS LÄN</t>
        </is>
      </c>
      <c r="G1267" t="inlineStr">
        <is>
          <t>SUNNE</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22958-2026</t>
        </is>
      </c>
      <c r="B1268" t="inlineStr">
        <is>
          <t>avverkningsanmälan</t>
        </is>
      </c>
      <c r="C1268" t="inlineStr">
        <is>
          <t>Föryngringsavverkning</t>
        </is>
      </c>
      <c r="D1268" s="1" t="n">
        <v>46160</v>
      </c>
      <c r="E1268" s="1" t="n">
        <v>46219</v>
      </c>
      <c r="F1268" t="inlineStr">
        <is>
          <t>VÄRMLANDS LÄN</t>
        </is>
      </c>
      <c r="G1268" t="inlineStr">
        <is>
          <t>SUNNE</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28948-2026</t>
        </is>
      </c>
      <c r="B1269" t="inlineStr">
        <is>
          <t>avverkningsanmälan</t>
        </is>
      </c>
      <c r="C1269" t="inlineStr">
        <is>
          <t>Föryngringsavverkning</t>
        </is>
      </c>
      <c r="D1269" s="1" t="n">
        <v>46199</v>
      </c>
      <c r="E1269" s="1" t="n">
        <v>46219</v>
      </c>
      <c r="F1269" t="inlineStr">
        <is>
          <t>VÄRMLANDS LÄN</t>
        </is>
      </c>
      <c r="G1269" t="inlineStr">
        <is>
          <t>SUNNE</t>
        </is>
      </c>
      <c r="H1269" t="inlineStr">
        <is>
          <t>Bergvik skog väst AB</t>
        </is>
      </c>
      <c r="I1269" t="n">
        <v>2.3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29490-2026</t>
        </is>
      </c>
      <c r="B1270" t="inlineStr">
        <is>
          <t>avverkningsanmälan</t>
        </is>
      </c>
      <c r="C1270" t="inlineStr">
        <is>
          <t>Föryngringsavverkning</t>
        </is>
      </c>
      <c r="D1270" s="1" t="n">
        <v>46203</v>
      </c>
      <c r="E1270" s="1" t="n">
        <v>46219</v>
      </c>
      <c r="F1270" t="inlineStr">
        <is>
          <t>VÄRMLANDS LÄN</t>
        </is>
      </c>
      <c r="G1270" t="inlineStr">
        <is>
          <t>SUNNE</t>
        </is>
      </c>
      <c r="I1270" t="n">
        <v>3.8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23113-2026</t>
        </is>
      </c>
      <c r="B1271" t="inlineStr">
        <is>
          <t>avverkningsanmälan</t>
        </is>
      </c>
      <c r="C1271" t="inlineStr">
        <is>
          <t>Föryngringsavverkning</t>
        </is>
      </c>
      <c r="D1271" s="1" t="n">
        <v>46161</v>
      </c>
      <c r="E1271" s="1" t="n">
        <v>46219</v>
      </c>
      <c r="F1271" t="inlineStr">
        <is>
          <t>VÄRMLANDS LÄN</t>
        </is>
      </c>
      <c r="G1271" t="inlineStr">
        <is>
          <t>SUNNE</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S 887-2022</t>
        </is>
      </c>
      <c r="B1272" t="inlineStr">
        <is>
          <t>samrådsanmälan</t>
        </is>
      </c>
      <c r="C1272" t="inlineStr">
        <is>
          <t>Skogsgödsling</t>
        </is>
      </c>
      <c r="D1272" s="1" t="n">
        <v>44606</v>
      </c>
      <c r="E1272" s="1" t="n">
        <v>46219</v>
      </c>
      <c r="F1272" t="inlineStr">
        <is>
          <t>VÄRMLANDS LÄN</t>
        </is>
      </c>
      <c r="G1272" t="inlineStr">
        <is>
          <t>SUNNE</t>
        </is>
      </c>
      <c r="H1272" t="inlineStr">
        <is>
          <t>Bergvik skog väst AB</t>
        </is>
      </c>
      <c r="I1272" t="n">
        <v>88.3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S 4471-2022</t>
        </is>
      </c>
      <c r="B1273" t="inlineStr">
        <is>
          <t>samrådsanmälan</t>
        </is>
      </c>
      <c r="C1273" t="inlineStr">
        <is>
          <t>Annan skogsbruksåtgärd</t>
        </is>
      </c>
      <c r="D1273" s="1" t="n">
        <v>44741</v>
      </c>
      <c r="E1273" s="1" t="n">
        <v>46219</v>
      </c>
      <c r="F1273" t="inlineStr">
        <is>
          <t>VÄRMLANDS LÄN</t>
        </is>
      </c>
      <c r="G1273" t="inlineStr">
        <is>
          <t>SUNNE</t>
        </is>
      </c>
      <c r="I1273" t="n">
        <v>5.2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6975-2022</t>
        </is>
      </c>
      <c r="B1274" t="inlineStr">
        <is>
          <t>samrådsanmälan</t>
        </is>
      </c>
      <c r="C1274" t="inlineStr">
        <is>
          <t>Skogsgödsling</t>
        </is>
      </c>
      <c r="D1274" s="1" t="n">
        <v>44901</v>
      </c>
      <c r="E1274" s="1" t="n">
        <v>46219</v>
      </c>
      <c r="F1274" t="inlineStr">
        <is>
          <t>VÄRMLANDS LÄN</t>
        </is>
      </c>
      <c r="G1274" t="inlineStr">
        <is>
          <t>SUNNE</t>
        </is>
      </c>
      <c r="H1274" t="inlineStr">
        <is>
          <t>Bergvik skog väst AB</t>
        </is>
      </c>
      <c r="I1274" t="n">
        <v>17.7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5508-2022</t>
        </is>
      </c>
      <c r="B1275" t="inlineStr">
        <is>
          <t>samrådsanmälan</t>
        </is>
      </c>
      <c r="C1275" t="inlineStr">
        <is>
          <t>Skogsgödsling</t>
        </is>
      </c>
      <c r="D1275" s="1" t="n">
        <v>44834</v>
      </c>
      <c r="E1275" s="1" t="n">
        <v>46219</v>
      </c>
      <c r="F1275" t="inlineStr">
        <is>
          <t>VÄRMLANDS LÄN</t>
        </is>
      </c>
      <c r="G1275" t="inlineStr">
        <is>
          <t>SUNNE</t>
        </is>
      </c>
      <c r="H1275" t="inlineStr">
        <is>
          <t>Bergvik skog väst AB</t>
        </is>
      </c>
      <c r="I1275" t="n">
        <v>17.8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6978-2022</t>
        </is>
      </c>
      <c r="B1276" t="inlineStr">
        <is>
          <t>samrådsanmälan</t>
        </is>
      </c>
      <c r="C1276" t="inlineStr">
        <is>
          <t>Skogsgödsling</t>
        </is>
      </c>
      <c r="D1276" s="1" t="n">
        <v>44901</v>
      </c>
      <c r="E1276" s="1" t="n">
        <v>46219</v>
      </c>
      <c r="F1276" t="inlineStr">
        <is>
          <t>VÄRMLANDS LÄN</t>
        </is>
      </c>
      <c r="G1276" t="inlineStr">
        <is>
          <t>SUNNE</t>
        </is>
      </c>
      <c r="H1276" t="inlineStr">
        <is>
          <t>Bergvik skog väst AB</t>
        </is>
      </c>
      <c r="I1276" t="n">
        <v>20.5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4422-2023</t>
        </is>
      </c>
      <c r="B1277" t="inlineStr">
        <is>
          <t>samrådsanmälan</t>
        </is>
      </c>
      <c r="C1277" t="inlineStr">
        <is>
          <t>Skogsgödsling</t>
        </is>
      </c>
      <c r="D1277" s="1" t="n">
        <v>45266</v>
      </c>
      <c r="E1277" s="1" t="n">
        <v>46219</v>
      </c>
      <c r="F1277" t="inlineStr">
        <is>
          <t>VÄRMLANDS LÄN</t>
        </is>
      </c>
      <c r="G1277" t="inlineStr">
        <is>
          <t>SUNNE</t>
        </is>
      </c>
      <c r="H1277" t="inlineStr">
        <is>
          <t>Bergvik skog väst AB</t>
        </is>
      </c>
      <c r="I1277" t="n">
        <v>23.1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6961-2022</t>
        </is>
      </c>
      <c r="B1278" t="inlineStr">
        <is>
          <t>samrådsanmälan</t>
        </is>
      </c>
      <c r="C1278" t="inlineStr">
        <is>
          <t>Skogsgödsling</t>
        </is>
      </c>
      <c r="D1278" s="1" t="n">
        <v>44900</v>
      </c>
      <c r="E1278" s="1" t="n">
        <v>46219</v>
      </c>
      <c r="F1278" t="inlineStr">
        <is>
          <t>VÄRMLANDS LÄN</t>
        </is>
      </c>
      <c r="G1278" t="inlineStr">
        <is>
          <t>SUNNE</t>
        </is>
      </c>
      <c r="H1278" t="inlineStr">
        <is>
          <t>Bergvik skog väst AB</t>
        </is>
      </c>
      <c r="I1278" t="n">
        <v>88.7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5501-2022</t>
        </is>
      </c>
      <c r="B1279" t="inlineStr">
        <is>
          <t>samrådsanmälan</t>
        </is>
      </c>
      <c r="C1279" t="inlineStr">
        <is>
          <t>Skogsgödsling</t>
        </is>
      </c>
      <c r="D1279" s="1" t="n">
        <v>44834</v>
      </c>
      <c r="E1279" s="1" t="n">
        <v>46219</v>
      </c>
      <c r="F1279" t="inlineStr">
        <is>
          <t>VÄRMLANDS LÄN</t>
        </is>
      </c>
      <c r="G1279" t="inlineStr">
        <is>
          <t>SUNNE</t>
        </is>
      </c>
      <c r="H1279" t="inlineStr">
        <is>
          <t>Bergvik skog väst AB</t>
        </is>
      </c>
      <c r="I1279" t="n">
        <v>21.2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5221-2022</t>
        </is>
      </c>
      <c r="B1280" t="inlineStr">
        <is>
          <t>samrådsanmälan</t>
        </is>
      </c>
      <c r="C1280" t="inlineStr">
        <is>
          <t>Skogsbilväg</t>
        </is>
      </c>
      <c r="D1280" s="1" t="n">
        <v>44823</v>
      </c>
      <c r="E1280" s="1" t="n">
        <v>46219</v>
      </c>
      <c r="F1280" t="inlineStr">
        <is>
          <t>VÄRMLANDS LÄN</t>
        </is>
      </c>
      <c r="G1280" t="inlineStr">
        <is>
          <t>SUNNE</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3450-2024</t>
        </is>
      </c>
      <c r="B1281" t="inlineStr">
        <is>
          <t>samrådsanmälan</t>
        </is>
      </c>
      <c r="C1281" t="inlineStr">
        <is>
          <t>Annan skogsbruksåtgärd</t>
        </is>
      </c>
      <c r="D1281" s="1" t="n">
        <v>45537</v>
      </c>
      <c r="E1281" s="1" t="n">
        <v>46219</v>
      </c>
      <c r="F1281" t="inlineStr">
        <is>
          <t>VÄRMLANDS LÄN</t>
        </is>
      </c>
      <c r="G1281" t="inlineStr">
        <is>
          <t>SUNNE</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1238-2025</t>
        </is>
      </c>
      <c r="B1282" t="inlineStr">
        <is>
          <t>samrådsanmälan</t>
        </is>
      </c>
      <c r="C1282" t="inlineStr">
        <is>
          <t>Annan skogsbruksåtgärd</t>
        </is>
      </c>
      <c r="D1282" s="1" t="n">
        <v>45760</v>
      </c>
      <c r="E1282" s="1" t="n">
        <v>46219</v>
      </c>
      <c r="F1282" t="inlineStr">
        <is>
          <t>VÄRMLANDS LÄN</t>
        </is>
      </c>
      <c r="G1282" t="inlineStr">
        <is>
          <t>SUNNE</t>
        </is>
      </c>
      <c r="I1282" t="n">
        <v>2</v>
      </c>
      <c r="J1282" t="n">
        <v>0</v>
      </c>
      <c r="K1282" t="n">
        <v>0</v>
      </c>
      <c r="L1282" t="n">
        <v>0</v>
      </c>
      <c r="M1282" t="n">
        <v>0</v>
      </c>
      <c r="N1282" t="n">
        <v>0</v>
      </c>
      <c r="O1282" t="n">
        <v>0</v>
      </c>
      <c r="P1282" t="n">
        <v>0</v>
      </c>
      <c r="Q1282" t="n">
        <v>0</v>
      </c>
      <c r="R1282" t="n">
        <v>0</v>
      </c>
      <c r="S1282" t="n">
        <v>0</v>
      </c>
      <c r="T1282" t="n">
        <v>0</v>
      </c>
      <c r="U1282" s="2" t="inlineStr"/>
    </row>
    <row r="1283">
      <c r="A1283" t="inlineStr">
        <is>
          <t>S 1400-2025</t>
        </is>
      </c>
      <c r="B1283" t="inlineStr">
        <is>
          <t>samrådsanmälan</t>
        </is>
      </c>
      <c r="C1283" t="inlineStr">
        <is>
          <t>Dikesrensning</t>
        </is>
      </c>
      <c r="D1283" s="1" t="n">
        <v>45779</v>
      </c>
      <c r="E1283" s="1" t="n">
        <v>46219</v>
      </c>
      <c r="F1283" t="inlineStr">
        <is>
          <t>VÄRMLANDS LÄN</t>
        </is>
      </c>
      <c r="G1283" t="inlineStr">
        <is>
          <t>SUNNE</t>
        </is>
      </c>
      <c r="I1283" t="n">
        <v>0.5</v>
      </c>
      <c r="J1283" t="n">
        <v>0</v>
      </c>
      <c r="K1283" t="n">
        <v>0</v>
      </c>
      <c r="L1283" t="n">
        <v>0</v>
      </c>
      <c r="M1283" t="n">
        <v>0</v>
      </c>
      <c r="N1283" t="n">
        <v>0</v>
      </c>
      <c r="O1283" t="n">
        <v>0</v>
      </c>
      <c r="P1283" t="n">
        <v>0</v>
      </c>
      <c r="Q1283" t="n">
        <v>0</v>
      </c>
      <c r="R1283" t="n">
        <v>0</v>
      </c>
      <c r="S1283" t="n">
        <v>0</v>
      </c>
      <c r="T1283" t="n">
        <v>0</v>
      </c>
      <c r="U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2026-07-16T01:24:25Z</dcterms:created>
  <dcterms:modified xmlns:dcterms="http://purl.org/dc/terms/" xmlns:xsi="http://www.w3.org/2001/XMLSchema-instance" xsi:type="dcterms:W3CDTF">2026-07-16T01:24:27Z</dcterms:modified>
</cp:coreProperties>
</file>